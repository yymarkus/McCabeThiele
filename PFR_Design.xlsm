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RVC\Homes$\markusjo\Documents\2018W\CHE334TeamStrats\"/>
    </mc:Choice>
  </mc:AlternateContent>
  <bookViews>
    <workbookView xWindow="0" yWindow="0" windowWidth="28800" windowHeight="14130" tabRatio="500" firstSheet="4" activeTab="4"/>
  </bookViews>
  <sheets>
    <sheet name="Isothermal PFR" sheetId="1" r:id="rId1"/>
    <sheet name="Adiabatic PFR" sheetId="2" r:id="rId2"/>
    <sheet name="Results" sheetId="4" r:id="rId3"/>
    <sheet name="Balance_No_Recycle" sheetId="5" r:id="rId4"/>
    <sheet name="Balance_With_Recycle" sheetId="6" r:id="rId5"/>
    <sheet name="Summary" sheetId="3" r:id="rId6"/>
    <sheet name="Distillation Design" sheetId="8" r:id="rId7"/>
    <sheet name="Equilibrium" sheetId="9" r:id="rId8"/>
  </sheets>
  <externalReferences>
    <externalReference r:id="rId9"/>
  </externalReferences>
  <definedNames>
    <definedName name="_xlnm._FilterDatabase" localSheetId="2" hidden="1">Results!$A$2:$P$198</definedName>
    <definedName name="cao">Balance_With_Recycle!$L$41</definedName>
    <definedName name="solver_adj" localSheetId="1" hidden="1">'Adiabatic PFR'!$R$30</definedName>
    <definedName name="solver_adj" localSheetId="4" hidden="1">Balance_With_Recycle!$B$4</definedName>
    <definedName name="solver_adj" localSheetId="0" hidden="1">'Isothermal PFR'!$R$30</definedName>
    <definedName name="solver_adj" localSheetId="2" hidden="1">Results!$B$30</definedName>
    <definedName name="solver_cvg" localSheetId="1" hidden="1">0.01</definedName>
    <definedName name="solver_cvg" localSheetId="4" hidden="1">0.0001</definedName>
    <definedName name="solver_cvg" localSheetId="0" hidden="1">0.01</definedName>
    <definedName name="solver_cvg" localSheetId="2" hidden="1">0.01</definedName>
    <definedName name="solver_drv" localSheetId="1" hidden="1">1</definedName>
    <definedName name="solver_drv" localSheetId="4" hidden="1">1</definedName>
    <definedName name="solver_drv" localSheetId="0" hidden="1">1</definedName>
    <definedName name="solver_eng" localSheetId="1" hidden="1">1</definedName>
    <definedName name="solver_eng" localSheetId="4" hidden="1">1</definedName>
    <definedName name="solver_eng" localSheetId="0" hidden="1">1</definedName>
    <definedName name="solver_eng" localSheetId="2" hidden="1">1</definedName>
    <definedName name="solver_est" localSheetId="4" hidden="1">1</definedName>
    <definedName name="solver_itr" localSheetId="1" hidden="1">2147483647</definedName>
    <definedName name="solver_itr" localSheetId="4" hidden="1">2147483647</definedName>
    <definedName name="solver_itr" localSheetId="0" hidden="1">2147483647</definedName>
    <definedName name="solver_lhs1" localSheetId="1" hidden="1">'Adiabatic PFR'!$U$30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4" hidden="1">2147483647</definedName>
    <definedName name="solver_mip" localSheetId="0" hidden="1">2147483647</definedName>
    <definedName name="solver_mni" localSheetId="1" hidden="1">30</definedName>
    <definedName name="solver_mni" localSheetId="4" hidden="1">30</definedName>
    <definedName name="solver_mrt" localSheetId="1" hidden="1">0.075</definedName>
    <definedName name="solver_mrt" localSheetId="4" hidden="1">0.075</definedName>
    <definedName name="solver_msl" localSheetId="1" hidden="1">2</definedName>
    <definedName name="solver_msl" localSheetId="4" hidden="1">2</definedName>
    <definedName name="solver_msl" localSheetId="0" hidden="1">2</definedName>
    <definedName name="solver_neg" localSheetId="1" hidden="1">1</definedName>
    <definedName name="solver_neg" localSheetId="4" hidden="1">1</definedName>
    <definedName name="solver_neg" localSheetId="0" hidden="1">1</definedName>
    <definedName name="solver_neg" localSheetId="2" hidden="1">1</definedName>
    <definedName name="solver_nod" localSheetId="1" hidden="1">2147483647</definedName>
    <definedName name="solver_nod" localSheetId="4" hidden="1">2147483647</definedName>
    <definedName name="solver_nod" localSheetId="0" hidden="1">2147483647</definedName>
    <definedName name="solver_num" localSheetId="1" hidden="1">0</definedName>
    <definedName name="solver_num" localSheetId="4" hidden="1">0</definedName>
    <definedName name="solver_num" localSheetId="0" hidden="1">0</definedName>
    <definedName name="solver_num" localSheetId="2" hidden="1">0</definedName>
    <definedName name="solver_nwt" localSheetId="4" hidden="1">1</definedName>
    <definedName name="solver_opt" localSheetId="1" hidden="1">'Adiabatic PFR'!$V$30</definedName>
    <definedName name="solver_opt" localSheetId="4" hidden="1">Balance_With_Recycle!$O$28</definedName>
    <definedName name="solver_opt" localSheetId="0" hidden="1">'Isothermal PFR'!$V$30</definedName>
    <definedName name="solver_opt" localSheetId="2" hidden="1">Results!$H$30</definedName>
    <definedName name="solver_pre" localSheetId="1" hidden="1">0.000001</definedName>
    <definedName name="solver_pre" localSheetId="4" hidden="1">0.000001</definedName>
    <definedName name="solver_rbv" localSheetId="1" hidden="1">1</definedName>
    <definedName name="solver_rbv" localSheetId="4" hidden="1">1</definedName>
    <definedName name="solver_rbv" localSheetId="0" hidden="1">2</definedName>
    <definedName name="solver_rel1" localSheetId="1" hidden="1">3</definedName>
    <definedName name="solver_rhs1" localSheetId="1" hidden="1">0</definedName>
    <definedName name="solver_rlx" localSheetId="1" hidden="1">1</definedName>
    <definedName name="solver_rlx" localSheetId="4" hidden="1">2</definedName>
    <definedName name="solver_rlx" localSheetId="0" hidden="1">2</definedName>
    <definedName name="solver_rsd" localSheetId="1" hidden="1">0</definedName>
    <definedName name="solver_rsd" localSheetId="4" hidden="1">0</definedName>
    <definedName name="solver_scl" localSheetId="1" hidden="1">2</definedName>
    <definedName name="solver_scl" localSheetId="4" hidden="1">1</definedName>
    <definedName name="solver_scl" localSheetId="0" hidden="1">2</definedName>
    <definedName name="solver_sho" localSheetId="1" hidden="1">2</definedName>
    <definedName name="solver_sho" localSheetId="4" hidden="1">2</definedName>
    <definedName name="solver_sho" localSheetId="0" hidden="1">2</definedName>
    <definedName name="solver_ssz" localSheetId="1" hidden="1">100</definedName>
    <definedName name="solver_ssz" localSheetId="4" hidden="1">100</definedName>
    <definedName name="solver_tim" localSheetId="1" hidden="1">5</definedName>
    <definedName name="solver_tim" localSheetId="4" hidden="1">2147483647</definedName>
    <definedName name="solver_tim" localSheetId="0" hidden="1">5</definedName>
    <definedName name="solver_tim" localSheetId="2" hidden="1">5</definedName>
    <definedName name="solver_tol" localSheetId="1" hidden="1">0.01</definedName>
    <definedName name="solver_tol" localSheetId="4" hidden="1">0.01</definedName>
    <definedName name="solver_tol" localSheetId="0" hidden="1">0.01</definedName>
    <definedName name="solver_typ" localSheetId="1" hidden="1">3</definedName>
    <definedName name="solver_typ" localSheetId="4" hidden="1">3</definedName>
    <definedName name="solver_typ" localSheetId="0" hidden="1">3</definedName>
    <definedName name="solver_typ" localSheetId="2" hidden="1">3</definedName>
    <definedName name="solver_val" localSheetId="1" hidden="1">0</definedName>
    <definedName name="solver_val" localSheetId="4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4" hidden="1">3</definedName>
    <definedName name="solver_ver" localSheetId="0" hidden="1">3</definedName>
    <definedName name="solver_ver" localSheetId="2" hidden="1">3</definedName>
    <definedName name="V">Balance_With_Recycle!$L$40</definedName>
  </definedNames>
  <calcPr calcId="162913" iterate="1" iterateDelta="9.9999937219763507E-9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C11" i="9" l="1"/>
  <c r="D11" i="9"/>
  <c r="E11" i="9"/>
  <c r="G11" i="9"/>
  <c r="J11" i="9"/>
  <c r="C12" i="9"/>
  <c r="D12" i="9"/>
  <c r="E12" i="9"/>
  <c r="G12" i="9"/>
  <c r="J12" i="9"/>
  <c r="C13" i="9"/>
  <c r="D13" i="9"/>
  <c r="E13" i="9"/>
  <c r="G13" i="9"/>
  <c r="J13" i="9"/>
  <c r="C14" i="9"/>
  <c r="D14" i="9"/>
  <c r="E14" i="9"/>
  <c r="G14" i="9"/>
  <c r="J14" i="9"/>
  <c r="C15" i="9"/>
  <c r="D15" i="9"/>
  <c r="E15" i="9"/>
  <c r="G15" i="9"/>
  <c r="J15" i="9"/>
  <c r="C16" i="9"/>
  <c r="D16" i="9"/>
  <c r="E16" i="9"/>
  <c r="G16" i="9"/>
  <c r="J16" i="9"/>
  <c r="C17" i="9"/>
  <c r="D17" i="9"/>
  <c r="E17" i="9"/>
  <c r="G17" i="9"/>
  <c r="J17" i="9"/>
  <c r="C18" i="9"/>
  <c r="D18" i="9"/>
  <c r="E18" i="9"/>
  <c r="G18" i="9"/>
  <c r="J18" i="9"/>
  <c r="C19" i="9"/>
  <c r="D19" i="9"/>
  <c r="E19" i="9"/>
  <c r="G19" i="9"/>
  <c r="J19" i="9"/>
  <c r="C20" i="9"/>
  <c r="D20" i="9"/>
  <c r="E20" i="9"/>
  <c r="G20" i="9"/>
  <c r="J20" i="9"/>
  <c r="C21" i="9"/>
  <c r="D21" i="9"/>
  <c r="E21" i="9"/>
  <c r="G21" i="9"/>
  <c r="J21" i="9"/>
  <c r="C22" i="9"/>
  <c r="D22" i="9"/>
  <c r="E22" i="9"/>
  <c r="G22" i="9"/>
  <c r="J22" i="9"/>
  <c r="C23" i="9"/>
  <c r="D23" i="9"/>
  <c r="E23" i="9"/>
  <c r="G23" i="9"/>
  <c r="J23" i="9"/>
  <c r="C24" i="9"/>
  <c r="D24" i="9"/>
  <c r="E24" i="9"/>
  <c r="G24" i="9"/>
  <c r="J24" i="9"/>
  <c r="C25" i="9"/>
  <c r="D25" i="9"/>
  <c r="E25" i="9"/>
  <c r="G25" i="9"/>
  <c r="J25" i="9"/>
  <c r="C26" i="9"/>
  <c r="D26" i="9"/>
  <c r="E26" i="9"/>
  <c r="G26" i="9"/>
  <c r="J26" i="9"/>
  <c r="C27" i="9"/>
  <c r="D27" i="9"/>
  <c r="E27" i="9"/>
  <c r="G27" i="9"/>
  <c r="J27" i="9"/>
  <c r="C28" i="9"/>
  <c r="D28" i="9"/>
  <c r="E28" i="9"/>
  <c r="G28" i="9"/>
  <c r="J28" i="9"/>
  <c r="C29" i="9"/>
  <c r="D29" i="9"/>
  <c r="E29" i="9"/>
  <c r="G29" i="9"/>
  <c r="J29" i="9"/>
  <c r="C30" i="9"/>
  <c r="D30" i="9"/>
  <c r="E30" i="9"/>
  <c r="G30" i="9"/>
  <c r="J30" i="9"/>
  <c r="C31" i="9"/>
  <c r="D31" i="9"/>
  <c r="E31" i="9"/>
  <c r="G31" i="9"/>
  <c r="J31" i="9"/>
  <c r="C32" i="9"/>
  <c r="D32" i="9"/>
  <c r="E32" i="9"/>
  <c r="G32" i="9"/>
  <c r="J32" i="9"/>
  <c r="C33" i="9"/>
  <c r="D33" i="9"/>
  <c r="E33" i="9"/>
  <c r="G33" i="9"/>
  <c r="J33" i="9"/>
  <c r="C34" i="9"/>
  <c r="D34" i="9"/>
  <c r="E34" i="9"/>
  <c r="G34" i="9"/>
  <c r="J34" i="9"/>
  <c r="C35" i="9"/>
  <c r="D35" i="9"/>
  <c r="E35" i="9"/>
  <c r="G35" i="9"/>
  <c r="J35" i="9"/>
  <c r="C36" i="9"/>
  <c r="D36" i="9"/>
  <c r="E36" i="9"/>
  <c r="G36" i="9"/>
  <c r="J36" i="9"/>
  <c r="C37" i="9"/>
  <c r="D37" i="9"/>
  <c r="E37" i="9"/>
  <c r="G37" i="9"/>
  <c r="J37" i="9"/>
  <c r="C38" i="9"/>
  <c r="D38" i="9"/>
  <c r="E38" i="9"/>
  <c r="G38" i="9"/>
  <c r="J38" i="9"/>
  <c r="C39" i="9"/>
  <c r="D39" i="9"/>
  <c r="E39" i="9"/>
  <c r="G39" i="9"/>
  <c r="J39" i="9"/>
  <c r="C40" i="9"/>
  <c r="D40" i="9"/>
  <c r="E40" i="9"/>
  <c r="G40" i="9"/>
  <c r="J40" i="9"/>
  <c r="C41" i="9"/>
  <c r="D41" i="9"/>
  <c r="E41" i="9"/>
  <c r="G41" i="9"/>
  <c r="J41" i="9"/>
  <c r="C42" i="9"/>
  <c r="D42" i="9"/>
  <c r="E42" i="9"/>
  <c r="G42" i="9"/>
  <c r="J42" i="9"/>
  <c r="C43" i="9"/>
  <c r="D43" i="9"/>
  <c r="E43" i="9"/>
  <c r="G43" i="9"/>
  <c r="J43" i="9"/>
  <c r="C44" i="9"/>
  <c r="D44" i="9"/>
  <c r="E44" i="9"/>
  <c r="G44" i="9"/>
  <c r="J44" i="9"/>
  <c r="C45" i="9"/>
  <c r="D45" i="9"/>
  <c r="E45" i="9"/>
  <c r="G45" i="9"/>
  <c r="J45" i="9"/>
  <c r="C46" i="9"/>
  <c r="D46" i="9"/>
  <c r="E46" i="9"/>
  <c r="G46" i="9"/>
  <c r="J46" i="9"/>
  <c r="C47" i="9"/>
  <c r="D47" i="9"/>
  <c r="E47" i="9"/>
  <c r="G47" i="9"/>
  <c r="J47" i="9"/>
  <c r="C48" i="9"/>
  <c r="D48" i="9"/>
  <c r="E48" i="9"/>
  <c r="G48" i="9"/>
  <c r="J48" i="9"/>
  <c r="C49" i="9"/>
  <c r="D49" i="9"/>
  <c r="E49" i="9"/>
  <c r="G49" i="9"/>
  <c r="J49" i="9"/>
  <c r="C50" i="9"/>
  <c r="D50" i="9"/>
  <c r="E50" i="9"/>
  <c r="G50" i="9"/>
  <c r="J50" i="9"/>
  <c r="C51" i="9"/>
  <c r="D51" i="9"/>
  <c r="E51" i="9"/>
  <c r="G51" i="9"/>
  <c r="J51" i="9"/>
  <c r="C52" i="9"/>
  <c r="D52" i="9"/>
  <c r="E52" i="9"/>
  <c r="G52" i="9"/>
  <c r="J52" i="9"/>
  <c r="C53" i="9"/>
  <c r="D53" i="9"/>
  <c r="E53" i="9"/>
  <c r="G53" i="9"/>
  <c r="J53" i="9"/>
  <c r="C54" i="9"/>
  <c r="D54" i="9"/>
  <c r="E54" i="9"/>
  <c r="G54" i="9"/>
  <c r="J54" i="9"/>
  <c r="C55" i="9"/>
  <c r="D55" i="9"/>
  <c r="E55" i="9"/>
  <c r="G55" i="9"/>
  <c r="J55" i="9"/>
  <c r="C56" i="9"/>
  <c r="D56" i="9"/>
  <c r="E56" i="9"/>
  <c r="G56" i="9"/>
  <c r="J56" i="9"/>
  <c r="C57" i="9"/>
  <c r="D57" i="9"/>
  <c r="E57" i="9"/>
  <c r="G57" i="9"/>
  <c r="J57" i="9"/>
  <c r="C58" i="9"/>
  <c r="D58" i="9"/>
  <c r="E58" i="9"/>
  <c r="G58" i="9"/>
  <c r="J58" i="9"/>
  <c r="C59" i="9"/>
  <c r="D59" i="9"/>
  <c r="E59" i="9"/>
  <c r="G59" i="9"/>
  <c r="J59" i="9"/>
  <c r="C60" i="9"/>
  <c r="D60" i="9"/>
  <c r="E60" i="9"/>
  <c r="G60" i="9"/>
  <c r="J60" i="9"/>
  <c r="C61" i="9"/>
  <c r="D61" i="9"/>
  <c r="E61" i="9"/>
  <c r="G61" i="9"/>
  <c r="J61" i="9"/>
  <c r="C62" i="9"/>
  <c r="D62" i="9"/>
  <c r="E62" i="9"/>
  <c r="G62" i="9"/>
  <c r="J62" i="9"/>
  <c r="C63" i="9"/>
  <c r="D63" i="9"/>
  <c r="E63" i="9"/>
  <c r="G63" i="9"/>
  <c r="J63" i="9"/>
  <c r="C64" i="9"/>
  <c r="D64" i="9"/>
  <c r="E64" i="9"/>
  <c r="G64" i="9"/>
  <c r="J64" i="9"/>
  <c r="C65" i="9"/>
  <c r="D65" i="9"/>
  <c r="E65" i="9"/>
  <c r="G65" i="9"/>
  <c r="J65" i="9"/>
  <c r="C66" i="9"/>
  <c r="D66" i="9"/>
  <c r="E66" i="9"/>
  <c r="G66" i="9"/>
  <c r="J66" i="9"/>
  <c r="C67" i="9"/>
  <c r="D67" i="9"/>
  <c r="E67" i="9"/>
  <c r="G67" i="9"/>
  <c r="J67" i="9"/>
  <c r="C68" i="9"/>
  <c r="D68" i="9"/>
  <c r="E68" i="9"/>
  <c r="G68" i="9"/>
  <c r="J68" i="9"/>
  <c r="C69" i="9"/>
  <c r="D69" i="9"/>
  <c r="E69" i="9"/>
  <c r="G69" i="9"/>
  <c r="J69" i="9"/>
  <c r="C70" i="9"/>
  <c r="D70" i="9"/>
  <c r="E70" i="9"/>
  <c r="G70" i="9"/>
  <c r="J70" i="9"/>
  <c r="C71" i="9"/>
  <c r="D71" i="9"/>
  <c r="E71" i="9"/>
  <c r="G71" i="9"/>
  <c r="J71" i="9"/>
  <c r="C72" i="9"/>
  <c r="D72" i="9"/>
  <c r="E72" i="9"/>
  <c r="G72" i="9"/>
  <c r="J72" i="9"/>
  <c r="C73" i="9"/>
  <c r="D73" i="9"/>
  <c r="E73" i="9"/>
  <c r="G73" i="9"/>
  <c r="J73" i="9"/>
  <c r="C74" i="9"/>
  <c r="D74" i="9"/>
  <c r="E74" i="9"/>
  <c r="G74" i="9"/>
  <c r="J74" i="9"/>
  <c r="C75" i="9"/>
  <c r="D75" i="9"/>
  <c r="E75" i="9"/>
  <c r="G75" i="9"/>
  <c r="J75" i="9"/>
  <c r="C76" i="9"/>
  <c r="D76" i="9"/>
  <c r="E76" i="9"/>
  <c r="G76" i="9"/>
  <c r="J76" i="9"/>
  <c r="C77" i="9"/>
  <c r="D77" i="9"/>
  <c r="E77" i="9"/>
  <c r="G77" i="9"/>
  <c r="J77" i="9"/>
  <c r="C78" i="9"/>
  <c r="D78" i="9"/>
  <c r="E78" i="9"/>
  <c r="G78" i="9"/>
  <c r="J78" i="9"/>
  <c r="C79" i="9"/>
  <c r="D79" i="9"/>
  <c r="E79" i="9"/>
  <c r="G79" i="9"/>
  <c r="J79" i="9"/>
  <c r="C80" i="9"/>
  <c r="D80" i="9"/>
  <c r="E80" i="9"/>
  <c r="G80" i="9"/>
  <c r="J80" i="9"/>
  <c r="C81" i="9"/>
  <c r="D81" i="9"/>
  <c r="E81" i="9"/>
  <c r="G81" i="9"/>
  <c r="J81" i="9"/>
  <c r="C82" i="9"/>
  <c r="D82" i="9"/>
  <c r="E82" i="9"/>
  <c r="G82" i="9"/>
  <c r="J82" i="9"/>
  <c r="C83" i="9"/>
  <c r="D83" i="9"/>
  <c r="E83" i="9"/>
  <c r="G83" i="9"/>
  <c r="J83" i="9"/>
  <c r="C84" i="9"/>
  <c r="D84" i="9"/>
  <c r="E84" i="9"/>
  <c r="G84" i="9"/>
  <c r="J84" i="9"/>
  <c r="C85" i="9"/>
  <c r="D85" i="9"/>
  <c r="E85" i="9"/>
  <c r="G85" i="9"/>
  <c r="J85" i="9"/>
  <c r="C86" i="9"/>
  <c r="D86" i="9"/>
  <c r="E86" i="9"/>
  <c r="G86" i="9"/>
  <c r="J86" i="9"/>
  <c r="C87" i="9"/>
  <c r="D87" i="9"/>
  <c r="E87" i="9"/>
  <c r="G87" i="9"/>
  <c r="J87" i="9"/>
  <c r="C88" i="9"/>
  <c r="D88" i="9"/>
  <c r="E88" i="9"/>
  <c r="G88" i="9"/>
  <c r="J88" i="9"/>
  <c r="C89" i="9"/>
  <c r="D89" i="9"/>
  <c r="E89" i="9"/>
  <c r="G89" i="9"/>
  <c r="J89" i="9"/>
  <c r="C90" i="9"/>
  <c r="D90" i="9"/>
  <c r="E90" i="9"/>
  <c r="G90" i="9"/>
  <c r="J90" i="9"/>
  <c r="C91" i="9"/>
  <c r="D91" i="9"/>
  <c r="E91" i="9"/>
  <c r="G91" i="9"/>
  <c r="J91" i="9"/>
  <c r="C92" i="9"/>
  <c r="D92" i="9"/>
  <c r="E92" i="9"/>
  <c r="G92" i="9"/>
  <c r="J92" i="9"/>
  <c r="C93" i="9"/>
  <c r="D93" i="9"/>
  <c r="E93" i="9"/>
  <c r="G93" i="9"/>
  <c r="J93" i="9"/>
  <c r="C94" i="9"/>
  <c r="D94" i="9"/>
  <c r="E94" i="9"/>
  <c r="G94" i="9"/>
  <c r="J94" i="9"/>
  <c r="C95" i="9"/>
  <c r="D95" i="9"/>
  <c r="E95" i="9"/>
  <c r="G95" i="9"/>
  <c r="J95" i="9"/>
  <c r="C96" i="9"/>
  <c r="D96" i="9"/>
  <c r="E96" i="9"/>
  <c r="G96" i="9"/>
  <c r="J96" i="9"/>
  <c r="C97" i="9"/>
  <c r="D97" i="9"/>
  <c r="E97" i="9"/>
  <c r="G97" i="9"/>
  <c r="J97" i="9"/>
  <c r="C98" i="9"/>
  <c r="D98" i="9"/>
  <c r="E98" i="9"/>
  <c r="G98" i="9"/>
  <c r="J98" i="9"/>
  <c r="C99" i="9"/>
  <c r="D99" i="9"/>
  <c r="E99" i="9"/>
  <c r="G99" i="9"/>
  <c r="J99" i="9"/>
  <c r="C100" i="9"/>
  <c r="D100" i="9"/>
  <c r="E100" i="9"/>
  <c r="G100" i="9"/>
  <c r="J100" i="9"/>
  <c r="C101" i="9"/>
  <c r="D101" i="9"/>
  <c r="E101" i="9"/>
  <c r="G101" i="9"/>
  <c r="J101" i="9"/>
  <c r="C102" i="9"/>
  <c r="D102" i="9"/>
  <c r="E102" i="9"/>
  <c r="G102" i="9"/>
  <c r="J102" i="9"/>
  <c r="C103" i="9"/>
  <c r="D103" i="9"/>
  <c r="E103" i="9"/>
  <c r="G103" i="9"/>
  <c r="J103" i="9"/>
  <c r="C104" i="9"/>
  <c r="D104" i="9"/>
  <c r="E104" i="9"/>
  <c r="G104" i="9"/>
  <c r="J104" i="9"/>
  <c r="C105" i="9"/>
  <c r="D105" i="9"/>
  <c r="E105" i="9"/>
  <c r="G105" i="9"/>
  <c r="J105" i="9"/>
  <c r="C106" i="9"/>
  <c r="D106" i="9"/>
  <c r="E106" i="9"/>
  <c r="G106" i="9"/>
  <c r="J106" i="9"/>
  <c r="C107" i="9"/>
  <c r="D107" i="9"/>
  <c r="E107" i="9"/>
  <c r="G107" i="9"/>
  <c r="J107" i="9"/>
  <c r="C108" i="9"/>
  <c r="D108" i="9"/>
  <c r="E108" i="9"/>
  <c r="G108" i="9"/>
  <c r="J108" i="9"/>
  <c r="C109" i="9"/>
  <c r="D109" i="9"/>
  <c r="E109" i="9"/>
  <c r="G109" i="9"/>
  <c r="J109" i="9"/>
  <c r="C110" i="9"/>
  <c r="D110" i="9"/>
  <c r="E110" i="9"/>
  <c r="G110" i="9"/>
  <c r="J110" i="9"/>
  <c r="C10" i="9"/>
  <c r="D10" i="9"/>
  <c r="E10" i="9"/>
  <c r="G10" i="9"/>
  <c r="J10" i="9"/>
  <c r="I1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F110" i="9"/>
  <c r="I109" i="9"/>
  <c r="F109" i="9"/>
  <c r="I108" i="9"/>
  <c r="F108" i="9"/>
  <c r="I107" i="9"/>
  <c r="F107" i="9"/>
  <c r="I106" i="9"/>
  <c r="F106" i="9"/>
  <c r="I105" i="9"/>
  <c r="F105" i="9"/>
  <c r="I104" i="9"/>
  <c r="F104" i="9"/>
  <c r="I103" i="9"/>
  <c r="F103" i="9"/>
  <c r="I102" i="9"/>
  <c r="F102" i="9"/>
  <c r="I101" i="9"/>
  <c r="F101" i="9"/>
  <c r="I100" i="9"/>
  <c r="F100" i="9"/>
  <c r="I99" i="9"/>
  <c r="F99" i="9"/>
  <c r="I98" i="9"/>
  <c r="F98" i="9"/>
  <c r="I97" i="9"/>
  <c r="F97" i="9"/>
  <c r="I96" i="9"/>
  <c r="F96" i="9"/>
  <c r="I95" i="9"/>
  <c r="F95" i="9"/>
  <c r="I94" i="9"/>
  <c r="F94" i="9"/>
  <c r="I93" i="9"/>
  <c r="F93" i="9"/>
  <c r="I92" i="9"/>
  <c r="F92" i="9"/>
  <c r="I91" i="9"/>
  <c r="F91" i="9"/>
  <c r="I90" i="9"/>
  <c r="F90" i="9"/>
  <c r="I89" i="9"/>
  <c r="F89" i="9"/>
  <c r="I88" i="9"/>
  <c r="F88" i="9"/>
  <c r="I87" i="9"/>
  <c r="F87" i="9"/>
  <c r="I86" i="9"/>
  <c r="F86" i="9"/>
  <c r="I85" i="9"/>
  <c r="F85" i="9"/>
  <c r="I84" i="9"/>
  <c r="F84" i="9"/>
  <c r="I83" i="9"/>
  <c r="F83" i="9"/>
  <c r="I82" i="9"/>
  <c r="F82" i="9"/>
  <c r="I81" i="9"/>
  <c r="F81" i="9"/>
  <c r="I80" i="9"/>
  <c r="F80" i="9"/>
  <c r="I79" i="9"/>
  <c r="F79" i="9"/>
  <c r="I78" i="9"/>
  <c r="F78" i="9"/>
  <c r="I77" i="9"/>
  <c r="F77" i="9"/>
  <c r="I76" i="9"/>
  <c r="F76" i="9"/>
  <c r="I75" i="9"/>
  <c r="F75" i="9"/>
  <c r="I74" i="9"/>
  <c r="F74" i="9"/>
  <c r="I73" i="9"/>
  <c r="F73" i="9"/>
  <c r="I72" i="9"/>
  <c r="F72" i="9"/>
  <c r="I71" i="9"/>
  <c r="F71" i="9"/>
  <c r="I70" i="9"/>
  <c r="F70" i="9"/>
  <c r="I69" i="9"/>
  <c r="F69" i="9"/>
  <c r="I68" i="9"/>
  <c r="F68" i="9"/>
  <c r="I67" i="9"/>
  <c r="F67" i="9"/>
  <c r="I66" i="9"/>
  <c r="F66" i="9"/>
  <c r="I65" i="9"/>
  <c r="F65" i="9"/>
  <c r="I64" i="9"/>
  <c r="F64" i="9"/>
  <c r="I63" i="9"/>
  <c r="F63" i="9"/>
  <c r="I62" i="9"/>
  <c r="F62" i="9"/>
  <c r="I61" i="9"/>
  <c r="F61" i="9"/>
  <c r="I60" i="9"/>
  <c r="F60" i="9"/>
  <c r="I59" i="9"/>
  <c r="F59" i="9"/>
  <c r="I58" i="9"/>
  <c r="F58" i="9"/>
  <c r="I57" i="9"/>
  <c r="F57" i="9"/>
  <c r="I56" i="9"/>
  <c r="F56" i="9"/>
  <c r="I55" i="9"/>
  <c r="F55" i="9"/>
  <c r="I54" i="9"/>
  <c r="F54" i="9"/>
  <c r="I53" i="9"/>
  <c r="F53" i="9"/>
  <c r="I52" i="9"/>
  <c r="F52" i="9"/>
  <c r="I51" i="9"/>
  <c r="F51" i="9"/>
  <c r="I50" i="9"/>
  <c r="F50" i="9"/>
  <c r="I49" i="9"/>
  <c r="F49" i="9"/>
  <c r="I48" i="9"/>
  <c r="F48" i="9"/>
  <c r="I47" i="9"/>
  <c r="F47" i="9"/>
  <c r="I46" i="9"/>
  <c r="F46" i="9"/>
  <c r="I45" i="9"/>
  <c r="F45" i="9"/>
  <c r="I44" i="9"/>
  <c r="F44" i="9"/>
  <c r="I43" i="9"/>
  <c r="F43" i="9"/>
  <c r="I42" i="9"/>
  <c r="F42" i="9"/>
  <c r="I41" i="9"/>
  <c r="F41" i="9"/>
  <c r="I40" i="9"/>
  <c r="F40" i="9"/>
  <c r="I39" i="9"/>
  <c r="F39" i="9"/>
  <c r="I38" i="9"/>
  <c r="F38" i="9"/>
  <c r="I37" i="9"/>
  <c r="F37" i="9"/>
  <c r="I36" i="9"/>
  <c r="F36" i="9"/>
  <c r="I35" i="9"/>
  <c r="F35" i="9"/>
  <c r="I34" i="9"/>
  <c r="F34" i="9"/>
  <c r="I33" i="9"/>
  <c r="F33" i="9"/>
  <c r="I32" i="9"/>
  <c r="F32" i="9"/>
  <c r="I31" i="9"/>
  <c r="F31" i="9"/>
  <c r="I30" i="9"/>
  <c r="F30" i="9"/>
  <c r="I29" i="9"/>
  <c r="F29" i="9"/>
  <c r="I28" i="9"/>
  <c r="F28" i="9"/>
  <c r="I27" i="9"/>
  <c r="F27" i="9"/>
  <c r="I26" i="9"/>
  <c r="F26" i="9"/>
  <c r="I25" i="9"/>
  <c r="F25" i="9"/>
  <c r="I24" i="9"/>
  <c r="F24" i="9"/>
  <c r="I23" i="9"/>
  <c r="F23" i="9"/>
  <c r="I22" i="9"/>
  <c r="F22" i="9"/>
  <c r="I21" i="9"/>
  <c r="F21" i="9"/>
  <c r="I20" i="9"/>
  <c r="F20" i="9"/>
  <c r="I19" i="9"/>
  <c r="F19" i="9"/>
  <c r="I18" i="9"/>
  <c r="F18" i="9"/>
  <c r="I17" i="9"/>
  <c r="F17" i="9"/>
  <c r="I16" i="9"/>
  <c r="F16" i="9"/>
  <c r="I15" i="9"/>
  <c r="F15" i="9"/>
  <c r="I14" i="9"/>
  <c r="F14" i="9"/>
  <c r="I13" i="9"/>
  <c r="F13" i="9"/>
  <c r="I12" i="9"/>
  <c r="F12" i="9"/>
  <c r="I11" i="9"/>
  <c r="F11" i="9"/>
  <c r="I10" i="9"/>
  <c r="F10" i="9"/>
  <c r="K24" i="6"/>
  <c r="B12" i="6"/>
  <c r="H6" i="6"/>
  <c r="L29" i="6"/>
  <c r="B29" i="6"/>
  <c r="B16" i="6"/>
  <c r="H7" i="6"/>
  <c r="H4" i="6"/>
  <c r="L27" i="6"/>
  <c r="H5" i="6"/>
  <c r="L28" i="6"/>
  <c r="L30" i="6"/>
  <c r="D27" i="6"/>
  <c r="C27" i="6"/>
  <c r="C28" i="6"/>
  <c r="C29" i="6"/>
  <c r="C56" i="6"/>
  <c r="D4" i="6"/>
  <c r="D56" i="6"/>
  <c r="H56" i="6"/>
  <c r="H57" i="6"/>
  <c r="C58" i="6"/>
  <c r="H58" i="6"/>
  <c r="H59" i="6"/>
  <c r="B57" i="6"/>
  <c r="B58" i="6"/>
  <c r="B7" i="6"/>
  <c r="B59" i="6"/>
  <c r="B56" i="6"/>
  <c r="O57" i="6"/>
  <c r="O59" i="6"/>
  <c r="B27" i="6"/>
  <c r="C20" i="8"/>
  <c r="C21" i="8"/>
  <c r="M4" i="8"/>
  <c r="L4" i="8"/>
  <c r="M5" i="8"/>
  <c r="L5" i="8"/>
  <c r="M6" i="8"/>
  <c r="L6" i="8"/>
  <c r="M7" i="8"/>
  <c r="L7" i="8"/>
  <c r="M8" i="8"/>
  <c r="L8" i="8"/>
  <c r="M9" i="8"/>
  <c r="L9" i="8"/>
  <c r="M10" i="8"/>
  <c r="L10" i="8"/>
  <c r="M11" i="8"/>
  <c r="L11" i="8"/>
  <c r="M12" i="8"/>
  <c r="L12" i="8"/>
  <c r="M13" i="8"/>
  <c r="L13" i="8"/>
  <c r="M14" i="8"/>
  <c r="L14" i="8"/>
  <c r="M15" i="8"/>
  <c r="L15" i="8"/>
  <c r="M16" i="8"/>
  <c r="L16" i="8"/>
  <c r="M17" i="8"/>
  <c r="L17" i="8"/>
  <c r="M18" i="8"/>
  <c r="L18" i="8"/>
  <c r="M19" i="8"/>
  <c r="L19" i="8"/>
  <c r="M20" i="8"/>
  <c r="L20" i="8"/>
  <c r="M21" i="8"/>
  <c r="L21" i="8"/>
  <c r="M22" i="8"/>
  <c r="L22" i="8"/>
  <c r="M23" i="8"/>
  <c r="L23" i="8"/>
  <c r="M24" i="8"/>
  <c r="L24" i="8"/>
  <c r="M25" i="8"/>
  <c r="L25" i="8"/>
  <c r="M26" i="8"/>
  <c r="L26" i="8"/>
  <c r="M27" i="8"/>
  <c r="L27" i="8"/>
  <c r="M28" i="8"/>
  <c r="L28" i="8"/>
  <c r="M29" i="8"/>
  <c r="L29" i="8"/>
  <c r="M30" i="8"/>
  <c r="L30" i="8"/>
  <c r="M31" i="8"/>
  <c r="L31" i="8"/>
  <c r="M32" i="8"/>
  <c r="L32" i="8"/>
  <c r="M33" i="8"/>
  <c r="L33" i="8"/>
  <c r="M34" i="8"/>
  <c r="L34" i="8"/>
  <c r="M35" i="8"/>
  <c r="L35" i="8"/>
  <c r="M36" i="8"/>
  <c r="L36" i="8"/>
  <c r="M37" i="8"/>
  <c r="L37" i="8"/>
  <c r="M38" i="8"/>
  <c r="L38" i="8"/>
  <c r="M39" i="8"/>
  <c r="L39" i="8"/>
  <c r="M40" i="8"/>
  <c r="L40" i="8"/>
  <c r="M41" i="8"/>
  <c r="L41" i="8"/>
  <c r="M42" i="8"/>
  <c r="L42" i="8"/>
  <c r="M43" i="8"/>
  <c r="L43" i="8"/>
  <c r="M44" i="8"/>
  <c r="L44" i="8"/>
  <c r="M45" i="8"/>
  <c r="L45" i="8"/>
  <c r="M46" i="8"/>
  <c r="L46" i="8"/>
  <c r="M47" i="8"/>
  <c r="L47" i="8"/>
  <c r="M48" i="8"/>
  <c r="L48" i="8"/>
  <c r="M49" i="8"/>
  <c r="L49" i="8"/>
  <c r="M50" i="8"/>
  <c r="L50" i="8"/>
  <c r="M51" i="8"/>
  <c r="L51" i="8"/>
  <c r="M52" i="8"/>
  <c r="L52" i="8"/>
  <c r="M53" i="8"/>
  <c r="L53" i="8"/>
  <c r="M54" i="8"/>
  <c r="L54" i="8"/>
  <c r="M55" i="8"/>
  <c r="L55" i="8"/>
  <c r="M56" i="8"/>
  <c r="L56" i="8"/>
  <c r="M57" i="8"/>
  <c r="L57" i="8"/>
  <c r="M58" i="8"/>
  <c r="L58" i="8"/>
  <c r="M59" i="8"/>
  <c r="L59" i="8"/>
  <c r="M60" i="8"/>
  <c r="L60" i="8"/>
  <c r="M61" i="8"/>
  <c r="L61" i="8"/>
  <c r="M62" i="8"/>
  <c r="L62" i="8"/>
  <c r="M63" i="8"/>
  <c r="L63" i="8"/>
  <c r="M64" i="8"/>
  <c r="L64" i="8"/>
  <c r="M65" i="8"/>
  <c r="L65" i="8"/>
  <c r="M66" i="8"/>
  <c r="L66" i="8"/>
  <c r="M67" i="8"/>
  <c r="L67" i="8"/>
  <c r="M68" i="8"/>
  <c r="L68" i="8"/>
  <c r="M69" i="8"/>
  <c r="L69" i="8"/>
  <c r="M70" i="8"/>
  <c r="L70" i="8"/>
  <c r="M71" i="8"/>
  <c r="L71" i="8"/>
  <c r="M72" i="8"/>
  <c r="L72" i="8"/>
  <c r="M73" i="8"/>
  <c r="L73" i="8"/>
  <c r="M74" i="8"/>
  <c r="L74" i="8"/>
  <c r="M75" i="8"/>
  <c r="L75" i="8"/>
  <c r="L3" i="8"/>
  <c r="H22" i="2"/>
  <c r="J26" i="8"/>
  <c r="N75" i="8"/>
  <c r="P75" i="8"/>
  <c r="O75" i="8"/>
  <c r="Q75" i="8"/>
  <c r="R75" i="8"/>
  <c r="N74" i="8"/>
  <c r="P74" i="8"/>
  <c r="O74" i="8"/>
  <c r="Q74" i="8"/>
  <c r="R74" i="8"/>
  <c r="N73" i="8"/>
  <c r="P73" i="8"/>
  <c r="O73" i="8"/>
  <c r="Q73" i="8"/>
  <c r="R73" i="8"/>
  <c r="N72" i="8"/>
  <c r="P72" i="8"/>
  <c r="O72" i="8"/>
  <c r="Q72" i="8"/>
  <c r="R72" i="8"/>
  <c r="N71" i="8"/>
  <c r="P71" i="8"/>
  <c r="O71" i="8"/>
  <c r="Q71" i="8"/>
  <c r="R71" i="8"/>
  <c r="N70" i="8"/>
  <c r="P70" i="8"/>
  <c r="O70" i="8"/>
  <c r="Q70" i="8"/>
  <c r="R70" i="8"/>
  <c r="N69" i="8"/>
  <c r="P69" i="8"/>
  <c r="O69" i="8"/>
  <c r="Q69" i="8"/>
  <c r="R69" i="8"/>
  <c r="N68" i="8"/>
  <c r="P68" i="8"/>
  <c r="O68" i="8"/>
  <c r="Q68" i="8"/>
  <c r="R68" i="8"/>
  <c r="N67" i="8"/>
  <c r="P67" i="8"/>
  <c r="O67" i="8"/>
  <c r="Q67" i="8"/>
  <c r="R67" i="8"/>
  <c r="N66" i="8"/>
  <c r="P66" i="8"/>
  <c r="O66" i="8"/>
  <c r="Q66" i="8"/>
  <c r="R66" i="8"/>
  <c r="N65" i="8"/>
  <c r="P65" i="8"/>
  <c r="O65" i="8"/>
  <c r="Q65" i="8"/>
  <c r="R65" i="8"/>
  <c r="N64" i="8"/>
  <c r="P64" i="8"/>
  <c r="O64" i="8"/>
  <c r="Q64" i="8"/>
  <c r="R64" i="8"/>
  <c r="N63" i="8"/>
  <c r="P63" i="8"/>
  <c r="O63" i="8"/>
  <c r="Q63" i="8"/>
  <c r="R63" i="8"/>
  <c r="N62" i="8"/>
  <c r="P62" i="8"/>
  <c r="O62" i="8"/>
  <c r="Q62" i="8"/>
  <c r="R62" i="8"/>
  <c r="N61" i="8"/>
  <c r="P61" i="8"/>
  <c r="O61" i="8"/>
  <c r="Q61" i="8"/>
  <c r="R61" i="8"/>
  <c r="N60" i="8"/>
  <c r="P60" i="8"/>
  <c r="O60" i="8"/>
  <c r="Q60" i="8"/>
  <c r="R60" i="8"/>
  <c r="N59" i="8"/>
  <c r="P59" i="8"/>
  <c r="O59" i="8"/>
  <c r="Q59" i="8"/>
  <c r="R59" i="8"/>
  <c r="N58" i="8"/>
  <c r="P58" i="8"/>
  <c r="O58" i="8"/>
  <c r="Q58" i="8"/>
  <c r="R58" i="8"/>
  <c r="N57" i="8"/>
  <c r="P57" i="8"/>
  <c r="O57" i="8"/>
  <c r="Q57" i="8"/>
  <c r="R57" i="8"/>
  <c r="N56" i="8"/>
  <c r="P56" i="8"/>
  <c r="O56" i="8"/>
  <c r="Q56" i="8"/>
  <c r="R56" i="8"/>
  <c r="N55" i="8"/>
  <c r="P55" i="8"/>
  <c r="O55" i="8"/>
  <c r="Q55" i="8"/>
  <c r="R55" i="8"/>
  <c r="N54" i="8"/>
  <c r="P54" i="8"/>
  <c r="O54" i="8"/>
  <c r="Q54" i="8"/>
  <c r="R54" i="8"/>
  <c r="N53" i="8"/>
  <c r="P53" i="8"/>
  <c r="O53" i="8"/>
  <c r="Q53" i="8"/>
  <c r="R53" i="8"/>
  <c r="N52" i="8"/>
  <c r="P52" i="8"/>
  <c r="O52" i="8"/>
  <c r="Q52" i="8"/>
  <c r="R52" i="8"/>
  <c r="N51" i="8"/>
  <c r="P51" i="8"/>
  <c r="O51" i="8"/>
  <c r="Q51" i="8"/>
  <c r="R51" i="8"/>
  <c r="N50" i="8"/>
  <c r="P50" i="8"/>
  <c r="O50" i="8"/>
  <c r="Q50" i="8"/>
  <c r="R50" i="8"/>
  <c r="N49" i="8"/>
  <c r="P49" i="8"/>
  <c r="O49" i="8"/>
  <c r="Q49" i="8"/>
  <c r="R49" i="8"/>
  <c r="N48" i="8"/>
  <c r="P48" i="8"/>
  <c r="O48" i="8"/>
  <c r="Q48" i="8"/>
  <c r="R48" i="8"/>
  <c r="N47" i="8"/>
  <c r="P47" i="8"/>
  <c r="O47" i="8"/>
  <c r="Q47" i="8"/>
  <c r="R47" i="8"/>
  <c r="N46" i="8"/>
  <c r="P46" i="8"/>
  <c r="O46" i="8"/>
  <c r="Q46" i="8"/>
  <c r="R46" i="8"/>
  <c r="N45" i="8"/>
  <c r="P45" i="8"/>
  <c r="O45" i="8"/>
  <c r="Q45" i="8"/>
  <c r="R45" i="8"/>
  <c r="N44" i="8"/>
  <c r="P44" i="8"/>
  <c r="O44" i="8"/>
  <c r="Q44" i="8"/>
  <c r="R44" i="8"/>
  <c r="N43" i="8"/>
  <c r="P43" i="8"/>
  <c r="O43" i="8"/>
  <c r="Q43" i="8"/>
  <c r="R43" i="8"/>
  <c r="N42" i="8"/>
  <c r="P42" i="8"/>
  <c r="O42" i="8"/>
  <c r="Q42" i="8"/>
  <c r="R42" i="8"/>
  <c r="N41" i="8"/>
  <c r="P41" i="8"/>
  <c r="O41" i="8"/>
  <c r="Q41" i="8"/>
  <c r="R41" i="8"/>
  <c r="N40" i="8"/>
  <c r="P40" i="8"/>
  <c r="O40" i="8"/>
  <c r="Q40" i="8"/>
  <c r="R40" i="8"/>
  <c r="N39" i="8"/>
  <c r="P39" i="8"/>
  <c r="O39" i="8"/>
  <c r="Q39" i="8"/>
  <c r="R39" i="8"/>
  <c r="N38" i="8"/>
  <c r="P38" i="8"/>
  <c r="O38" i="8"/>
  <c r="Q38" i="8"/>
  <c r="R38" i="8"/>
  <c r="N37" i="8"/>
  <c r="P37" i="8"/>
  <c r="O37" i="8"/>
  <c r="Q37" i="8"/>
  <c r="R37" i="8"/>
  <c r="N36" i="8"/>
  <c r="P36" i="8"/>
  <c r="O36" i="8"/>
  <c r="Q36" i="8"/>
  <c r="R36" i="8"/>
  <c r="N35" i="8"/>
  <c r="P35" i="8"/>
  <c r="O35" i="8"/>
  <c r="Q35" i="8"/>
  <c r="R35" i="8"/>
  <c r="N34" i="8"/>
  <c r="P34" i="8"/>
  <c r="O34" i="8"/>
  <c r="Q34" i="8"/>
  <c r="R34" i="8"/>
  <c r="N33" i="8"/>
  <c r="P33" i="8"/>
  <c r="O33" i="8"/>
  <c r="Q33" i="8"/>
  <c r="R33" i="8"/>
  <c r="N32" i="8"/>
  <c r="P32" i="8"/>
  <c r="O32" i="8"/>
  <c r="Q32" i="8"/>
  <c r="R32" i="8"/>
  <c r="N31" i="8"/>
  <c r="P31" i="8"/>
  <c r="O31" i="8"/>
  <c r="Q31" i="8"/>
  <c r="R31" i="8"/>
  <c r="N30" i="8"/>
  <c r="P30" i="8"/>
  <c r="O30" i="8"/>
  <c r="Q30" i="8"/>
  <c r="R30" i="8"/>
  <c r="N29" i="8"/>
  <c r="P29" i="8"/>
  <c r="O29" i="8"/>
  <c r="Q29" i="8"/>
  <c r="R29" i="8"/>
  <c r="N28" i="8"/>
  <c r="P28" i="8"/>
  <c r="O28" i="8"/>
  <c r="Q28" i="8"/>
  <c r="R28" i="8"/>
  <c r="N27" i="8"/>
  <c r="P27" i="8"/>
  <c r="O27" i="8"/>
  <c r="Q27" i="8"/>
  <c r="R27" i="8"/>
  <c r="N26" i="8"/>
  <c r="P26" i="8"/>
  <c r="O26" i="8"/>
  <c r="Q26" i="8"/>
  <c r="R26" i="8"/>
  <c r="N25" i="8"/>
  <c r="P25" i="8"/>
  <c r="O25" i="8"/>
  <c r="Q25" i="8"/>
  <c r="R25" i="8"/>
  <c r="N24" i="8"/>
  <c r="P24" i="8"/>
  <c r="O24" i="8"/>
  <c r="Q24" i="8"/>
  <c r="R24" i="8"/>
  <c r="N23" i="8"/>
  <c r="P23" i="8"/>
  <c r="O23" i="8"/>
  <c r="Q23" i="8"/>
  <c r="R23" i="8"/>
  <c r="N22" i="8"/>
  <c r="P22" i="8"/>
  <c r="O22" i="8"/>
  <c r="Q22" i="8"/>
  <c r="R22" i="8"/>
  <c r="N21" i="8"/>
  <c r="P21" i="8"/>
  <c r="O21" i="8"/>
  <c r="Q21" i="8"/>
  <c r="R21" i="8"/>
  <c r="N20" i="8"/>
  <c r="P20" i="8"/>
  <c r="O20" i="8"/>
  <c r="Q20" i="8"/>
  <c r="R20" i="8"/>
  <c r="N19" i="8"/>
  <c r="P19" i="8"/>
  <c r="O19" i="8"/>
  <c r="Q19" i="8"/>
  <c r="R19" i="8"/>
  <c r="N18" i="8"/>
  <c r="P18" i="8"/>
  <c r="O18" i="8"/>
  <c r="Q18" i="8"/>
  <c r="R18" i="8"/>
  <c r="N17" i="8"/>
  <c r="P17" i="8"/>
  <c r="O17" i="8"/>
  <c r="Q17" i="8"/>
  <c r="R17" i="8"/>
  <c r="N16" i="8"/>
  <c r="P16" i="8"/>
  <c r="O16" i="8"/>
  <c r="Q16" i="8"/>
  <c r="R16" i="8"/>
  <c r="N15" i="8"/>
  <c r="P15" i="8"/>
  <c r="O15" i="8"/>
  <c r="Q15" i="8"/>
  <c r="R15" i="8"/>
  <c r="N14" i="8"/>
  <c r="P14" i="8"/>
  <c r="O14" i="8"/>
  <c r="Q14" i="8"/>
  <c r="R14" i="8"/>
  <c r="N13" i="8"/>
  <c r="P13" i="8"/>
  <c r="O13" i="8"/>
  <c r="Q13" i="8"/>
  <c r="R13" i="8"/>
  <c r="N12" i="8"/>
  <c r="P12" i="8"/>
  <c r="O12" i="8"/>
  <c r="Q12" i="8"/>
  <c r="R12" i="8"/>
  <c r="N11" i="8"/>
  <c r="P11" i="8"/>
  <c r="O11" i="8"/>
  <c r="Q11" i="8"/>
  <c r="R11" i="8"/>
  <c r="N10" i="8"/>
  <c r="P10" i="8"/>
  <c r="O10" i="8"/>
  <c r="Q10" i="8"/>
  <c r="R10" i="8"/>
  <c r="N9" i="8"/>
  <c r="P9" i="8"/>
  <c r="O9" i="8"/>
  <c r="Q9" i="8"/>
  <c r="R9" i="8"/>
  <c r="N8" i="8"/>
  <c r="P8" i="8"/>
  <c r="O8" i="8"/>
  <c r="Q8" i="8"/>
  <c r="R8" i="8"/>
  <c r="N7" i="8"/>
  <c r="P7" i="8"/>
  <c r="O7" i="8"/>
  <c r="Q7" i="8"/>
  <c r="R7" i="8"/>
  <c r="N6" i="8"/>
  <c r="P6" i="8"/>
  <c r="O6" i="8"/>
  <c r="Q6" i="8"/>
  <c r="R6" i="8"/>
  <c r="N5" i="8"/>
  <c r="P5" i="8"/>
  <c r="O5" i="8"/>
  <c r="Q5" i="8"/>
  <c r="R5" i="8"/>
  <c r="N4" i="8"/>
  <c r="P4" i="8"/>
  <c r="O4" i="8"/>
  <c r="Q4" i="8"/>
  <c r="R4" i="8"/>
  <c r="N3" i="8"/>
  <c r="P3" i="8"/>
  <c r="O3" i="8"/>
  <c r="Q3" i="8"/>
  <c r="R3" i="8"/>
  <c r="J15" i="8"/>
  <c r="C12" i="8"/>
  <c r="E12" i="8"/>
  <c r="C11" i="8"/>
  <c r="E11" i="8"/>
  <c r="U23" i="6"/>
  <c r="X26" i="6"/>
  <c r="U19" i="6"/>
  <c r="R33" i="1"/>
  <c r="R31" i="1"/>
  <c r="R33" i="2"/>
  <c r="R31" i="2"/>
  <c r="T39" i="2"/>
  <c r="I3" i="4"/>
  <c r="J3" i="4"/>
  <c r="V39" i="2"/>
  <c r="R32" i="2"/>
  <c r="Q40" i="2"/>
  <c r="R40" i="2"/>
  <c r="R39" i="2"/>
  <c r="R25" i="2"/>
  <c r="W39" i="2"/>
  <c r="Q41" i="2"/>
  <c r="R41" i="2"/>
  <c r="Q42" i="2"/>
  <c r="R42" i="2"/>
  <c r="Q43" i="2"/>
  <c r="R43" i="2"/>
  <c r="Q44" i="2"/>
  <c r="R44" i="2"/>
  <c r="Q45" i="2"/>
  <c r="R45" i="2"/>
  <c r="Q46" i="2"/>
  <c r="R46" i="2"/>
  <c r="Q47" i="2"/>
  <c r="R47" i="2"/>
  <c r="Q48" i="2"/>
  <c r="R48" i="2"/>
  <c r="Q49" i="2"/>
  <c r="R49" i="2"/>
  <c r="Q50" i="2"/>
  <c r="R50" i="2"/>
  <c r="Q51" i="2"/>
  <c r="R51" i="2"/>
  <c r="Q52" i="2"/>
  <c r="R52" i="2"/>
  <c r="Q53" i="2"/>
  <c r="R53" i="2"/>
  <c r="Q54" i="2"/>
  <c r="R54" i="2"/>
  <c r="Q55" i="2"/>
  <c r="R55" i="2"/>
  <c r="Q56" i="2"/>
  <c r="R56" i="2"/>
  <c r="Q57" i="2"/>
  <c r="R57" i="2"/>
  <c r="Q58" i="2"/>
  <c r="R58" i="2"/>
  <c r="Q59" i="2"/>
  <c r="R59" i="2"/>
  <c r="Q60" i="2"/>
  <c r="R60" i="2"/>
  <c r="Q61" i="2"/>
  <c r="R61" i="2"/>
  <c r="Q62" i="2"/>
  <c r="R62" i="2"/>
  <c r="Q63" i="2"/>
  <c r="R63" i="2"/>
  <c r="Q64" i="2"/>
  <c r="R64" i="2"/>
  <c r="Q65" i="2"/>
  <c r="R65" i="2"/>
  <c r="Q66" i="2"/>
  <c r="R66" i="2"/>
  <c r="Q67" i="2"/>
  <c r="R67" i="2"/>
  <c r="Q68" i="2"/>
  <c r="R68" i="2"/>
  <c r="Q69" i="2"/>
  <c r="R69" i="2"/>
  <c r="Q70" i="2"/>
  <c r="R70" i="2"/>
  <c r="Q71" i="2"/>
  <c r="R71" i="2"/>
  <c r="Q72" i="2"/>
  <c r="R72" i="2"/>
  <c r="Q73" i="2"/>
  <c r="R73" i="2"/>
  <c r="Q74" i="2"/>
  <c r="R74" i="2"/>
  <c r="Q75" i="2"/>
  <c r="R75" i="2"/>
  <c r="Q76" i="2"/>
  <c r="R76" i="2"/>
  <c r="Q77" i="2"/>
  <c r="R77" i="2"/>
  <c r="Q78" i="2"/>
  <c r="R78" i="2"/>
  <c r="Q79" i="2"/>
  <c r="R79" i="2"/>
  <c r="Q80" i="2"/>
  <c r="R80" i="2"/>
  <c r="Q81" i="2"/>
  <c r="R81" i="2"/>
  <c r="Q82" i="2"/>
  <c r="R82" i="2"/>
  <c r="Q83" i="2"/>
  <c r="R83" i="2"/>
  <c r="Q84" i="2"/>
  <c r="R84" i="2"/>
  <c r="Q85" i="2"/>
  <c r="R85" i="2"/>
  <c r="Q86" i="2"/>
  <c r="R86" i="2"/>
  <c r="Q87" i="2"/>
  <c r="R87" i="2"/>
  <c r="Q88" i="2"/>
  <c r="R88" i="2"/>
  <c r="Q89" i="2"/>
  <c r="R89" i="2"/>
  <c r="Q90" i="2"/>
  <c r="R90" i="2"/>
  <c r="Q91" i="2"/>
  <c r="R91" i="2"/>
  <c r="Q92" i="2"/>
  <c r="R92" i="2"/>
  <c r="Q93" i="2"/>
  <c r="R93" i="2"/>
  <c r="Q94" i="2"/>
  <c r="R94" i="2"/>
  <c r="Q95" i="2"/>
  <c r="R95" i="2"/>
  <c r="Q96" i="2"/>
  <c r="R96" i="2"/>
  <c r="Q97" i="2"/>
  <c r="R97" i="2"/>
  <c r="Q98" i="2"/>
  <c r="R98" i="2"/>
  <c r="Q99" i="2"/>
  <c r="R99" i="2"/>
  <c r="Q100" i="2"/>
  <c r="R100" i="2"/>
  <c r="Q101" i="2"/>
  <c r="R101" i="2"/>
  <c r="Q102" i="2"/>
  <c r="R102" i="2"/>
  <c r="Q103" i="2"/>
  <c r="R103" i="2"/>
  <c r="Q104" i="2"/>
  <c r="R104" i="2"/>
  <c r="Q105" i="2"/>
  <c r="R105" i="2"/>
  <c r="Q106" i="2"/>
  <c r="R106" i="2"/>
  <c r="Q107" i="2"/>
  <c r="R107" i="2"/>
  <c r="Q108" i="2"/>
  <c r="R108" i="2"/>
  <c r="Q109" i="2"/>
  <c r="R109" i="2"/>
  <c r="Q110" i="2"/>
  <c r="R110" i="2"/>
  <c r="Q111" i="2"/>
  <c r="R111" i="2"/>
  <c r="Q112" i="2"/>
  <c r="R112" i="2"/>
  <c r="Q113" i="2"/>
  <c r="R113" i="2"/>
  <c r="Q114" i="2"/>
  <c r="R114" i="2"/>
  <c r="Q115" i="2"/>
  <c r="R115" i="2"/>
  <c r="Q116" i="2"/>
  <c r="R116" i="2"/>
  <c r="Q117" i="2"/>
  <c r="R117" i="2"/>
  <c r="Q118" i="2"/>
  <c r="R118" i="2"/>
  <c r="Q119" i="2"/>
  <c r="R119" i="2"/>
  <c r="Q120" i="2"/>
  <c r="R120" i="2"/>
  <c r="Q121" i="2"/>
  <c r="R121" i="2"/>
  <c r="Q122" i="2"/>
  <c r="R122" i="2"/>
  <c r="Q123" i="2"/>
  <c r="R123" i="2"/>
  <c r="Q124" i="2"/>
  <c r="R124" i="2"/>
  <c r="Q125" i="2"/>
  <c r="R125" i="2"/>
  <c r="Q126" i="2"/>
  <c r="R126" i="2"/>
  <c r="Q127" i="2"/>
  <c r="R127" i="2"/>
  <c r="Q128" i="2"/>
  <c r="R128" i="2"/>
  <c r="Q129" i="2"/>
  <c r="R129" i="2"/>
  <c r="Q130" i="2"/>
  <c r="R130" i="2"/>
  <c r="Q131" i="2"/>
  <c r="R131" i="2"/>
  <c r="Q132" i="2"/>
  <c r="R132" i="2"/>
  <c r="Q133" i="2"/>
  <c r="R133" i="2"/>
  <c r="Q134" i="2"/>
  <c r="R134" i="2"/>
  <c r="Q135" i="2"/>
  <c r="R135" i="2"/>
  <c r="Q136" i="2"/>
  <c r="R136" i="2"/>
  <c r="Q137" i="2"/>
  <c r="R137" i="2"/>
  <c r="Q138" i="2"/>
  <c r="R138" i="2"/>
  <c r="Q139" i="2"/>
  <c r="R139" i="2"/>
  <c r="Q140" i="2"/>
  <c r="R140" i="2"/>
  <c r="Q141" i="2"/>
  <c r="R141" i="2"/>
  <c r="Q142" i="2"/>
  <c r="R142" i="2"/>
  <c r="Q143" i="2"/>
  <c r="R143" i="2"/>
  <c r="Q144" i="2"/>
  <c r="R144" i="2"/>
  <c r="Q145" i="2"/>
  <c r="R145" i="2"/>
  <c r="Q146" i="2"/>
  <c r="R146" i="2"/>
  <c r="Q147" i="2"/>
  <c r="R147" i="2"/>
  <c r="Q148" i="2"/>
  <c r="R148" i="2"/>
  <c r="Q149" i="2"/>
  <c r="R149" i="2"/>
  <c r="Q150" i="2"/>
  <c r="R150" i="2"/>
  <c r="Q151" i="2"/>
  <c r="R151" i="2"/>
  <c r="Q152" i="2"/>
  <c r="R152" i="2"/>
  <c r="Q153" i="2"/>
  <c r="R153" i="2"/>
  <c r="Q154" i="2"/>
  <c r="R154" i="2"/>
  <c r="Q155" i="2"/>
  <c r="R155" i="2"/>
  <c r="Q156" i="2"/>
  <c r="R156" i="2"/>
  <c r="Q157" i="2"/>
  <c r="R157" i="2"/>
  <c r="Q158" i="2"/>
  <c r="R158" i="2"/>
  <c r="Q159" i="2"/>
  <c r="R159" i="2"/>
  <c r="Q160" i="2"/>
  <c r="R160" i="2"/>
  <c r="Q161" i="2"/>
  <c r="R161" i="2"/>
  <c r="Q162" i="2"/>
  <c r="R162" i="2"/>
  <c r="Q163" i="2"/>
  <c r="R163" i="2"/>
  <c r="Q164" i="2"/>
  <c r="R164" i="2"/>
  <c r="Q165" i="2"/>
  <c r="R165" i="2"/>
  <c r="Q166" i="2"/>
  <c r="R166" i="2"/>
  <c r="Q167" i="2"/>
  <c r="R167" i="2"/>
  <c r="Q168" i="2"/>
  <c r="R168" i="2"/>
  <c r="Q169" i="2"/>
  <c r="R169" i="2"/>
  <c r="Q170" i="2"/>
  <c r="R170" i="2"/>
  <c r="Q171" i="2"/>
  <c r="R171" i="2"/>
  <c r="Q172" i="2"/>
  <c r="R172" i="2"/>
  <c r="Q173" i="2"/>
  <c r="R173" i="2"/>
  <c r="Q174" i="2"/>
  <c r="R174" i="2"/>
  <c r="Q175" i="2"/>
  <c r="R175" i="2"/>
  <c r="Q176" i="2"/>
  <c r="R176" i="2"/>
  <c r="Q177" i="2"/>
  <c r="R177" i="2"/>
  <c r="Q178" i="2"/>
  <c r="R178" i="2"/>
  <c r="Q179" i="2"/>
  <c r="R179" i="2"/>
  <c r="Q180" i="2"/>
  <c r="R180" i="2"/>
  <c r="Q181" i="2"/>
  <c r="R181" i="2"/>
  <c r="Q182" i="2"/>
  <c r="R182" i="2"/>
  <c r="Q183" i="2"/>
  <c r="R183" i="2"/>
  <c r="Q184" i="2"/>
  <c r="R184" i="2"/>
  <c r="Q185" i="2"/>
  <c r="R185" i="2"/>
  <c r="Q186" i="2"/>
  <c r="R186" i="2"/>
  <c r="Q187" i="2"/>
  <c r="R187" i="2"/>
  <c r="Q188" i="2"/>
  <c r="R188" i="2"/>
  <c r="Q189" i="2"/>
  <c r="R189" i="2"/>
  <c r="Q190" i="2"/>
  <c r="R190" i="2"/>
  <c r="Q191" i="2"/>
  <c r="R191" i="2"/>
  <c r="Q192" i="2"/>
  <c r="R192" i="2"/>
  <c r="Q193" i="2"/>
  <c r="R193" i="2"/>
  <c r="Q194" i="2"/>
  <c r="R194" i="2"/>
  <c r="Q195" i="2"/>
  <c r="R195" i="2"/>
  <c r="Q196" i="2"/>
  <c r="R196" i="2"/>
  <c r="Q197" i="2"/>
  <c r="R197" i="2"/>
  <c r="Q198" i="2"/>
  <c r="R198" i="2"/>
  <c r="Q199" i="2"/>
  <c r="R199" i="2"/>
  <c r="Q200" i="2"/>
  <c r="R200" i="2"/>
  <c r="Q201" i="2"/>
  <c r="R201" i="2"/>
  <c r="Q202" i="2"/>
  <c r="R202" i="2"/>
  <c r="Q203" i="2"/>
  <c r="R203" i="2"/>
  <c r="Q204" i="2"/>
  <c r="R204" i="2"/>
  <c r="Q205" i="2"/>
  <c r="R205" i="2"/>
  <c r="Q206" i="2"/>
  <c r="R206" i="2"/>
  <c r="Q207" i="2"/>
  <c r="R207" i="2"/>
  <c r="Q208" i="2"/>
  <c r="R208" i="2"/>
  <c r="Q209" i="2"/>
  <c r="R209" i="2"/>
  <c r="Q210" i="2"/>
  <c r="R210" i="2"/>
  <c r="Q211" i="2"/>
  <c r="R211" i="2"/>
  <c r="Q212" i="2"/>
  <c r="R212" i="2"/>
  <c r="Q213" i="2"/>
  <c r="R213" i="2"/>
  <c r="Q214" i="2"/>
  <c r="R214" i="2"/>
  <c r="Q215" i="2"/>
  <c r="R215" i="2"/>
  <c r="Q216" i="2"/>
  <c r="R216" i="2"/>
  <c r="Q217" i="2"/>
  <c r="R217" i="2"/>
  <c r="Q218" i="2"/>
  <c r="R218" i="2"/>
  <c r="Q219" i="2"/>
  <c r="R219" i="2"/>
  <c r="Q220" i="2"/>
  <c r="R220" i="2"/>
  <c r="Q221" i="2"/>
  <c r="R221" i="2"/>
  <c r="Q222" i="2"/>
  <c r="R222" i="2"/>
  <c r="Q223" i="2"/>
  <c r="R223" i="2"/>
  <c r="Q224" i="2"/>
  <c r="R224" i="2"/>
  <c r="Q225" i="2"/>
  <c r="R225" i="2"/>
  <c r="Q226" i="2"/>
  <c r="R226" i="2"/>
  <c r="Q227" i="2"/>
  <c r="R227" i="2"/>
  <c r="Q228" i="2"/>
  <c r="R228" i="2"/>
  <c r="Q229" i="2"/>
  <c r="R229" i="2"/>
  <c r="Q230" i="2"/>
  <c r="R230" i="2"/>
  <c r="Q231" i="2"/>
  <c r="R231" i="2"/>
  <c r="Q232" i="2"/>
  <c r="R232" i="2"/>
  <c r="Q233" i="2"/>
  <c r="R233" i="2"/>
  <c r="Q234" i="2"/>
  <c r="R234" i="2"/>
  <c r="Q235" i="2"/>
  <c r="R235" i="2"/>
  <c r="Q236" i="2"/>
  <c r="R236" i="2"/>
  <c r="Q237" i="2"/>
  <c r="R237" i="2"/>
  <c r="Q238" i="2"/>
  <c r="R238" i="2"/>
  <c r="Q239" i="2"/>
  <c r="R239" i="2"/>
  <c r="V39" i="1"/>
  <c r="T39" i="1"/>
  <c r="R32" i="1"/>
  <c r="Q40" i="1"/>
  <c r="R40" i="1"/>
  <c r="R39" i="1"/>
  <c r="R25" i="1"/>
  <c r="W39" i="1"/>
  <c r="V40" i="1"/>
  <c r="Q41" i="1"/>
  <c r="R41" i="1"/>
  <c r="W40" i="1"/>
  <c r="V41" i="1"/>
  <c r="Q42" i="1"/>
  <c r="R42" i="1"/>
  <c r="W41" i="1"/>
  <c r="V42" i="1"/>
  <c r="Q43" i="1"/>
  <c r="R43" i="1"/>
  <c r="W42" i="1"/>
  <c r="V43" i="1"/>
  <c r="Q44" i="1"/>
  <c r="R44" i="1"/>
  <c r="W43" i="1"/>
  <c r="V44" i="1"/>
  <c r="Q45" i="1"/>
  <c r="R45" i="1"/>
  <c r="W44" i="1"/>
  <c r="V45" i="1"/>
  <c r="Q46" i="1"/>
  <c r="R46" i="1"/>
  <c r="W45" i="1"/>
  <c r="V46" i="1"/>
  <c r="Q47" i="1"/>
  <c r="R47" i="1"/>
  <c r="W46" i="1"/>
  <c r="V47" i="1"/>
  <c r="Q48" i="1"/>
  <c r="R48" i="1"/>
  <c r="W47" i="1"/>
  <c r="V48" i="1"/>
  <c r="Q49" i="1"/>
  <c r="R49" i="1"/>
  <c r="W48" i="1"/>
  <c r="V49" i="1"/>
  <c r="Q50" i="1"/>
  <c r="R50" i="1"/>
  <c r="W49" i="1"/>
  <c r="V50" i="1"/>
  <c r="Q51" i="1"/>
  <c r="R51" i="1"/>
  <c r="W50" i="1"/>
  <c r="V51" i="1"/>
  <c r="Q52" i="1"/>
  <c r="R52" i="1"/>
  <c r="W51" i="1"/>
  <c r="V52" i="1"/>
  <c r="Q53" i="1"/>
  <c r="R53" i="1"/>
  <c r="W52" i="1"/>
  <c r="V53" i="1"/>
  <c r="Q54" i="1"/>
  <c r="R54" i="1"/>
  <c r="W53" i="1"/>
  <c r="V54" i="1"/>
  <c r="Q55" i="1"/>
  <c r="R55" i="1"/>
  <c r="W54" i="1"/>
  <c r="V55" i="1"/>
  <c r="Q56" i="1"/>
  <c r="R56" i="1"/>
  <c r="W55" i="1"/>
  <c r="V56" i="1"/>
  <c r="Q57" i="1"/>
  <c r="R57" i="1"/>
  <c r="W56" i="1"/>
  <c r="V57" i="1"/>
  <c r="Q58" i="1"/>
  <c r="R58" i="1"/>
  <c r="W57" i="1"/>
  <c r="V58" i="1"/>
  <c r="Q59" i="1"/>
  <c r="R59" i="1"/>
  <c r="W58" i="1"/>
  <c r="V59" i="1"/>
  <c r="Q60" i="1"/>
  <c r="R60" i="1"/>
  <c r="W59" i="1"/>
  <c r="V60" i="1"/>
  <c r="Q61" i="1"/>
  <c r="R61" i="1"/>
  <c r="W60" i="1"/>
  <c r="V61" i="1"/>
  <c r="Q62" i="1"/>
  <c r="R62" i="1"/>
  <c r="W61" i="1"/>
  <c r="V62" i="1"/>
  <c r="Q63" i="1"/>
  <c r="R63" i="1"/>
  <c r="W62" i="1"/>
  <c r="V63" i="1"/>
  <c r="Q64" i="1"/>
  <c r="R64" i="1"/>
  <c r="W63" i="1"/>
  <c r="V64" i="1"/>
  <c r="Q65" i="1"/>
  <c r="R65" i="1"/>
  <c r="W64" i="1"/>
  <c r="V65" i="1"/>
  <c r="Q66" i="1"/>
  <c r="R66" i="1"/>
  <c r="W65" i="1"/>
  <c r="V66" i="1"/>
  <c r="Q67" i="1"/>
  <c r="R67" i="1"/>
  <c r="W66" i="1"/>
  <c r="V67" i="1"/>
  <c r="Q68" i="1"/>
  <c r="R68" i="1"/>
  <c r="W67" i="1"/>
  <c r="V68" i="1"/>
  <c r="Q69" i="1"/>
  <c r="R69" i="1"/>
  <c r="W68" i="1"/>
  <c r="V69" i="1"/>
  <c r="Q70" i="1"/>
  <c r="R70" i="1"/>
  <c r="W69" i="1"/>
  <c r="V70" i="1"/>
  <c r="Q71" i="1"/>
  <c r="R71" i="1"/>
  <c r="W70" i="1"/>
  <c r="V71" i="1"/>
  <c r="Q72" i="1"/>
  <c r="R72" i="1"/>
  <c r="W71" i="1"/>
  <c r="V72" i="1"/>
  <c r="Q73" i="1"/>
  <c r="R73" i="1"/>
  <c r="W72" i="1"/>
  <c r="V73" i="1"/>
  <c r="Q74" i="1"/>
  <c r="R74" i="1"/>
  <c r="W73" i="1"/>
  <c r="V74" i="1"/>
  <c r="Q75" i="1"/>
  <c r="R75" i="1"/>
  <c r="W74" i="1"/>
  <c r="V75" i="1"/>
  <c r="Q76" i="1"/>
  <c r="R76" i="1"/>
  <c r="W75" i="1"/>
  <c r="V76" i="1"/>
  <c r="Q77" i="1"/>
  <c r="R77" i="1"/>
  <c r="W76" i="1"/>
  <c r="V77" i="1"/>
  <c r="Q78" i="1"/>
  <c r="R78" i="1"/>
  <c r="W77" i="1"/>
  <c r="V78" i="1"/>
  <c r="Q79" i="1"/>
  <c r="R79" i="1"/>
  <c r="W78" i="1"/>
  <c r="V79" i="1"/>
  <c r="Q80" i="1"/>
  <c r="R80" i="1"/>
  <c r="W79" i="1"/>
  <c r="V80" i="1"/>
  <c r="Q81" i="1"/>
  <c r="R81" i="1"/>
  <c r="W80" i="1"/>
  <c r="V81" i="1"/>
  <c r="Q82" i="1"/>
  <c r="R82" i="1"/>
  <c r="W81" i="1"/>
  <c r="V82" i="1"/>
  <c r="Q83" i="1"/>
  <c r="R83" i="1"/>
  <c r="W82" i="1"/>
  <c r="V83" i="1"/>
  <c r="Q84" i="1"/>
  <c r="R84" i="1"/>
  <c r="W83" i="1"/>
  <c r="V84" i="1"/>
  <c r="Q85" i="1"/>
  <c r="R85" i="1"/>
  <c r="W84" i="1"/>
  <c r="V85" i="1"/>
  <c r="Q86" i="1"/>
  <c r="R86" i="1"/>
  <c r="W85" i="1"/>
  <c r="V86" i="1"/>
  <c r="Q87" i="1"/>
  <c r="R87" i="1"/>
  <c r="W86" i="1"/>
  <c r="V87" i="1"/>
  <c r="Q88" i="1"/>
  <c r="R88" i="1"/>
  <c r="W87" i="1"/>
  <c r="V88" i="1"/>
  <c r="Q89" i="1"/>
  <c r="R89" i="1"/>
  <c r="W88" i="1"/>
  <c r="V89" i="1"/>
  <c r="Q90" i="1"/>
  <c r="R90" i="1"/>
  <c r="W89" i="1"/>
  <c r="V90" i="1"/>
  <c r="Q91" i="1"/>
  <c r="R91" i="1"/>
  <c r="W90" i="1"/>
  <c r="V91" i="1"/>
  <c r="Q92" i="1"/>
  <c r="R92" i="1"/>
  <c r="W91" i="1"/>
  <c r="V92" i="1"/>
  <c r="Q93" i="1"/>
  <c r="R93" i="1"/>
  <c r="W92" i="1"/>
  <c r="V93" i="1"/>
  <c r="Q94" i="1"/>
  <c r="R94" i="1"/>
  <c r="W93" i="1"/>
  <c r="V94" i="1"/>
  <c r="Q95" i="1"/>
  <c r="R95" i="1"/>
  <c r="W94" i="1"/>
  <c r="V95" i="1"/>
  <c r="Q96" i="1"/>
  <c r="R96" i="1"/>
  <c r="W95" i="1"/>
  <c r="V96" i="1"/>
  <c r="Q97" i="1"/>
  <c r="R97" i="1"/>
  <c r="W96" i="1"/>
  <c r="V97" i="1"/>
  <c r="Q98" i="1"/>
  <c r="R98" i="1"/>
  <c r="W97" i="1"/>
  <c r="V98" i="1"/>
  <c r="Q99" i="1"/>
  <c r="R99" i="1"/>
  <c r="W98" i="1"/>
  <c r="V99" i="1"/>
  <c r="Q100" i="1"/>
  <c r="R100" i="1"/>
  <c r="W99" i="1"/>
  <c r="V100" i="1"/>
  <c r="Q101" i="1"/>
  <c r="R101" i="1"/>
  <c r="W100" i="1"/>
  <c r="V101" i="1"/>
  <c r="Q102" i="1"/>
  <c r="R102" i="1"/>
  <c r="W101" i="1"/>
  <c r="V102" i="1"/>
  <c r="Q103" i="1"/>
  <c r="R103" i="1"/>
  <c r="W102" i="1"/>
  <c r="V103" i="1"/>
  <c r="Q104" i="1"/>
  <c r="R104" i="1"/>
  <c r="W103" i="1"/>
  <c r="V104" i="1"/>
  <c r="Q105" i="1"/>
  <c r="R105" i="1"/>
  <c r="W104" i="1"/>
  <c r="V105" i="1"/>
  <c r="Q106" i="1"/>
  <c r="R106" i="1"/>
  <c r="W105" i="1"/>
  <c r="V106" i="1"/>
  <c r="Q107" i="1"/>
  <c r="R107" i="1"/>
  <c r="W106" i="1"/>
  <c r="V107" i="1"/>
  <c r="Q108" i="1"/>
  <c r="R108" i="1"/>
  <c r="W107" i="1"/>
  <c r="V108" i="1"/>
  <c r="Q109" i="1"/>
  <c r="R109" i="1"/>
  <c r="W108" i="1"/>
  <c r="V109" i="1"/>
  <c r="Q110" i="1"/>
  <c r="R110" i="1"/>
  <c r="W109" i="1"/>
  <c r="V110" i="1"/>
  <c r="Q111" i="1"/>
  <c r="R111" i="1"/>
  <c r="W110" i="1"/>
  <c r="V111" i="1"/>
  <c r="Q112" i="1"/>
  <c r="R112" i="1"/>
  <c r="W111" i="1"/>
  <c r="V112" i="1"/>
  <c r="Q113" i="1"/>
  <c r="R113" i="1"/>
  <c r="W112" i="1"/>
  <c r="V113" i="1"/>
  <c r="Q114" i="1"/>
  <c r="R114" i="1"/>
  <c r="W113" i="1"/>
  <c r="V114" i="1"/>
  <c r="Q115" i="1"/>
  <c r="R115" i="1"/>
  <c r="W114" i="1"/>
  <c r="V115" i="1"/>
  <c r="Q116" i="1"/>
  <c r="R116" i="1"/>
  <c r="W115" i="1"/>
  <c r="V116" i="1"/>
  <c r="Q117" i="1"/>
  <c r="R117" i="1"/>
  <c r="W116" i="1"/>
  <c r="V117" i="1"/>
  <c r="Q118" i="1"/>
  <c r="R118" i="1"/>
  <c r="W117" i="1"/>
  <c r="V118" i="1"/>
  <c r="Q119" i="1"/>
  <c r="R119" i="1"/>
  <c r="W118" i="1"/>
  <c r="V119" i="1"/>
  <c r="Q120" i="1"/>
  <c r="R120" i="1"/>
  <c r="W119" i="1"/>
  <c r="V120" i="1"/>
  <c r="Q121" i="1"/>
  <c r="R121" i="1"/>
  <c r="W120" i="1"/>
  <c r="V121" i="1"/>
  <c r="Q122" i="1"/>
  <c r="R122" i="1"/>
  <c r="W121" i="1"/>
  <c r="V122" i="1"/>
  <c r="Q123" i="1"/>
  <c r="R123" i="1"/>
  <c r="W122" i="1"/>
  <c r="V123" i="1"/>
  <c r="Q124" i="1"/>
  <c r="R124" i="1"/>
  <c r="W123" i="1"/>
  <c r="V124" i="1"/>
  <c r="Q125" i="1"/>
  <c r="R125" i="1"/>
  <c r="W124" i="1"/>
  <c r="V125" i="1"/>
  <c r="Q126" i="1"/>
  <c r="R126" i="1"/>
  <c r="W125" i="1"/>
  <c r="V126" i="1"/>
  <c r="Q127" i="1"/>
  <c r="R127" i="1"/>
  <c r="W126" i="1"/>
  <c r="V127" i="1"/>
  <c r="Q128" i="1"/>
  <c r="R128" i="1"/>
  <c r="W127" i="1"/>
  <c r="V128" i="1"/>
  <c r="Q129" i="1"/>
  <c r="R129" i="1"/>
  <c r="W128" i="1"/>
  <c r="V129" i="1"/>
  <c r="Q130" i="1"/>
  <c r="R130" i="1"/>
  <c r="W129" i="1"/>
  <c r="V130" i="1"/>
  <c r="Q131" i="1"/>
  <c r="R131" i="1"/>
  <c r="W130" i="1"/>
  <c r="V131" i="1"/>
  <c r="Q132" i="1"/>
  <c r="R132" i="1"/>
  <c r="W131" i="1"/>
  <c r="V132" i="1"/>
  <c r="Q133" i="1"/>
  <c r="R133" i="1"/>
  <c r="W132" i="1"/>
  <c r="V133" i="1"/>
  <c r="Q134" i="1"/>
  <c r="R134" i="1"/>
  <c r="W133" i="1"/>
  <c r="V134" i="1"/>
  <c r="Q135" i="1"/>
  <c r="R135" i="1"/>
  <c r="W134" i="1"/>
  <c r="V135" i="1"/>
  <c r="Q136" i="1"/>
  <c r="R136" i="1"/>
  <c r="W135" i="1"/>
  <c r="V136" i="1"/>
  <c r="Q137" i="1"/>
  <c r="R137" i="1"/>
  <c r="W136" i="1"/>
  <c r="V137" i="1"/>
  <c r="Q138" i="1"/>
  <c r="R138" i="1"/>
  <c r="W137" i="1"/>
  <c r="V138" i="1"/>
  <c r="Q139" i="1"/>
  <c r="R139" i="1"/>
  <c r="W138" i="1"/>
  <c r="V139" i="1"/>
  <c r="Q140" i="1"/>
  <c r="R140" i="1"/>
  <c r="W139" i="1"/>
  <c r="V140" i="1"/>
  <c r="Q141" i="1"/>
  <c r="R141" i="1"/>
  <c r="W140" i="1"/>
  <c r="V141" i="1"/>
  <c r="Q142" i="1"/>
  <c r="R142" i="1"/>
  <c r="W141" i="1"/>
  <c r="V142" i="1"/>
  <c r="Q143" i="1"/>
  <c r="R143" i="1"/>
  <c r="W142" i="1"/>
  <c r="V143" i="1"/>
  <c r="Q144" i="1"/>
  <c r="R144" i="1"/>
  <c r="W143" i="1"/>
  <c r="V144" i="1"/>
  <c r="Q145" i="1"/>
  <c r="R145" i="1"/>
  <c r="W144" i="1"/>
  <c r="V145" i="1"/>
  <c r="Q146" i="1"/>
  <c r="R146" i="1"/>
  <c r="W145" i="1"/>
  <c r="V146" i="1"/>
  <c r="Q147" i="1"/>
  <c r="R147" i="1"/>
  <c r="W146" i="1"/>
  <c r="V147" i="1"/>
  <c r="Q148" i="1"/>
  <c r="R148" i="1"/>
  <c r="W147" i="1"/>
  <c r="V148" i="1"/>
  <c r="Q149" i="1"/>
  <c r="R149" i="1"/>
  <c r="W148" i="1"/>
  <c r="V149" i="1"/>
  <c r="Q150" i="1"/>
  <c r="R150" i="1"/>
  <c r="W149" i="1"/>
  <c r="V150" i="1"/>
  <c r="Q151" i="1"/>
  <c r="R151" i="1"/>
  <c r="W150" i="1"/>
  <c r="V151" i="1"/>
  <c r="Q152" i="1"/>
  <c r="R152" i="1"/>
  <c r="W151" i="1"/>
  <c r="V152" i="1"/>
  <c r="Q153" i="1"/>
  <c r="R153" i="1"/>
  <c r="W152" i="1"/>
  <c r="V153" i="1"/>
  <c r="Q154" i="1"/>
  <c r="R154" i="1"/>
  <c r="W153" i="1"/>
  <c r="V154" i="1"/>
  <c r="Q155" i="1"/>
  <c r="R155" i="1"/>
  <c r="W154" i="1"/>
  <c r="V155" i="1"/>
  <c r="Q156" i="1"/>
  <c r="R156" i="1"/>
  <c r="W155" i="1"/>
  <c r="V156" i="1"/>
  <c r="Q157" i="1"/>
  <c r="R157" i="1"/>
  <c r="W156" i="1"/>
  <c r="V157" i="1"/>
  <c r="Q158" i="1"/>
  <c r="R158" i="1"/>
  <c r="W157" i="1"/>
  <c r="V158" i="1"/>
  <c r="Q159" i="1"/>
  <c r="R159" i="1"/>
  <c r="W158" i="1"/>
  <c r="V159" i="1"/>
  <c r="Q160" i="1"/>
  <c r="R160" i="1"/>
  <c r="W159" i="1"/>
  <c r="V160" i="1"/>
  <c r="Q161" i="1"/>
  <c r="R161" i="1"/>
  <c r="W160" i="1"/>
  <c r="V161" i="1"/>
  <c r="Q162" i="1"/>
  <c r="R162" i="1"/>
  <c r="W161" i="1"/>
  <c r="V162" i="1"/>
  <c r="Q163" i="1"/>
  <c r="R163" i="1"/>
  <c r="W162" i="1"/>
  <c r="V163" i="1"/>
  <c r="Q164" i="1"/>
  <c r="R164" i="1"/>
  <c r="W163" i="1"/>
  <c r="V164" i="1"/>
  <c r="Q165" i="1"/>
  <c r="R165" i="1"/>
  <c r="W164" i="1"/>
  <c r="V165" i="1"/>
  <c r="Q166" i="1"/>
  <c r="R166" i="1"/>
  <c r="W165" i="1"/>
  <c r="V166" i="1"/>
  <c r="Q167" i="1"/>
  <c r="R167" i="1"/>
  <c r="W166" i="1"/>
  <c r="V167" i="1"/>
  <c r="Q168" i="1"/>
  <c r="R168" i="1"/>
  <c r="W167" i="1"/>
  <c r="V168" i="1"/>
  <c r="Q169" i="1"/>
  <c r="R169" i="1"/>
  <c r="W168" i="1"/>
  <c r="V169" i="1"/>
  <c r="Q170" i="1"/>
  <c r="R170" i="1"/>
  <c r="W169" i="1"/>
  <c r="V170" i="1"/>
  <c r="Q171" i="1"/>
  <c r="R171" i="1"/>
  <c r="W170" i="1"/>
  <c r="V171" i="1"/>
  <c r="Q172" i="1"/>
  <c r="R172" i="1"/>
  <c r="W171" i="1"/>
  <c r="V172" i="1"/>
  <c r="Q173" i="1"/>
  <c r="R173" i="1"/>
  <c r="W172" i="1"/>
  <c r="V173" i="1"/>
  <c r="Q174" i="1"/>
  <c r="R174" i="1"/>
  <c r="W173" i="1"/>
  <c r="V174" i="1"/>
  <c r="Q175" i="1"/>
  <c r="R175" i="1"/>
  <c r="W174" i="1"/>
  <c r="V175" i="1"/>
  <c r="Q176" i="1"/>
  <c r="R176" i="1"/>
  <c r="W175" i="1"/>
  <c r="V176" i="1"/>
  <c r="Q177" i="1"/>
  <c r="R177" i="1"/>
  <c r="W176" i="1"/>
  <c r="V177" i="1"/>
  <c r="Q178" i="1"/>
  <c r="R178" i="1"/>
  <c r="W177" i="1"/>
  <c r="V178" i="1"/>
  <c r="Q179" i="1"/>
  <c r="R179" i="1"/>
  <c r="W178" i="1"/>
  <c r="V179" i="1"/>
  <c r="Q180" i="1"/>
  <c r="R180" i="1"/>
  <c r="W179" i="1"/>
  <c r="V180" i="1"/>
  <c r="Q181" i="1"/>
  <c r="R181" i="1"/>
  <c r="W180" i="1"/>
  <c r="V181" i="1"/>
  <c r="Q182" i="1"/>
  <c r="R182" i="1"/>
  <c r="W181" i="1"/>
  <c r="V182" i="1"/>
  <c r="Q183" i="1"/>
  <c r="R183" i="1"/>
  <c r="W182" i="1"/>
  <c r="V183" i="1"/>
  <c r="Q184" i="1"/>
  <c r="R184" i="1"/>
  <c r="W183" i="1"/>
  <c r="V184" i="1"/>
  <c r="Q185" i="1"/>
  <c r="R185" i="1"/>
  <c r="W184" i="1"/>
  <c r="V185" i="1"/>
  <c r="Q186" i="1"/>
  <c r="R186" i="1"/>
  <c r="W185" i="1"/>
  <c r="V186" i="1"/>
  <c r="Q187" i="1"/>
  <c r="R187" i="1"/>
  <c r="W186" i="1"/>
  <c r="V187" i="1"/>
  <c r="Q188" i="1"/>
  <c r="R188" i="1"/>
  <c r="W187" i="1"/>
  <c r="V188" i="1"/>
  <c r="Q189" i="1"/>
  <c r="R189" i="1"/>
  <c r="W188" i="1"/>
  <c r="V189" i="1"/>
  <c r="Q190" i="1"/>
  <c r="R190" i="1"/>
  <c r="W189" i="1"/>
  <c r="V190" i="1"/>
  <c r="Q191" i="1"/>
  <c r="R191" i="1"/>
  <c r="W190" i="1"/>
  <c r="V191" i="1"/>
  <c r="Q192" i="1"/>
  <c r="R192" i="1"/>
  <c r="W191" i="1"/>
  <c r="V192" i="1"/>
  <c r="Q193" i="1"/>
  <c r="R193" i="1"/>
  <c r="W192" i="1"/>
  <c r="V193" i="1"/>
  <c r="Q194" i="1"/>
  <c r="R194" i="1"/>
  <c r="W193" i="1"/>
  <c r="V194" i="1"/>
  <c r="Q195" i="1"/>
  <c r="R195" i="1"/>
  <c r="W194" i="1"/>
  <c r="V195" i="1"/>
  <c r="Q196" i="1"/>
  <c r="R196" i="1"/>
  <c r="W195" i="1"/>
  <c r="V196" i="1"/>
  <c r="Q197" i="1"/>
  <c r="R197" i="1"/>
  <c r="W196" i="1"/>
  <c r="V197" i="1"/>
  <c r="Q198" i="1"/>
  <c r="R198" i="1"/>
  <c r="W197" i="1"/>
  <c r="V198" i="1"/>
  <c r="Q199" i="1"/>
  <c r="R199" i="1"/>
  <c r="W198" i="1"/>
  <c r="V199" i="1"/>
  <c r="Q200" i="1"/>
  <c r="R200" i="1"/>
  <c r="W199" i="1"/>
  <c r="V200" i="1"/>
  <c r="Q201" i="1"/>
  <c r="R201" i="1"/>
  <c r="W200" i="1"/>
  <c r="V201" i="1"/>
  <c r="Q202" i="1"/>
  <c r="R202" i="1"/>
  <c r="W201" i="1"/>
  <c r="V202" i="1"/>
  <c r="Q203" i="1"/>
  <c r="R203" i="1"/>
  <c r="W202" i="1"/>
  <c r="V203" i="1"/>
  <c r="Q204" i="1"/>
  <c r="R204" i="1"/>
  <c r="W203" i="1"/>
  <c r="V204" i="1"/>
  <c r="Q205" i="1"/>
  <c r="R205" i="1"/>
  <c r="W204" i="1"/>
  <c r="V205" i="1"/>
  <c r="Q206" i="1"/>
  <c r="R206" i="1"/>
  <c r="W205" i="1"/>
  <c r="V206" i="1"/>
  <c r="Q207" i="1"/>
  <c r="R207" i="1"/>
  <c r="W206" i="1"/>
  <c r="V207" i="1"/>
  <c r="Q208" i="1"/>
  <c r="R208" i="1"/>
  <c r="W207" i="1"/>
  <c r="V208" i="1"/>
  <c r="Q209" i="1"/>
  <c r="R209" i="1"/>
  <c r="W208" i="1"/>
  <c r="V209" i="1"/>
  <c r="Q210" i="1"/>
  <c r="R210" i="1"/>
  <c r="W209" i="1"/>
  <c r="V210" i="1"/>
  <c r="Q211" i="1"/>
  <c r="R211" i="1"/>
  <c r="W210" i="1"/>
  <c r="V211" i="1"/>
  <c r="Q212" i="1"/>
  <c r="R212" i="1"/>
  <c r="W211" i="1"/>
  <c r="V212" i="1"/>
  <c r="Q213" i="1"/>
  <c r="R213" i="1"/>
  <c r="W212" i="1"/>
  <c r="V213" i="1"/>
  <c r="Q214" i="1"/>
  <c r="R214" i="1"/>
  <c r="W213" i="1"/>
  <c r="V214" i="1"/>
  <c r="Q215" i="1"/>
  <c r="R215" i="1"/>
  <c r="W214" i="1"/>
  <c r="V215" i="1"/>
  <c r="Q216" i="1"/>
  <c r="R216" i="1"/>
  <c r="W215" i="1"/>
  <c r="V216" i="1"/>
  <c r="Q217" i="1"/>
  <c r="R217" i="1"/>
  <c r="W216" i="1"/>
  <c r="V217" i="1"/>
  <c r="Q218" i="1"/>
  <c r="R218" i="1"/>
  <c r="W217" i="1"/>
  <c r="V218" i="1"/>
  <c r="Q219" i="1"/>
  <c r="R219" i="1"/>
  <c r="W218" i="1"/>
  <c r="V219" i="1"/>
  <c r="Q220" i="1"/>
  <c r="R220" i="1"/>
  <c r="W219" i="1"/>
  <c r="V220" i="1"/>
  <c r="Q221" i="1"/>
  <c r="R221" i="1"/>
  <c r="W220" i="1"/>
  <c r="V221" i="1"/>
  <c r="Q222" i="1"/>
  <c r="R222" i="1"/>
  <c r="W221" i="1"/>
  <c r="V222" i="1"/>
  <c r="Q223" i="1"/>
  <c r="R223" i="1"/>
  <c r="W222" i="1"/>
  <c r="V223" i="1"/>
  <c r="Q224" i="1"/>
  <c r="R224" i="1"/>
  <c r="W223" i="1"/>
  <c r="V224" i="1"/>
  <c r="Q225" i="1"/>
  <c r="R225" i="1"/>
  <c r="W224" i="1"/>
  <c r="V225" i="1"/>
  <c r="Q226" i="1"/>
  <c r="R226" i="1"/>
  <c r="W225" i="1"/>
  <c r="V226" i="1"/>
  <c r="Q227" i="1"/>
  <c r="R227" i="1"/>
  <c r="W226" i="1"/>
  <c r="V227" i="1"/>
  <c r="Q228" i="1"/>
  <c r="R228" i="1"/>
  <c r="W227" i="1"/>
  <c r="V228" i="1"/>
  <c r="Q229" i="1"/>
  <c r="R229" i="1"/>
  <c r="W228" i="1"/>
  <c r="V229" i="1"/>
  <c r="Q230" i="1"/>
  <c r="R230" i="1"/>
  <c r="W229" i="1"/>
  <c r="V230" i="1"/>
  <c r="Q231" i="1"/>
  <c r="R231" i="1"/>
  <c r="W230" i="1"/>
  <c r="V231" i="1"/>
  <c r="Q232" i="1"/>
  <c r="R232" i="1"/>
  <c r="W231" i="1"/>
  <c r="V232" i="1"/>
  <c r="Q233" i="1"/>
  <c r="R233" i="1"/>
  <c r="W232" i="1"/>
  <c r="V233" i="1"/>
  <c r="Q234" i="1"/>
  <c r="R234" i="1"/>
  <c r="W233" i="1"/>
  <c r="V234" i="1"/>
  <c r="Q235" i="1"/>
  <c r="R235" i="1"/>
  <c r="W234" i="1"/>
  <c r="V235" i="1"/>
  <c r="Q236" i="1"/>
  <c r="R236" i="1"/>
  <c r="W235" i="1"/>
  <c r="V236" i="1"/>
  <c r="Q237" i="1"/>
  <c r="R237" i="1"/>
  <c r="W236" i="1"/>
  <c r="V237" i="1"/>
  <c r="Q238" i="1"/>
  <c r="R238" i="1"/>
  <c r="W237" i="1"/>
  <c r="V238" i="1"/>
  <c r="Q239" i="1"/>
  <c r="R239" i="1"/>
  <c r="AL43" i="1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I34" i="4"/>
  <c r="J33" i="4"/>
  <c r="I33" i="4"/>
  <c r="J32" i="4"/>
  <c r="I32" i="4"/>
  <c r="J31" i="4"/>
  <c r="I31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J30" i="4"/>
  <c r="I30" i="4"/>
  <c r="J29" i="4"/>
  <c r="I29" i="4"/>
  <c r="J28" i="4"/>
  <c r="I28" i="4"/>
  <c r="J27" i="4"/>
  <c r="I27" i="4"/>
  <c r="J26" i="4"/>
  <c r="I26" i="4"/>
  <c r="J25" i="4"/>
  <c r="I25" i="4"/>
  <c r="J24" i="4"/>
  <c r="I24" i="4"/>
  <c r="J23" i="4"/>
  <c r="I23" i="4"/>
  <c r="J22" i="4"/>
  <c r="I22" i="4"/>
  <c r="J21" i="4"/>
  <c r="I21" i="4"/>
  <c r="J20" i="4"/>
  <c r="I20" i="4"/>
  <c r="J19" i="4"/>
  <c r="I19" i="4"/>
  <c r="J18" i="4"/>
  <c r="I18" i="4"/>
  <c r="J17" i="4"/>
  <c r="I17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6" i="4"/>
  <c r="I6" i="4"/>
  <c r="J5" i="4"/>
  <c r="I5" i="4"/>
  <c r="J4" i="4"/>
  <c r="I4" i="4"/>
  <c r="D39" i="2"/>
  <c r="F39" i="2"/>
  <c r="B25" i="2"/>
  <c r="G39" i="2"/>
  <c r="B33" i="2"/>
  <c r="B31" i="2"/>
  <c r="B32" i="2"/>
  <c r="A40" i="2"/>
  <c r="B40" i="2"/>
  <c r="B39" i="2"/>
  <c r="D40" i="2"/>
  <c r="A41" i="2"/>
  <c r="B41" i="2"/>
  <c r="B4" i="1"/>
  <c r="H48" i="6"/>
  <c r="H49" i="6"/>
  <c r="H50" i="6"/>
  <c r="H51" i="6"/>
  <c r="D48" i="6"/>
  <c r="C48" i="6"/>
  <c r="C50" i="6"/>
  <c r="B48" i="6"/>
  <c r="B49" i="6"/>
  <c r="B50" i="6"/>
  <c r="B51" i="6"/>
  <c r="O33" i="6"/>
  <c r="O32" i="6"/>
  <c r="O34" i="6"/>
  <c r="K27" i="6"/>
  <c r="K28" i="6"/>
  <c r="K29" i="6"/>
  <c r="K30" i="6"/>
  <c r="E27" i="6"/>
  <c r="D29" i="6"/>
  <c r="B28" i="6"/>
  <c r="B30" i="6"/>
  <c r="X27" i="6"/>
  <c r="X28" i="6"/>
  <c r="X29" i="6"/>
  <c r="R26" i="6"/>
  <c r="R27" i="6"/>
  <c r="R28" i="6"/>
  <c r="R29" i="6"/>
  <c r="H11" i="6"/>
  <c r="G11" i="6"/>
  <c r="I11" i="6"/>
  <c r="L51" i="5"/>
  <c r="L50" i="5"/>
  <c r="D6" i="5"/>
  <c r="E6" i="5"/>
  <c r="F6" i="5"/>
  <c r="M34" i="5"/>
  <c r="H6" i="5"/>
  <c r="G6" i="5"/>
  <c r="N34" i="5"/>
  <c r="O34" i="5"/>
  <c r="L49" i="5"/>
  <c r="L48" i="5"/>
  <c r="F5" i="5"/>
  <c r="M33" i="5"/>
  <c r="B16" i="5"/>
  <c r="H7" i="5"/>
  <c r="H5" i="5"/>
  <c r="G5" i="5"/>
  <c r="N33" i="5"/>
  <c r="O33" i="5"/>
  <c r="L47" i="5"/>
  <c r="H11" i="5"/>
  <c r="G11" i="5"/>
  <c r="I11" i="5"/>
  <c r="L46" i="5"/>
  <c r="L45" i="5"/>
  <c r="F4" i="5"/>
  <c r="H4" i="5"/>
  <c r="G4" i="5"/>
  <c r="L44" i="5"/>
  <c r="L43" i="5"/>
  <c r="L42" i="5"/>
  <c r="L41" i="5"/>
  <c r="D16" i="5"/>
  <c r="L40" i="5"/>
  <c r="L39" i="5"/>
  <c r="H34" i="5"/>
  <c r="H35" i="5"/>
  <c r="H36" i="5"/>
  <c r="H37" i="5"/>
  <c r="G34" i="5"/>
  <c r="G35" i="5"/>
  <c r="G36" i="5"/>
  <c r="G37" i="5"/>
  <c r="F34" i="5"/>
  <c r="F35" i="5"/>
  <c r="F36" i="5"/>
  <c r="F37" i="5"/>
  <c r="D4" i="5"/>
  <c r="E4" i="5"/>
  <c r="E34" i="5"/>
  <c r="D5" i="5"/>
  <c r="E5" i="5"/>
  <c r="E35" i="5"/>
  <c r="E36" i="5"/>
  <c r="E37" i="5"/>
  <c r="D34" i="5"/>
  <c r="D35" i="5"/>
  <c r="D36" i="5"/>
  <c r="D37" i="5"/>
  <c r="C34" i="5"/>
  <c r="C35" i="5"/>
  <c r="C36" i="5"/>
  <c r="C37" i="5"/>
  <c r="B34" i="5"/>
  <c r="B35" i="5"/>
  <c r="B36" i="5"/>
  <c r="B37" i="5"/>
  <c r="F7" i="5"/>
  <c r="M35" i="5"/>
  <c r="G7" i="5"/>
  <c r="N35" i="5"/>
  <c r="O35" i="5"/>
  <c r="M32" i="5"/>
  <c r="N32" i="5"/>
  <c r="O32" i="5"/>
  <c r="S25" i="5"/>
  <c r="S26" i="5"/>
  <c r="S27" i="5"/>
  <c r="S28" i="5"/>
  <c r="R25" i="5"/>
  <c r="R26" i="5"/>
  <c r="R27" i="5"/>
  <c r="R28" i="5"/>
  <c r="Q25" i="5"/>
  <c r="Q26" i="5"/>
  <c r="Q27" i="5"/>
  <c r="Q28" i="5"/>
  <c r="P25" i="5"/>
  <c r="P26" i="5"/>
  <c r="P27" i="5"/>
  <c r="P28" i="5"/>
  <c r="O25" i="5"/>
  <c r="O26" i="5"/>
  <c r="O27" i="5"/>
  <c r="O28" i="5"/>
  <c r="N25" i="5"/>
  <c r="N26" i="5"/>
  <c r="N27" i="5"/>
  <c r="N28" i="5"/>
  <c r="M25" i="5"/>
  <c r="M26" i="5"/>
  <c r="M27" i="5"/>
  <c r="M28" i="5"/>
  <c r="H22" i="5"/>
  <c r="H23" i="5"/>
  <c r="H24" i="5"/>
  <c r="H25" i="5"/>
  <c r="G22" i="5"/>
  <c r="G23" i="5"/>
  <c r="G24" i="5"/>
  <c r="G25" i="5"/>
  <c r="F22" i="5"/>
  <c r="F23" i="5"/>
  <c r="F24" i="5"/>
  <c r="F25" i="5"/>
  <c r="E22" i="5"/>
  <c r="E23" i="5"/>
  <c r="E24" i="5"/>
  <c r="E25" i="5"/>
  <c r="D22" i="5"/>
  <c r="D23" i="5"/>
  <c r="D24" i="5"/>
  <c r="D25" i="5"/>
  <c r="C22" i="5"/>
  <c r="C23" i="5"/>
  <c r="C24" i="5"/>
  <c r="C25" i="5"/>
  <c r="B22" i="5"/>
  <c r="B23" i="5"/>
  <c r="B24" i="5"/>
  <c r="B25" i="5"/>
  <c r="H14" i="5"/>
  <c r="E7" i="5"/>
  <c r="D7" i="5"/>
  <c r="C7" i="5"/>
  <c r="B7" i="5"/>
  <c r="D41" i="2"/>
  <c r="A42" i="2"/>
  <c r="B42" i="2"/>
  <c r="D42" i="2"/>
  <c r="A43" i="2"/>
  <c r="B43" i="2"/>
  <c r="D43" i="2"/>
  <c r="A44" i="2"/>
  <c r="B44" i="2"/>
  <c r="D44" i="2"/>
  <c r="A45" i="2"/>
  <c r="B45" i="2"/>
  <c r="D45" i="2"/>
  <c r="A46" i="2"/>
  <c r="B46" i="2"/>
  <c r="D46" i="2"/>
  <c r="A47" i="2"/>
  <c r="B47" i="2"/>
  <c r="D47" i="2"/>
  <c r="A48" i="2"/>
  <c r="B48" i="2"/>
  <c r="D48" i="2"/>
  <c r="A49" i="2"/>
  <c r="B49" i="2"/>
  <c r="D49" i="2"/>
  <c r="A50" i="2"/>
  <c r="B50" i="2"/>
  <c r="D50" i="2"/>
  <c r="A51" i="2"/>
  <c r="B51" i="2"/>
  <c r="D51" i="2"/>
  <c r="A52" i="2"/>
  <c r="B52" i="2"/>
  <c r="D52" i="2"/>
  <c r="A53" i="2"/>
  <c r="B53" i="2"/>
  <c r="D53" i="2"/>
  <c r="A54" i="2"/>
  <c r="B54" i="2"/>
  <c r="D54" i="2"/>
  <c r="A55" i="2"/>
  <c r="B55" i="2"/>
  <c r="D55" i="2"/>
  <c r="A56" i="2"/>
  <c r="B56" i="2"/>
  <c r="D56" i="2"/>
  <c r="A57" i="2"/>
  <c r="B57" i="2"/>
  <c r="D57" i="2"/>
  <c r="A58" i="2"/>
  <c r="B58" i="2"/>
  <c r="D58" i="2"/>
  <c r="A59" i="2"/>
  <c r="B59" i="2"/>
  <c r="D59" i="2"/>
  <c r="A60" i="2"/>
  <c r="B60" i="2"/>
  <c r="D60" i="2"/>
  <c r="A61" i="2"/>
  <c r="B61" i="2"/>
  <c r="D61" i="2"/>
  <c r="A62" i="2"/>
  <c r="B62" i="2"/>
  <c r="D62" i="2"/>
  <c r="A63" i="2"/>
  <c r="B63" i="2"/>
  <c r="D63" i="2"/>
  <c r="A64" i="2"/>
  <c r="B64" i="2"/>
  <c r="D64" i="2"/>
  <c r="A65" i="2"/>
  <c r="B65" i="2"/>
  <c r="D65" i="2"/>
  <c r="A66" i="2"/>
  <c r="B66" i="2"/>
  <c r="D66" i="2"/>
  <c r="A67" i="2"/>
  <c r="B67" i="2"/>
  <c r="D67" i="2"/>
  <c r="A68" i="2"/>
  <c r="B68" i="2"/>
  <c r="D68" i="2"/>
  <c r="A69" i="2"/>
  <c r="B69" i="2"/>
  <c r="D69" i="2"/>
  <c r="A70" i="2"/>
  <c r="B70" i="2"/>
  <c r="D70" i="2"/>
  <c r="A71" i="2"/>
  <c r="B71" i="2"/>
  <c r="D71" i="2"/>
  <c r="A72" i="2"/>
  <c r="B72" i="2"/>
  <c r="D72" i="2"/>
  <c r="A73" i="2"/>
  <c r="B73" i="2"/>
  <c r="D73" i="2"/>
  <c r="A74" i="2"/>
  <c r="B74" i="2"/>
  <c r="D74" i="2"/>
  <c r="A75" i="2"/>
  <c r="B75" i="2"/>
  <c r="D75" i="2"/>
  <c r="A76" i="2"/>
  <c r="B76" i="2"/>
  <c r="D76" i="2"/>
  <c r="A77" i="2"/>
  <c r="B77" i="2"/>
  <c r="D77" i="2"/>
  <c r="A78" i="2"/>
  <c r="B78" i="2"/>
  <c r="D78" i="2"/>
  <c r="A79" i="2"/>
  <c r="B79" i="2"/>
  <c r="D79" i="2"/>
  <c r="A80" i="2"/>
  <c r="B80" i="2"/>
  <c r="D80" i="2"/>
  <c r="A81" i="2"/>
  <c r="B81" i="2"/>
  <c r="D81" i="2"/>
  <c r="A82" i="2"/>
  <c r="B82" i="2"/>
  <c r="D82" i="2"/>
  <c r="A83" i="2"/>
  <c r="B83" i="2"/>
  <c r="D83" i="2"/>
  <c r="A84" i="2"/>
  <c r="B84" i="2"/>
  <c r="D84" i="2"/>
  <c r="A85" i="2"/>
  <c r="B85" i="2"/>
  <c r="D85" i="2"/>
  <c r="A86" i="2"/>
  <c r="B86" i="2"/>
  <c r="D86" i="2"/>
  <c r="A87" i="2"/>
  <c r="B87" i="2"/>
  <c r="D87" i="2"/>
  <c r="A88" i="2"/>
  <c r="B88" i="2"/>
  <c r="D88" i="2"/>
  <c r="A89" i="2"/>
  <c r="B89" i="2"/>
  <c r="D89" i="2"/>
  <c r="A90" i="2"/>
  <c r="B90" i="2"/>
  <c r="D90" i="2"/>
  <c r="A91" i="2"/>
  <c r="B91" i="2"/>
  <c r="D91" i="2"/>
  <c r="A92" i="2"/>
  <c r="B92" i="2"/>
  <c r="D92" i="2"/>
  <c r="A93" i="2"/>
  <c r="B93" i="2"/>
  <c r="D93" i="2"/>
  <c r="A94" i="2"/>
  <c r="B94" i="2"/>
  <c r="D94" i="2"/>
  <c r="A95" i="2"/>
  <c r="B95" i="2"/>
  <c r="D95" i="2"/>
  <c r="A96" i="2"/>
  <c r="B96" i="2"/>
  <c r="D96" i="2"/>
  <c r="A97" i="2"/>
  <c r="B97" i="2"/>
  <c r="D97" i="2"/>
  <c r="A98" i="2"/>
  <c r="B98" i="2"/>
  <c r="D98" i="2"/>
  <c r="A99" i="2"/>
  <c r="B99" i="2"/>
  <c r="D99" i="2"/>
  <c r="A100" i="2"/>
  <c r="B100" i="2"/>
  <c r="D100" i="2"/>
  <c r="A101" i="2"/>
  <c r="B101" i="2"/>
  <c r="D101" i="2"/>
  <c r="A102" i="2"/>
  <c r="B102" i="2"/>
  <c r="D102" i="2"/>
  <c r="A103" i="2"/>
  <c r="B103" i="2"/>
  <c r="D103" i="2"/>
  <c r="A104" i="2"/>
  <c r="B104" i="2"/>
  <c r="D104" i="2"/>
  <c r="A105" i="2"/>
  <c r="B105" i="2"/>
  <c r="D105" i="2"/>
  <c r="A106" i="2"/>
  <c r="B106" i="2"/>
  <c r="D106" i="2"/>
  <c r="A107" i="2"/>
  <c r="B107" i="2"/>
  <c r="D107" i="2"/>
  <c r="A108" i="2"/>
  <c r="B108" i="2"/>
  <c r="D108" i="2"/>
  <c r="A109" i="2"/>
  <c r="B109" i="2"/>
  <c r="D109" i="2"/>
  <c r="A110" i="2"/>
  <c r="B110" i="2"/>
  <c r="D110" i="2"/>
  <c r="A111" i="2"/>
  <c r="B111" i="2"/>
  <c r="D111" i="2"/>
  <c r="A112" i="2"/>
  <c r="B112" i="2"/>
  <c r="D112" i="2"/>
  <c r="A113" i="2"/>
  <c r="B113" i="2"/>
  <c r="D113" i="2"/>
  <c r="A114" i="2"/>
  <c r="B114" i="2"/>
  <c r="D114" i="2"/>
  <c r="A115" i="2"/>
  <c r="B115" i="2"/>
  <c r="D115" i="2"/>
  <c r="A116" i="2"/>
  <c r="B116" i="2"/>
  <c r="D116" i="2"/>
  <c r="A117" i="2"/>
  <c r="B117" i="2"/>
  <c r="D117" i="2"/>
  <c r="A118" i="2"/>
  <c r="B118" i="2"/>
  <c r="D118" i="2"/>
  <c r="A119" i="2"/>
  <c r="B119" i="2"/>
  <c r="D119" i="2"/>
  <c r="A120" i="2"/>
  <c r="B120" i="2"/>
  <c r="D120" i="2"/>
  <c r="A121" i="2"/>
  <c r="B121" i="2"/>
  <c r="D121" i="2"/>
  <c r="A122" i="2"/>
  <c r="B122" i="2"/>
  <c r="D122" i="2"/>
  <c r="A123" i="2"/>
  <c r="B123" i="2"/>
  <c r="D123" i="2"/>
  <c r="A124" i="2"/>
  <c r="B124" i="2"/>
  <c r="D124" i="2"/>
  <c r="A125" i="2"/>
  <c r="B125" i="2"/>
  <c r="D125" i="2"/>
  <c r="A126" i="2"/>
  <c r="B126" i="2"/>
  <c r="D126" i="2"/>
  <c r="A127" i="2"/>
  <c r="B127" i="2"/>
  <c r="D127" i="2"/>
  <c r="A128" i="2"/>
  <c r="B128" i="2"/>
  <c r="D128" i="2"/>
  <c r="A129" i="2"/>
  <c r="B129" i="2"/>
  <c r="D129" i="2"/>
  <c r="A130" i="2"/>
  <c r="B130" i="2"/>
  <c r="D130" i="2"/>
  <c r="A131" i="2"/>
  <c r="B131" i="2"/>
  <c r="D131" i="2"/>
  <c r="A132" i="2"/>
  <c r="B132" i="2"/>
  <c r="D132" i="2"/>
  <c r="A133" i="2"/>
  <c r="B133" i="2"/>
  <c r="D133" i="2"/>
  <c r="A134" i="2"/>
  <c r="B134" i="2"/>
  <c r="D134" i="2"/>
  <c r="A135" i="2"/>
  <c r="B135" i="2"/>
  <c r="D135" i="2"/>
  <c r="A136" i="2"/>
  <c r="B136" i="2"/>
  <c r="D136" i="2"/>
  <c r="A137" i="2"/>
  <c r="B137" i="2"/>
  <c r="D137" i="2"/>
  <c r="A138" i="2"/>
  <c r="B138" i="2"/>
  <c r="D138" i="2"/>
  <c r="A139" i="2"/>
  <c r="B139" i="2"/>
  <c r="D139" i="2"/>
  <c r="A140" i="2"/>
  <c r="B140" i="2"/>
  <c r="D140" i="2"/>
  <c r="A141" i="2"/>
  <c r="B141" i="2"/>
  <c r="D141" i="2"/>
  <c r="A142" i="2"/>
  <c r="B142" i="2"/>
  <c r="D142" i="2"/>
  <c r="A143" i="2"/>
  <c r="B143" i="2"/>
  <c r="D143" i="2"/>
  <c r="A144" i="2"/>
  <c r="B144" i="2"/>
  <c r="D144" i="2"/>
  <c r="A145" i="2"/>
  <c r="B145" i="2"/>
  <c r="D145" i="2"/>
  <c r="A146" i="2"/>
  <c r="B146" i="2"/>
  <c r="D146" i="2"/>
  <c r="A147" i="2"/>
  <c r="B147" i="2"/>
  <c r="D147" i="2"/>
  <c r="A148" i="2"/>
  <c r="B148" i="2"/>
  <c r="D148" i="2"/>
  <c r="A149" i="2"/>
  <c r="B149" i="2"/>
  <c r="D149" i="2"/>
  <c r="A150" i="2"/>
  <c r="B150" i="2"/>
  <c r="D150" i="2"/>
  <c r="A151" i="2"/>
  <c r="B151" i="2"/>
  <c r="D151" i="2"/>
  <c r="A152" i="2"/>
  <c r="B152" i="2"/>
  <c r="D152" i="2"/>
  <c r="A153" i="2"/>
  <c r="B153" i="2"/>
  <c r="D153" i="2"/>
  <c r="A154" i="2"/>
  <c r="B154" i="2"/>
  <c r="D154" i="2"/>
  <c r="A155" i="2"/>
  <c r="B155" i="2"/>
  <c r="D155" i="2"/>
  <c r="A156" i="2"/>
  <c r="B156" i="2"/>
  <c r="D156" i="2"/>
  <c r="A157" i="2"/>
  <c r="B157" i="2"/>
  <c r="D157" i="2"/>
  <c r="A158" i="2"/>
  <c r="B158" i="2"/>
  <c r="D158" i="2"/>
  <c r="A159" i="2"/>
  <c r="B159" i="2"/>
  <c r="D159" i="2"/>
  <c r="A160" i="2"/>
  <c r="B160" i="2"/>
  <c r="D160" i="2"/>
  <c r="A161" i="2"/>
  <c r="B161" i="2"/>
  <c r="D161" i="2"/>
  <c r="A162" i="2"/>
  <c r="B162" i="2"/>
  <c r="D162" i="2"/>
  <c r="A163" i="2"/>
  <c r="B163" i="2"/>
  <c r="D163" i="2"/>
  <c r="A164" i="2"/>
  <c r="B164" i="2"/>
  <c r="D164" i="2"/>
  <c r="A165" i="2"/>
  <c r="B165" i="2"/>
  <c r="D165" i="2"/>
  <c r="A166" i="2"/>
  <c r="B166" i="2"/>
  <c r="D166" i="2"/>
  <c r="A167" i="2"/>
  <c r="B167" i="2"/>
  <c r="D167" i="2"/>
  <c r="A168" i="2"/>
  <c r="B168" i="2"/>
  <c r="D168" i="2"/>
  <c r="A169" i="2"/>
  <c r="B169" i="2"/>
  <c r="D169" i="2"/>
  <c r="A170" i="2"/>
  <c r="B170" i="2"/>
  <c r="D170" i="2"/>
  <c r="A171" i="2"/>
  <c r="B171" i="2"/>
  <c r="D171" i="2"/>
  <c r="A172" i="2"/>
  <c r="B172" i="2"/>
  <c r="D172" i="2"/>
  <c r="A173" i="2"/>
  <c r="B173" i="2"/>
  <c r="D173" i="2"/>
  <c r="A174" i="2"/>
  <c r="B174" i="2"/>
  <c r="D174" i="2"/>
  <c r="A175" i="2"/>
  <c r="B175" i="2"/>
  <c r="D175" i="2"/>
  <c r="A176" i="2"/>
  <c r="B176" i="2"/>
  <c r="D176" i="2"/>
  <c r="A177" i="2"/>
  <c r="B177" i="2"/>
  <c r="D177" i="2"/>
  <c r="A178" i="2"/>
  <c r="B178" i="2"/>
  <c r="D178" i="2"/>
  <c r="A179" i="2"/>
  <c r="B179" i="2"/>
  <c r="D179" i="2"/>
  <c r="A180" i="2"/>
  <c r="B180" i="2"/>
  <c r="D180" i="2"/>
  <c r="A181" i="2"/>
  <c r="B181" i="2"/>
  <c r="D181" i="2"/>
  <c r="A182" i="2"/>
  <c r="B182" i="2"/>
  <c r="D182" i="2"/>
  <c r="A183" i="2"/>
  <c r="B183" i="2"/>
  <c r="D183" i="2"/>
  <c r="A184" i="2"/>
  <c r="B184" i="2"/>
  <c r="D184" i="2"/>
  <c r="A185" i="2"/>
  <c r="B185" i="2"/>
  <c r="D185" i="2"/>
  <c r="A186" i="2"/>
  <c r="B186" i="2"/>
  <c r="D186" i="2"/>
  <c r="A187" i="2"/>
  <c r="B187" i="2"/>
  <c r="D187" i="2"/>
  <c r="A188" i="2"/>
  <c r="B188" i="2"/>
  <c r="D188" i="2"/>
  <c r="A189" i="2"/>
  <c r="B189" i="2"/>
  <c r="D189" i="2"/>
  <c r="A190" i="2"/>
  <c r="B190" i="2"/>
  <c r="D190" i="2"/>
  <c r="A191" i="2"/>
  <c r="B191" i="2"/>
  <c r="D191" i="2"/>
  <c r="A192" i="2"/>
  <c r="B192" i="2"/>
  <c r="D192" i="2"/>
  <c r="A193" i="2"/>
  <c r="B193" i="2"/>
  <c r="D193" i="2"/>
  <c r="A194" i="2"/>
  <c r="B194" i="2"/>
  <c r="D194" i="2"/>
  <c r="A195" i="2"/>
  <c r="B195" i="2"/>
  <c r="D195" i="2"/>
  <c r="A196" i="2"/>
  <c r="B196" i="2"/>
  <c r="D196" i="2"/>
  <c r="A197" i="2"/>
  <c r="B197" i="2"/>
  <c r="D197" i="2"/>
  <c r="A198" i="2"/>
  <c r="B198" i="2"/>
  <c r="D198" i="2"/>
  <c r="A199" i="2"/>
  <c r="B199" i="2"/>
  <c r="D199" i="2"/>
  <c r="A200" i="2"/>
  <c r="B200" i="2"/>
  <c r="D200" i="2"/>
  <c r="A201" i="2"/>
  <c r="B201" i="2"/>
  <c r="D201" i="2"/>
  <c r="A202" i="2"/>
  <c r="B202" i="2"/>
  <c r="D202" i="2"/>
  <c r="A203" i="2"/>
  <c r="B203" i="2"/>
  <c r="D203" i="2"/>
  <c r="A204" i="2"/>
  <c r="B204" i="2"/>
  <c r="D204" i="2"/>
  <c r="A205" i="2"/>
  <c r="B205" i="2"/>
  <c r="D205" i="2"/>
  <c r="A206" i="2"/>
  <c r="B206" i="2"/>
  <c r="D206" i="2"/>
  <c r="A207" i="2"/>
  <c r="B207" i="2"/>
  <c r="D207" i="2"/>
  <c r="A208" i="2"/>
  <c r="B208" i="2"/>
  <c r="D208" i="2"/>
  <c r="A209" i="2"/>
  <c r="B209" i="2"/>
  <c r="D209" i="2"/>
  <c r="A210" i="2"/>
  <c r="B210" i="2"/>
  <c r="D210" i="2"/>
  <c r="A211" i="2"/>
  <c r="B211" i="2"/>
  <c r="D211" i="2"/>
  <c r="A212" i="2"/>
  <c r="B212" i="2"/>
  <c r="D212" i="2"/>
  <c r="A213" i="2"/>
  <c r="B213" i="2"/>
  <c r="D213" i="2"/>
  <c r="A214" i="2"/>
  <c r="B214" i="2"/>
  <c r="D214" i="2"/>
  <c r="A215" i="2"/>
  <c r="B215" i="2"/>
  <c r="D215" i="2"/>
  <c r="A216" i="2"/>
  <c r="B216" i="2"/>
  <c r="D216" i="2"/>
  <c r="A217" i="2"/>
  <c r="B217" i="2"/>
  <c r="D217" i="2"/>
  <c r="A218" i="2"/>
  <c r="B218" i="2"/>
  <c r="D218" i="2"/>
  <c r="A219" i="2"/>
  <c r="B219" i="2"/>
  <c r="D219" i="2"/>
  <c r="A220" i="2"/>
  <c r="B220" i="2"/>
  <c r="D220" i="2"/>
  <c r="A221" i="2"/>
  <c r="B221" i="2"/>
  <c r="D221" i="2"/>
  <c r="A222" i="2"/>
  <c r="B222" i="2"/>
  <c r="D222" i="2"/>
  <c r="A223" i="2"/>
  <c r="B223" i="2"/>
  <c r="D223" i="2"/>
  <c r="A224" i="2"/>
  <c r="B224" i="2"/>
  <c r="D224" i="2"/>
  <c r="A225" i="2"/>
  <c r="B225" i="2"/>
  <c r="D225" i="2"/>
  <c r="A226" i="2"/>
  <c r="B226" i="2"/>
  <c r="D226" i="2"/>
  <c r="A227" i="2"/>
  <c r="B227" i="2"/>
  <c r="D227" i="2"/>
  <c r="A228" i="2"/>
  <c r="B228" i="2"/>
  <c r="D228" i="2"/>
  <c r="A229" i="2"/>
  <c r="B229" i="2"/>
  <c r="D229" i="2"/>
  <c r="A230" i="2"/>
  <c r="B230" i="2"/>
  <c r="D230" i="2"/>
  <c r="A231" i="2"/>
  <c r="B231" i="2"/>
  <c r="D231" i="2"/>
  <c r="A232" i="2"/>
  <c r="B232" i="2"/>
  <c r="D232" i="2"/>
  <c r="A233" i="2"/>
  <c r="B233" i="2"/>
  <c r="D233" i="2"/>
  <c r="A234" i="2"/>
  <c r="B234" i="2"/>
  <c r="D234" i="2"/>
  <c r="A235" i="2"/>
  <c r="B235" i="2"/>
  <c r="D235" i="2"/>
  <c r="A236" i="2"/>
  <c r="B236" i="2"/>
  <c r="D236" i="2"/>
  <c r="A237" i="2"/>
  <c r="B237" i="2"/>
  <c r="D237" i="2"/>
  <c r="A238" i="2"/>
  <c r="B238" i="2"/>
  <c r="D238" i="2"/>
  <c r="A239" i="2"/>
  <c r="B239" i="2"/>
  <c r="W238" i="1"/>
  <c r="B33" i="1"/>
  <c r="A40" i="1"/>
  <c r="B40" i="1"/>
  <c r="B39" i="1"/>
  <c r="B31" i="1"/>
  <c r="B32" i="1"/>
  <c r="F39" i="1"/>
  <c r="B25" i="1"/>
  <c r="G39" i="1"/>
  <c r="D39" i="1"/>
  <c r="A41" i="1"/>
  <c r="B41" i="1"/>
  <c r="D40" i="1"/>
  <c r="F40" i="1"/>
  <c r="G40" i="1"/>
  <c r="A42" i="1"/>
  <c r="B42" i="1"/>
  <c r="D41" i="1"/>
  <c r="F41" i="1"/>
  <c r="G41" i="1"/>
  <c r="A43" i="1"/>
  <c r="B43" i="1"/>
  <c r="D42" i="1"/>
  <c r="F42" i="1"/>
  <c r="G42" i="1"/>
  <c r="A44" i="1"/>
  <c r="B44" i="1"/>
  <c r="D43" i="1"/>
  <c r="F43" i="1"/>
  <c r="G43" i="1"/>
  <c r="A45" i="1"/>
  <c r="B45" i="1"/>
  <c r="D44" i="1"/>
  <c r="F44" i="1"/>
  <c r="G44" i="1"/>
  <c r="A46" i="1"/>
  <c r="B46" i="1"/>
  <c r="D45" i="1"/>
  <c r="F45" i="1"/>
  <c r="G45" i="1"/>
  <c r="A47" i="1"/>
  <c r="B47" i="1"/>
  <c r="D46" i="1"/>
  <c r="F46" i="1"/>
  <c r="G46" i="1"/>
  <c r="A48" i="1"/>
  <c r="B48" i="1"/>
  <c r="D47" i="1"/>
  <c r="F47" i="1"/>
  <c r="G47" i="1"/>
  <c r="A49" i="1"/>
  <c r="B49" i="1"/>
  <c r="D48" i="1"/>
  <c r="F48" i="1"/>
  <c r="G48" i="1"/>
  <c r="A50" i="1"/>
  <c r="B50" i="1"/>
  <c r="D49" i="1"/>
  <c r="F49" i="1"/>
  <c r="G49" i="1"/>
  <c r="A51" i="1"/>
  <c r="B51" i="1"/>
  <c r="D50" i="1"/>
  <c r="F50" i="1"/>
  <c r="G50" i="1"/>
  <c r="A52" i="1"/>
  <c r="B52" i="1"/>
  <c r="D51" i="1"/>
  <c r="F51" i="1"/>
  <c r="G51" i="1"/>
  <c r="A53" i="1"/>
  <c r="B53" i="1"/>
  <c r="D52" i="1"/>
  <c r="F52" i="1"/>
  <c r="G52" i="1"/>
  <c r="A54" i="1"/>
  <c r="B54" i="1"/>
  <c r="D53" i="1"/>
  <c r="F53" i="1"/>
  <c r="G53" i="1"/>
  <c r="A55" i="1"/>
  <c r="B55" i="1"/>
  <c r="D54" i="1"/>
  <c r="F54" i="1"/>
  <c r="G54" i="1"/>
  <c r="A56" i="1"/>
  <c r="B56" i="1"/>
  <c r="D55" i="1"/>
  <c r="F55" i="1"/>
  <c r="G55" i="1"/>
  <c r="A57" i="1"/>
  <c r="B57" i="1"/>
  <c r="D56" i="1"/>
  <c r="F56" i="1"/>
  <c r="G56" i="1"/>
  <c r="A58" i="1"/>
  <c r="B58" i="1"/>
  <c r="D57" i="1"/>
  <c r="F57" i="1"/>
  <c r="G57" i="1"/>
  <c r="A59" i="1"/>
  <c r="B59" i="1"/>
  <c r="D58" i="1"/>
  <c r="F58" i="1"/>
  <c r="G58" i="1"/>
  <c r="A60" i="1"/>
  <c r="B60" i="1"/>
  <c r="D59" i="1"/>
  <c r="F59" i="1"/>
  <c r="G59" i="1"/>
  <c r="A61" i="1"/>
  <c r="B61" i="1"/>
  <c r="D60" i="1"/>
  <c r="F60" i="1"/>
  <c r="G60" i="1"/>
  <c r="A62" i="1"/>
  <c r="B62" i="1"/>
  <c r="D61" i="1"/>
  <c r="F61" i="1"/>
  <c r="G61" i="1"/>
  <c r="A63" i="1"/>
  <c r="B63" i="1"/>
  <c r="D62" i="1"/>
  <c r="F62" i="1"/>
  <c r="G62" i="1"/>
  <c r="A64" i="1"/>
  <c r="B64" i="1"/>
  <c r="D63" i="1"/>
  <c r="F63" i="1"/>
  <c r="G63" i="1"/>
  <c r="A65" i="1"/>
  <c r="B65" i="1"/>
  <c r="D64" i="1"/>
  <c r="F64" i="1"/>
  <c r="G64" i="1"/>
  <c r="A66" i="1"/>
  <c r="B66" i="1"/>
  <c r="D65" i="1"/>
  <c r="F65" i="1"/>
  <c r="G65" i="1"/>
  <c r="A67" i="1"/>
  <c r="B67" i="1"/>
  <c r="D66" i="1"/>
  <c r="F66" i="1"/>
  <c r="G66" i="1"/>
  <c r="A68" i="1"/>
  <c r="B68" i="1"/>
  <c r="D67" i="1"/>
  <c r="F67" i="1"/>
  <c r="G67" i="1"/>
  <c r="A69" i="1"/>
  <c r="B69" i="1"/>
  <c r="D68" i="1"/>
  <c r="F68" i="1"/>
  <c r="G68" i="1"/>
  <c r="A70" i="1"/>
  <c r="B70" i="1"/>
  <c r="D69" i="1"/>
  <c r="F69" i="1"/>
  <c r="G69" i="1"/>
  <c r="A71" i="1"/>
  <c r="B71" i="1"/>
  <c r="D70" i="1"/>
  <c r="F70" i="1"/>
  <c r="G70" i="1"/>
  <c r="A72" i="1"/>
  <c r="B72" i="1"/>
  <c r="D71" i="1"/>
  <c r="F71" i="1"/>
  <c r="G71" i="1"/>
  <c r="A73" i="1"/>
  <c r="B73" i="1"/>
  <c r="D72" i="1"/>
  <c r="F72" i="1"/>
  <c r="G72" i="1"/>
  <c r="A74" i="1"/>
  <c r="B74" i="1"/>
  <c r="D73" i="1"/>
  <c r="F73" i="1"/>
  <c r="G73" i="1"/>
  <c r="A75" i="1"/>
  <c r="B75" i="1"/>
  <c r="D74" i="1"/>
  <c r="F74" i="1"/>
  <c r="G74" i="1"/>
  <c r="A76" i="1"/>
  <c r="B76" i="1"/>
  <c r="D75" i="1"/>
  <c r="F75" i="1"/>
  <c r="G75" i="1"/>
  <c r="A77" i="1"/>
  <c r="B77" i="1"/>
  <c r="D76" i="1"/>
  <c r="F76" i="1"/>
  <c r="G76" i="1"/>
  <c r="A78" i="1"/>
  <c r="B78" i="1"/>
  <c r="D77" i="1"/>
  <c r="F77" i="1"/>
  <c r="G77" i="1"/>
  <c r="A79" i="1"/>
  <c r="B79" i="1"/>
  <c r="D78" i="1"/>
  <c r="F78" i="1"/>
  <c r="G78" i="1"/>
  <c r="A80" i="1"/>
  <c r="B80" i="1"/>
  <c r="D79" i="1"/>
  <c r="F79" i="1"/>
  <c r="G79" i="1"/>
  <c r="A81" i="1"/>
  <c r="B81" i="1"/>
  <c r="D80" i="1"/>
  <c r="F80" i="1"/>
  <c r="G80" i="1"/>
  <c r="A82" i="1"/>
  <c r="B82" i="1"/>
  <c r="D81" i="1"/>
  <c r="F81" i="1"/>
  <c r="G81" i="1"/>
  <c r="A83" i="1"/>
  <c r="B83" i="1"/>
  <c r="D82" i="1"/>
  <c r="F82" i="1"/>
  <c r="G82" i="1"/>
  <c r="A84" i="1"/>
  <c r="B84" i="1"/>
  <c r="D83" i="1"/>
  <c r="F83" i="1"/>
  <c r="G83" i="1"/>
  <c r="A85" i="1"/>
  <c r="B85" i="1"/>
  <c r="D84" i="1"/>
  <c r="F84" i="1"/>
  <c r="G84" i="1"/>
  <c r="A86" i="1"/>
  <c r="B86" i="1"/>
  <c r="D85" i="1"/>
  <c r="F85" i="1"/>
  <c r="G85" i="1"/>
  <c r="A87" i="1"/>
  <c r="B87" i="1"/>
  <c r="D86" i="1"/>
  <c r="F86" i="1"/>
  <c r="G86" i="1"/>
  <c r="A88" i="1"/>
  <c r="B88" i="1"/>
  <c r="D87" i="1"/>
  <c r="F87" i="1"/>
  <c r="G87" i="1"/>
  <c r="A89" i="1"/>
  <c r="B89" i="1"/>
  <c r="D88" i="1"/>
  <c r="F88" i="1"/>
  <c r="G88" i="1"/>
  <c r="A90" i="1"/>
  <c r="B90" i="1"/>
  <c r="D89" i="1"/>
  <c r="F89" i="1"/>
  <c r="G89" i="1"/>
  <c r="A91" i="1"/>
  <c r="B91" i="1"/>
  <c r="D90" i="1"/>
  <c r="F90" i="1"/>
  <c r="G90" i="1"/>
  <c r="A92" i="1"/>
  <c r="B92" i="1"/>
  <c r="D91" i="1"/>
  <c r="F91" i="1"/>
  <c r="G91" i="1"/>
  <c r="A93" i="1"/>
  <c r="B93" i="1"/>
  <c r="D92" i="1"/>
  <c r="F92" i="1"/>
  <c r="G92" i="1"/>
  <c r="A94" i="1"/>
  <c r="B94" i="1"/>
  <c r="D93" i="1"/>
  <c r="F93" i="1"/>
  <c r="G93" i="1"/>
  <c r="A95" i="1"/>
  <c r="B95" i="1"/>
  <c r="D94" i="1"/>
  <c r="F94" i="1"/>
  <c r="G94" i="1"/>
  <c r="A96" i="1"/>
  <c r="B96" i="1"/>
  <c r="D95" i="1"/>
  <c r="F95" i="1"/>
  <c r="G95" i="1"/>
  <c r="A97" i="1"/>
  <c r="B97" i="1"/>
  <c r="D96" i="1"/>
  <c r="F96" i="1"/>
  <c r="G96" i="1"/>
  <c r="A98" i="1"/>
  <c r="B98" i="1"/>
  <c r="D97" i="1"/>
  <c r="F97" i="1"/>
  <c r="G97" i="1"/>
  <c r="A99" i="1"/>
  <c r="B99" i="1"/>
  <c r="D98" i="1"/>
  <c r="F98" i="1"/>
  <c r="G98" i="1"/>
  <c r="A100" i="1"/>
  <c r="B100" i="1"/>
  <c r="D99" i="1"/>
  <c r="F99" i="1"/>
  <c r="G99" i="1"/>
  <c r="A101" i="1"/>
  <c r="B101" i="1"/>
  <c r="D100" i="1"/>
  <c r="F100" i="1"/>
  <c r="G100" i="1"/>
  <c r="A102" i="1"/>
  <c r="B102" i="1"/>
  <c r="D101" i="1"/>
  <c r="F101" i="1"/>
  <c r="G101" i="1"/>
  <c r="A103" i="1"/>
  <c r="B103" i="1"/>
  <c r="D102" i="1"/>
  <c r="F102" i="1"/>
  <c r="G102" i="1"/>
  <c r="A104" i="1"/>
  <c r="B104" i="1"/>
  <c r="D103" i="1"/>
  <c r="F103" i="1"/>
  <c r="G103" i="1"/>
  <c r="A105" i="1"/>
  <c r="B105" i="1"/>
  <c r="D104" i="1"/>
  <c r="F104" i="1"/>
  <c r="G104" i="1"/>
  <c r="A106" i="1"/>
  <c r="B106" i="1"/>
  <c r="D105" i="1"/>
  <c r="F105" i="1"/>
  <c r="G105" i="1"/>
  <c r="A107" i="1"/>
  <c r="B107" i="1"/>
  <c r="D106" i="1"/>
  <c r="F106" i="1"/>
  <c r="G106" i="1"/>
  <c r="A108" i="1"/>
  <c r="B108" i="1"/>
  <c r="D107" i="1"/>
  <c r="F107" i="1"/>
  <c r="G107" i="1"/>
  <c r="A109" i="1"/>
  <c r="B109" i="1"/>
  <c r="D108" i="1"/>
  <c r="F108" i="1"/>
  <c r="G108" i="1"/>
  <c r="A110" i="1"/>
  <c r="B110" i="1"/>
  <c r="D109" i="1"/>
  <c r="F109" i="1"/>
  <c r="G109" i="1"/>
  <c r="A111" i="1"/>
  <c r="B111" i="1"/>
  <c r="D110" i="1"/>
  <c r="F110" i="1"/>
  <c r="G110" i="1"/>
  <c r="A112" i="1"/>
  <c r="B112" i="1"/>
  <c r="D111" i="1"/>
  <c r="F111" i="1"/>
  <c r="G111" i="1"/>
  <c r="A113" i="1"/>
  <c r="B113" i="1"/>
  <c r="D112" i="1"/>
  <c r="F112" i="1"/>
  <c r="G112" i="1"/>
  <c r="A114" i="1"/>
  <c r="B114" i="1"/>
  <c r="D113" i="1"/>
  <c r="F113" i="1"/>
  <c r="G113" i="1"/>
  <c r="A115" i="1"/>
  <c r="B115" i="1"/>
  <c r="D114" i="1"/>
  <c r="F114" i="1"/>
  <c r="G114" i="1"/>
  <c r="A116" i="1"/>
  <c r="B116" i="1"/>
  <c r="D115" i="1"/>
  <c r="F115" i="1"/>
  <c r="G115" i="1"/>
  <c r="A117" i="1"/>
  <c r="B117" i="1"/>
  <c r="D116" i="1"/>
  <c r="F116" i="1"/>
  <c r="G116" i="1"/>
  <c r="A118" i="1"/>
  <c r="B118" i="1"/>
  <c r="D117" i="1"/>
  <c r="F117" i="1"/>
  <c r="G117" i="1"/>
  <c r="A119" i="1"/>
  <c r="B119" i="1"/>
  <c r="D118" i="1"/>
  <c r="F118" i="1"/>
  <c r="G118" i="1"/>
  <c r="A120" i="1"/>
  <c r="B120" i="1"/>
  <c r="D119" i="1"/>
  <c r="F119" i="1"/>
  <c r="G119" i="1"/>
  <c r="A121" i="1"/>
  <c r="B121" i="1"/>
  <c r="D120" i="1"/>
  <c r="F120" i="1"/>
  <c r="G120" i="1"/>
  <c r="A122" i="1"/>
  <c r="B122" i="1"/>
  <c r="D121" i="1"/>
  <c r="F121" i="1"/>
  <c r="G121" i="1"/>
  <c r="A123" i="1"/>
  <c r="B123" i="1"/>
  <c r="D122" i="1"/>
  <c r="F122" i="1"/>
  <c r="G122" i="1"/>
  <c r="A124" i="1"/>
  <c r="B124" i="1"/>
  <c r="D123" i="1"/>
  <c r="F123" i="1"/>
  <c r="G123" i="1"/>
  <c r="A125" i="1"/>
  <c r="B125" i="1"/>
  <c r="D124" i="1"/>
  <c r="F124" i="1"/>
  <c r="G124" i="1"/>
  <c r="A126" i="1"/>
  <c r="B126" i="1"/>
  <c r="D125" i="1"/>
  <c r="F125" i="1"/>
  <c r="G125" i="1"/>
  <c r="A127" i="1"/>
  <c r="B127" i="1"/>
  <c r="D126" i="1"/>
  <c r="F126" i="1"/>
  <c r="G126" i="1"/>
  <c r="A128" i="1"/>
  <c r="B128" i="1"/>
  <c r="D127" i="1"/>
  <c r="F127" i="1"/>
  <c r="G127" i="1"/>
  <c r="A129" i="1"/>
  <c r="B129" i="1"/>
  <c r="D128" i="1"/>
  <c r="F128" i="1"/>
  <c r="G128" i="1"/>
  <c r="A130" i="1"/>
  <c r="B130" i="1"/>
  <c r="D129" i="1"/>
  <c r="F129" i="1"/>
  <c r="G129" i="1"/>
  <c r="A131" i="1"/>
  <c r="B131" i="1"/>
  <c r="D130" i="1"/>
  <c r="F130" i="1"/>
  <c r="G130" i="1"/>
  <c r="A132" i="1"/>
  <c r="B132" i="1"/>
  <c r="D131" i="1"/>
  <c r="F131" i="1"/>
  <c r="G131" i="1"/>
  <c r="A133" i="1"/>
  <c r="B133" i="1"/>
  <c r="D132" i="1"/>
  <c r="F132" i="1"/>
  <c r="G132" i="1"/>
  <c r="A134" i="1"/>
  <c r="B134" i="1"/>
  <c r="D133" i="1"/>
  <c r="F133" i="1"/>
  <c r="G133" i="1"/>
  <c r="A135" i="1"/>
  <c r="B135" i="1"/>
  <c r="D134" i="1"/>
  <c r="F134" i="1"/>
  <c r="G134" i="1"/>
  <c r="A136" i="1"/>
  <c r="B136" i="1"/>
  <c r="D135" i="1"/>
  <c r="F135" i="1"/>
  <c r="G135" i="1"/>
  <c r="A137" i="1"/>
  <c r="B137" i="1"/>
  <c r="D136" i="1"/>
  <c r="F136" i="1"/>
  <c r="G136" i="1"/>
  <c r="A138" i="1"/>
  <c r="B138" i="1"/>
  <c r="D137" i="1"/>
  <c r="F137" i="1"/>
  <c r="G137" i="1"/>
  <c r="A139" i="1"/>
  <c r="B139" i="1"/>
  <c r="D138" i="1"/>
  <c r="F138" i="1"/>
  <c r="G138" i="1"/>
  <c r="A140" i="1"/>
  <c r="B140" i="1"/>
  <c r="D139" i="1"/>
  <c r="F139" i="1"/>
  <c r="G139" i="1"/>
  <c r="A141" i="1"/>
  <c r="B141" i="1"/>
  <c r="D140" i="1"/>
  <c r="F140" i="1"/>
  <c r="G140" i="1"/>
  <c r="A142" i="1"/>
  <c r="B142" i="1"/>
  <c r="D141" i="1"/>
  <c r="F141" i="1"/>
  <c r="G141" i="1"/>
  <c r="A143" i="1"/>
  <c r="B143" i="1"/>
  <c r="D142" i="1"/>
  <c r="F142" i="1"/>
  <c r="G142" i="1"/>
  <c r="A144" i="1"/>
  <c r="B144" i="1"/>
  <c r="D143" i="1"/>
  <c r="F143" i="1"/>
  <c r="G143" i="1"/>
  <c r="A145" i="1"/>
  <c r="B145" i="1"/>
  <c r="D144" i="1"/>
  <c r="F144" i="1"/>
  <c r="G144" i="1"/>
  <c r="A146" i="1"/>
  <c r="B146" i="1"/>
  <c r="D145" i="1"/>
  <c r="F145" i="1"/>
  <c r="G145" i="1"/>
  <c r="A147" i="1"/>
  <c r="B147" i="1"/>
  <c r="D146" i="1"/>
  <c r="F146" i="1"/>
  <c r="G146" i="1"/>
  <c r="A148" i="1"/>
  <c r="B148" i="1"/>
  <c r="D147" i="1"/>
  <c r="F147" i="1"/>
  <c r="G147" i="1"/>
  <c r="A149" i="1"/>
  <c r="B149" i="1"/>
  <c r="D148" i="1"/>
  <c r="F148" i="1"/>
  <c r="G148" i="1"/>
  <c r="A150" i="1"/>
  <c r="B150" i="1"/>
  <c r="D149" i="1"/>
  <c r="F149" i="1"/>
  <c r="G149" i="1"/>
  <c r="A151" i="1"/>
  <c r="B151" i="1"/>
  <c r="D150" i="1"/>
  <c r="F150" i="1"/>
  <c r="G150" i="1"/>
  <c r="A152" i="1"/>
  <c r="B152" i="1"/>
  <c r="D151" i="1"/>
  <c r="F151" i="1"/>
  <c r="G151" i="1"/>
  <c r="A153" i="1"/>
  <c r="B153" i="1"/>
  <c r="D152" i="1"/>
  <c r="F152" i="1"/>
  <c r="G152" i="1"/>
  <c r="A154" i="1"/>
  <c r="B154" i="1"/>
  <c r="D153" i="1"/>
  <c r="F153" i="1"/>
  <c r="G153" i="1"/>
  <c r="A155" i="1"/>
  <c r="B155" i="1"/>
  <c r="D154" i="1"/>
  <c r="F154" i="1"/>
  <c r="G154" i="1"/>
  <c r="A156" i="1"/>
  <c r="B156" i="1"/>
  <c r="D155" i="1"/>
  <c r="F155" i="1"/>
  <c r="G155" i="1"/>
  <c r="A157" i="1"/>
  <c r="B157" i="1"/>
  <c r="D156" i="1"/>
  <c r="F156" i="1"/>
  <c r="G156" i="1"/>
  <c r="A158" i="1"/>
  <c r="B158" i="1"/>
  <c r="D157" i="1"/>
  <c r="F157" i="1"/>
  <c r="G157" i="1"/>
  <c r="A159" i="1"/>
  <c r="B159" i="1"/>
  <c r="D158" i="1"/>
  <c r="F158" i="1"/>
  <c r="G158" i="1"/>
  <c r="A160" i="1"/>
  <c r="B160" i="1"/>
  <c r="D159" i="1"/>
  <c r="F159" i="1"/>
  <c r="G159" i="1"/>
  <c r="A161" i="1"/>
  <c r="B161" i="1"/>
  <c r="D160" i="1"/>
  <c r="F160" i="1"/>
  <c r="G160" i="1"/>
  <c r="A162" i="1"/>
  <c r="B162" i="1"/>
  <c r="D161" i="1"/>
  <c r="F161" i="1"/>
  <c r="G161" i="1"/>
  <c r="A163" i="1"/>
  <c r="B163" i="1"/>
  <c r="D162" i="1"/>
  <c r="F162" i="1"/>
  <c r="G162" i="1"/>
  <c r="A164" i="1"/>
  <c r="B164" i="1"/>
  <c r="D163" i="1"/>
  <c r="F163" i="1"/>
  <c r="G163" i="1"/>
  <c r="A165" i="1"/>
  <c r="B165" i="1"/>
  <c r="D164" i="1"/>
  <c r="F164" i="1"/>
  <c r="G164" i="1"/>
  <c r="A166" i="1"/>
  <c r="B166" i="1"/>
  <c r="D165" i="1"/>
  <c r="F165" i="1"/>
  <c r="G165" i="1"/>
  <c r="A167" i="1"/>
  <c r="B167" i="1"/>
  <c r="D166" i="1"/>
  <c r="F166" i="1"/>
  <c r="G166" i="1"/>
  <c r="A168" i="1"/>
  <c r="B168" i="1"/>
  <c r="D167" i="1"/>
  <c r="F167" i="1"/>
  <c r="G167" i="1"/>
  <c r="A169" i="1"/>
  <c r="B169" i="1"/>
  <c r="D168" i="1"/>
  <c r="F168" i="1"/>
  <c r="G168" i="1"/>
  <c r="A170" i="1"/>
  <c r="B170" i="1"/>
  <c r="D169" i="1"/>
  <c r="F169" i="1"/>
  <c r="G169" i="1"/>
  <c r="A171" i="1"/>
  <c r="B171" i="1"/>
  <c r="D170" i="1"/>
  <c r="F170" i="1"/>
  <c r="G170" i="1"/>
  <c r="A172" i="1"/>
  <c r="B172" i="1"/>
  <c r="D171" i="1"/>
  <c r="F171" i="1"/>
  <c r="G171" i="1"/>
  <c r="A173" i="1"/>
  <c r="B173" i="1"/>
  <c r="D172" i="1"/>
  <c r="F172" i="1"/>
  <c r="G172" i="1"/>
  <c r="A174" i="1"/>
  <c r="B174" i="1"/>
  <c r="D173" i="1"/>
  <c r="F173" i="1"/>
  <c r="G173" i="1"/>
  <c r="A175" i="1"/>
  <c r="B175" i="1"/>
  <c r="D174" i="1"/>
  <c r="F174" i="1"/>
  <c r="G174" i="1"/>
  <c r="A176" i="1"/>
  <c r="B176" i="1"/>
  <c r="D175" i="1"/>
  <c r="F175" i="1"/>
  <c r="G175" i="1"/>
  <c r="A177" i="1"/>
  <c r="B177" i="1"/>
  <c r="D176" i="1"/>
  <c r="F176" i="1"/>
  <c r="G176" i="1"/>
  <c r="A178" i="1"/>
  <c r="B178" i="1"/>
  <c r="D177" i="1"/>
  <c r="F177" i="1"/>
  <c r="G177" i="1"/>
  <c r="A179" i="1"/>
  <c r="B179" i="1"/>
  <c r="D178" i="1"/>
  <c r="F178" i="1"/>
  <c r="G178" i="1"/>
  <c r="A180" i="1"/>
  <c r="B180" i="1"/>
  <c r="D179" i="1"/>
  <c r="F179" i="1"/>
  <c r="G179" i="1"/>
  <c r="A181" i="1"/>
  <c r="B181" i="1"/>
  <c r="D180" i="1"/>
  <c r="F180" i="1"/>
  <c r="G180" i="1"/>
  <c r="A182" i="1"/>
  <c r="B182" i="1"/>
  <c r="D181" i="1"/>
  <c r="F181" i="1"/>
  <c r="G181" i="1"/>
  <c r="A183" i="1"/>
  <c r="B183" i="1"/>
  <c r="D182" i="1"/>
  <c r="F182" i="1"/>
  <c r="G182" i="1"/>
  <c r="A184" i="1"/>
  <c r="B184" i="1"/>
  <c r="D183" i="1"/>
  <c r="F183" i="1"/>
  <c r="G183" i="1"/>
  <c r="A185" i="1"/>
  <c r="B185" i="1"/>
  <c r="D184" i="1"/>
  <c r="F184" i="1"/>
  <c r="G184" i="1"/>
  <c r="A186" i="1"/>
  <c r="B186" i="1"/>
  <c r="D185" i="1"/>
  <c r="F185" i="1"/>
  <c r="G185" i="1"/>
  <c r="A187" i="1"/>
  <c r="B187" i="1"/>
  <c r="D186" i="1"/>
  <c r="F186" i="1"/>
  <c r="G186" i="1"/>
  <c r="A188" i="1"/>
  <c r="B188" i="1"/>
  <c r="D187" i="1"/>
  <c r="F187" i="1"/>
  <c r="G187" i="1"/>
  <c r="A189" i="1"/>
  <c r="B189" i="1"/>
  <c r="D188" i="1"/>
  <c r="F188" i="1"/>
  <c r="G188" i="1"/>
  <c r="A190" i="1"/>
  <c r="B190" i="1"/>
  <c r="D189" i="1"/>
  <c r="F189" i="1"/>
  <c r="G189" i="1"/>
  <c r="A191" i="1"/>
  <c r="B191" i="1"/>
  <c r="D190" i="1"/>
  <c r="F190" i="1"/>
  <c r="G190" i="1"/>
  <c r="A192" i="1"/>
  <c r="B192" i="1"/>
  <c r="D191" i="1"/>
  <c r="F191" i="1"/>
  <c r="G191" i="1"/>
  <c r="A193" i="1"/>
  <c r="B193" i="1"/>
  <c r="D192" i="1"/>
  <c r="F192" i="1"/>
  <c r="G192" i="1"/>
  <c r="A194" i="1"/>
  <c r="B194" i="1"/>
  <c r="D193" i="1"/>
  <c r="F193" i="1"/>
  <c r="G193" i="1"/>
  <c r="A195" i="1"/>
  <c r="B195" i="1"/>
  <c r="D194" i="1"/>
  <c r="F194" i="1"/>
  <c r="G194" i="1"/>
  <c r="A196" i="1"/>
  <c r="B196" i="1"/>
  <c r="D195" i="1"/>
  <c r="F195" i="1"/>
  <c r="G195" i="1"/>
  <c r="A197" i="1"/>
  <c r="B197" i="1"/>
  <c r="D196" i="1"/>
  <c r="F196" i="1"/>
  <c r="G196" i="1"/>
  <c r="A198" i="1"/>
  <c r="B198" i="1"/>
  <c r="D197" i="1"/>
  <c r="F197" i="1"/>
  <c r="G197" i="1"/>
  <c r="A199" i="1"/>
  <c r="B199" i="1"/>
  <c r="D198" i="1"/>
  <c r="F198" i="1"/>
  <c r="G198" i="1"/>
  <c r="A200" i="1"/>
  <c r="B200" i="1"/>
  <c r="D199" i="1"/>
  <c r="F199" i="1"/>
  <c r="G199" i="1"/>
  <c r="A201" i="1"/>
  <c r="B201" i="1"/>
  <c r="D200" i="1"/>
  <c r="F200" i="1"/>
  <c r="G200" i="1"/>
  <c r="A202" i="1"/>
  <c r="B202" i="1"/>
  <c r="D201" i="1"/>
  <c r="F201" i="1"/>
  <c r="G201" i="1"/>
  <c r="A203" i="1"/>
  <c r="B203" i="1"/>
  <c r="D202" i="1"/>
  <c r="F202" i="1"/>
  <c r="G202" i="1"/>
  <c r="A204" i="1"/>
  <c r="B204" i="1"/>
  <c r="D203" i="1"/>
  <c r="F203" i="1"/>
  <c r="G203" i="1"/>
  <c r="A205" i="1"/>
  <c r="B205" i="1"/>
  <c r="D204" i="1"/>
  <c r="F204" i="1"/>
  <c r="G204" i="1"/>
  <c r="A206" i="1"/>
  <c r="B206" i="1"/>
  <c r="D205" i="1"/>
  <c r="F205" i="1"/>
  <c r="G205" i="1"/>
  <c r="A207" i="1"/>
  <c r="B207" i="1"/>
  <c r="D206" i="1"/>
  <c r="F206" i="1"/>
  <c r="G206" i="1"/>
  <c r="A208" i="1"/>
  <c r="B208" i="1"/>
  <c r="D207" i="1"/>
  <c r="F207" i="1"/>
  <c r="G207" i="1"/>
  <c r="A209" i="1"/>
  <c r="B209" i="1"/>
  <c r="D208" i="1"/>
  <c r="F208" i="1"/>
  <c r="G208" i="1"/>
  <c r="A210" i="1"/>
  <c r="B210" i="1"/>
  <c r="D209" i="1"/>
  <c r="F209" i="1"/>
  <c r="G209" i="1"/>
  <c r="A211" i="1"/>
  <c r="B211" i="1"/>
  <c r="D210" i="1"/>
  <c r="F210" i="1"/>
  <c r="G210" i="1"/>
  <c r="A212" i="1"/>
  <c r="B212" i="1"/>
  <c r="D211" i="1"/>
  <c r="F211" i="1"/>
  <c r="G211" i="1"/>
  <c r="A213" i="1"/>
  <c r="B213" i="1"/>
  <c r="D212" i="1"/>
  <c r="F212" i="1"/>
  <c r="G212" i="1"/>
  <c r="A214" i="1"/>
  <c r="B214" i="1"/>
  <c r="D213" i="1"/>
  <c r="F213" i="1"/>
  <c r="G213" i="1"/>
  <c r="A215" i="1"/>
  <c r="B215" i="1"/>
  <c r="D214" i="1"/>
  <c r="F214" i="1"/>
  <c r="G214" i="1"/>
  <c r="A216" i="1"/>
  <c r="B216" i="1"/>
  <c r="D215" i="1"/>
  <c r="F215" i="1"/>
  <c r="G215" i="1"/>
  <c r="A217" i="1"/>
  <c r="B217" i="1"/>
  <c r="D216" i="1"/>
  <c r="F216" i="1"/>
  <c r="G216" i="1"/>
  <c r="A218" i="1"/>
  <c r="B218" i="1"/>
  <c r="D217" i="1"/>
  <c r="F217" i="1"/>
  <c r="G217" i="1"/>
  <c r="A219" i="1"/>
  <c r="B219" i="1"/>
  <c r="D218" i="1"/>
  <c r="F218" i="1"/>
  <c r="G218" i="1"/>
  <c r="A220" i="1"/>
  <c r="B220" i="1"/>
  <c r="D219" i="1"/>
  <c r="F219" i="1"/>
  <c r="G219" i="1"/>
  <c r="A221" i="1"/>
  <c r="B221" i="1"/>
  <c r="D220" i="1"/>
  <c r="F220" i="1"/>
  <c r="G220" i="1"/>
  <c r="A222" i="1"/>
  <c r="B222" i="1"/>
  <c r="D221" i="1"/>
  <c r="F221" i="1"/>
  <c r="G221" i="1"/>
  <c r="A223" i="1"/>
  <c r="B223" i="1"/>
  <c r="D222" i="1"/>
  <c r="F222" i="1"/>
  <c r="G222" i="1"/>
  <c r="A224" i="1"/>
  <c r="B224" i="1"/>
  <c r="D223" i="1"/>
  <c r="F223" i="1"/>
  <c r="G223" i="1"/>
  <c r="A225" i="1"/>
  <c r="B225" i="1"/>
  <c r="D224" i="1"/>
  <c r="F224" i="1"/>
  <c r="G224" i="1"/>
  <c r="A226" i="1"/>
  <c r="B226" i="1"/>
  <c r="D225" i="1"/>
  <c r="F225" i="1"/>
  <c r="G225" i="1"/>
  <c r="A227" i="1"/>
  <c r="B227" i="1"/>
  <c r="D226" i="1"/>
  <c r="F226" i="1"/>
  <c r="G226" i="1"/>
  <c r="A228" i="1"/>
  <c r="B228" i="1"/>
  <c r="D227" i="1"/>
  <c r="F227" i="1"/>
  <c r="G227" i="1"/>
  <c r="A229" i="1"/>
  <c r="B229" i="1"/>
  <c r="D228" i="1"/>
  <c r="F228" i="1"/>
  <c r="G228" i="1"/>
  <c r="A230" i="1"/>
  <c r="B230" i="1"/>
  <c r="D229" i="1"/>
  <c r="F229" i="1"/>
  <c r="G229" i="1"/>
  <c r="A231" i="1"/>
  <c r="B231" i="1"/>
  <c r="D230" i="1"/>
  <c r="F230" i="1"/>
  <c r="G230" i="1"/>
  <c r="A232" i="1"/>
  <c r="B232" i="1"/>
  <c r="D231" i="1"/>
  <c r="F231" i="1"/>
  <c r="G231" i="1"/>
  <c r="A233" i="1"/>
  <c r="B233" i="1"/>
  <c r="D232" i="1"/>
  <c r="F232" i="1"/>
  <c r="G232" i="1"/>
  <c r="A234" i="1"/>
  <c r="B234" i="1"/>
  <c r="D233" i="1"/>
  <c r="F233" i="1"/>
  <c r="G233" i="1"/>
  <c r="A235" i="1"/>
  <c r="B235" i="1"/>
  <c r="D234" i="1"/>
  <c r="F234" i="1"/>
  <c r="G234" i="1"/>
  <c r="A236" i="1"/>
  <c r="B236" i="1"/>
  <c r="D235" i="1"/>
  <c r="F235" i="1"/>
  <c r="G235" i="1"/>
  <c r="A237" i="1"/>
  <c r="B237" i="1"/>
  <c r="D236" i="1"/>
  <c r="F236" i="1"/>
  <c r="G236" i="1"/>
  <c r="A238" i="1"/>
  <c r="B238" i="1"/>
  <c r="D237" i="1"/>
  <c r="F237" i="1"/>
  <c r="G237" i="1"/>
  <c r="A239" i="1"/>
  <c r="B239" i="1"/>
  <c r="D238" i="1"/>
  <c r="F238" i="1"/>
  <c r="G238" i="1"/>
  <c r="D239" i="2"/>
  <c r="AD16" i="2"/>
  <c r="AB17" i="2"/>
  <c r="AB16" i="2"/>
  <c r="V239" i="1"/>
  <c r="AN44" i="2"/>
  <c r="AN39" i="2"/>
  <c r="AN40" i="2"/>
  <c r="AN41" i="2"/>
  <c r="AN42" i="2"/>
  <c r="F30" i="2"/>
  <c r="B28" i="2"/>
  <c r="AN43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G20" i="2"/>
  <c r="L18" i="2"/>
  <c r="L19" i="2"/>
  <c r="AA17" i="2"/>
  <c r="AA16" i="2"/>
  <c r="Y17" i="2"/>
  <c r="Y16" i="2"/>
  <c r="V16" i="2"/>
  <c r="U17" i="2"/>
  <c r="U16" i="2"/>
  <c r="S17" i="2"/>
  <c r="S16" i="2"/>
  <c r="AN239" i="2"/>
  <c r="R28" i="2"/>
  <c r="T30" i="2"/>
  <c r="B17" i="2"/>
  <c r="B18" i="2"/>
  <c r="B20" i="2"/>
  <c r="B19" i="2"/>
  <c r="B16" i="2"/>
  <c r="L6" i="2"/>
  <c r="AL39" i="1"/>
  <c r="AL40" i="1"/>
  <c r="AL41" i="1"/>
  <c r="AL42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T30" i="1"/>
  <c r="AL238" i="1"/>
  <c r="W239" i="1"/>
  <c r="AL239" i="1"/>
  <c r="R28" i="1"/>
  <c r="B17" i="1"/>
  <c r="B18" i="1"/>
  <c r="B19" i="1"/>
  <c r="B20" i="1"/>
  <c r="F30" i="1"/>
  <c r="B16" i="1"/>
  <c r="D239" i="1"/>
  <c r="F239" i="1"/>
  <c r="G239" i="1"/>
  <c r="L6" i="1"/>
  <c r="B28" i="1"/>
  <c r="C30" i="6"/>
  <c r="L4" i="2"/>
  <c r="L5" i="2"/>
  <c r="L8" i="2"/>
  <c r="N8" i="2"/>
  <c r="O8" i="2"/>
  <c r="B9" i="2"/>
  <c r="B10" i="2"/>
  <c r="B11" i="2"/>
  <c r="T16" i="2"/>
  <c r="W16" i="2"/>
  <c r="X16" i="2"/>
  <c r="Z16" i="2"/>
  <c r="AC16" i="2"/>
  <c r="T17" i="2"/>
  <c r="V17" i="2"/>
  <c r="W17" i="2"/>
  <c r="X17" i="2"/>
  <c r="Z17" i="2"/>
  <c r="AC17" i="2"/>
  <c r="AD17" i="2"/>
  <c r="G30" i="2"/>
  <c r="H30" i="2"/>
  <c r="U30" i="2"/>
  <c r="V30" i="2"/>
  <c r="E39" i="2"/>
  <c r="H39" i="2"/>
  <c r="I39" i="2"/>
  <c r="J39" i="2"/>
  <c r="K39" i="2"/>
  <c r="L39" i="2"/>
  <c r="M39" i="2"/>
  <c r="N39" i="2"/>
  <c r="O39" i="2"/>
  <c r="U39" i="2"/>
  <c r="X39" i="2"/>
  <c r="Y39" i="2"/>
  <c r="Z39" i="2"/>
  <c r="AA39" i="2"/>
  <c r="AB39" i="2"/>
  <c r="AC39" i="2"/>
  <c r="AD39" i="2"/>
  <c r="AE39" i="2"/>
  <c r="AF39" i="2"/>
  <c r="AG39" i="2"/>
  <c r="AI39" i="2"/>
  <c r="AK39" i="2"/>
  <c r="AM39" i="2"/>
  <c r="AO39" i="2"/>
  <c r="AP39" i="2"/>
  <c r="C40" i="2"/>
  <c r="E40" i="2"/>
  <c r="F40" i="2"/>
  <c r="G40" i="2"/>
  <c r="H40" i="2"/>
  <c r="I40" i="2"/>
  <c r="J40" i="2"/>
  <c r="K40" i="2"/>
  <c r="L40" i="2"/>
  <c r="M40" i="2"/>
  <c r="N40" i="2"/>
  <c r="O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I40" i="2"/>
  <c r="AK40" i="2"/>
  <c r="AM40" i="2"/>
  <c r="AO40" i="2"/>
  <c r="AP40" i="2"/>
  <c r="C41" i="2"/>
  <c r="E41" i="2"/>
  <c r="F41" i="2"/>
  <c r="G41" i="2"/>
  <c r="H41" i="2"/>
  <c r="I41" i="2"/>
  <c r="J41" i="2"/>
  <c r="K41" i="2"/>
  <c r="L41" i="2"/>
  <c r="M41" i="2"/>
  <c r="N41" i="2"/>
  <c r="O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I41" i="2"/>
  <c r="AK41" i="2"/>
  <c r="AM41" i="2"/>
  <c r="AO41" i="2"/>
  <c r="AP41" i="2"/>
  <c r="C42" i="2"/>
  <c r="E42" i="2"/>
  <c r="F42" i="2"/>
  <c r="G42" i="2"/>
  <c r="H42" i="2"/>
  <c r="I42" i="2"/>
  <c r="J42" i="2"/>
  <c r="K42" i="2"/>
  <c r="L42" i="2"/>
  <c r="M42" i="2"/>
  <c r="N42" i="2"/>
  <c r="O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I42" i="2"/>
  <c r="AK42" i="2"/>
  <c r="AM42" i="2"/>
  <c r="AO42" i="2"/>
  <c r="AP42" i="2"/>
  <c r="C43" i="2"/>
  <c r="E43" i="2"/>
  <c r="F43" i="2"/>
  <c r="G43" i="2"/>
  <c r="H43" i="2"/>
  <c r="I43" i="2"/>
  <c r="J43" i="2"/>
  <c r="K43" i="2"/>
  <c r="L43" i="2"/>
  <c r="M43" i="2"/>
  <c r="N43" i="2"/>
  <c r="O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I43" i="2"/>
  <c r="AK43" i="2"/>
  <c r="AM43" i="2"/>
  <c r="AO43" i="2"/>
  <c r="AP43" i="2"/>
  <c r="C44" i="2"/>
  <c r="E44" i="2"/>
  <c r="F44" i="2"/>
  <c r="G44" i="2"/>
  <c r="H44" i="2"/>
  <c r="I44" i="2"/>
  <c r="J44" i="2"/>
  <c r="K44" i="2"/>
  <c r="L44" i="2"/>
  <c r="M44" i="2"/>
  <c r="N44" i="2"/>
  <c r="O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I44" i="2"/>
  <c r="AK44" i="2"/>
  <c r="AM44" i="2"/>
  <c r="AO44" i="2"/>
  <c r="AP44" i="2"/>
  <c r="C45" i="2"/>
  <c r="E45" i="2"/>
  <c r="F45" i="2"/>
  <c r="G45" i="2"/>
  <c r="H45" i="2"/>
  <c r="I45" i="2"/>
  <c r="J45" i="2"/>
  <c r="K45" i="2"/>
  <c r="L45" i="2"/>
  <c r="M45" i="2"/>
  <c r="N45" i="2"/>
  <c r="O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I45" i="2"/>
  <c r="AK45" i="2"/>
  <c r="AM45" i="2"/>
  <c r="AO45" i="2"/>
  <c r="AP45" i="2"/>
  <c r="C46" i="2"/>
  <c r="E46" i="2"/>
  <c r="F46" i="2"/>
  <c r="G46" i="2"/>
  <c r="H46" i="2"/>
  <c r="I46" i="2"/>
  <c r="J46" i="2"/>
  <c r="K46" i="2"/>
  <c r="L46" i="2"/>
  <c r="M46" i="2"/>
  <c r="N46" i="2"/>
  <c r="O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I46" i="2"/>
  <c r="AK46" i="2"/>
  <c r="AM46" i="2"/>
  <c r="AO46" i="2"/>
  <c r="AP46" i="2"/>
  <c r="C47" i="2"/>
  <c r="E47" i="2"/>
  <c r="F47" i="2"/>
  <c r="G47" i="2"/>
  <c r="H47" i="2"/>
  <c r="I47" i="2"/>
  <c r="J47" i="2"/>
  <c r="K47" i="2"/>
  <c r="L47" i="2"/>
  <c r="M47" i="2"/>
  <c r="N47" i="2"/>
  <c r="O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I47" i="2"/>
  <c r="AK47" i="2"/>
  <c r="AM47" i="2"/>
  <c r="AO47" i="2"/>
  <c r="AP47" i="2"/>
  <c r="C48" i="2"/>
  <c r="E48" i="2"/>
  <c r="F48" i="2"/>
  <c r="G48" i="2"/>
  <c r="H48" i="2"/>
  <c r="I48" i="2"/>
  <c r="J48" i="2"/>
  <c r="K48" i="2"/>
  <c r="L48" i="2"/>
  <c r="M48" i="2"/>
  <c r="N48" i="2"/>
  <c r="O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I48" i="2"/>
  <c r="AK48" i="2"/>
  <c r="AM48" i="2"/>
  <c r="AO48" i="2"/>
  <c r="AP48" i="2"/>
  <c r="C49" i="2"/>
  <c r="E49" i="2"/>
  <c r="F49" i="2"/>
  <c r="G49" i="2"/>
  <c r="H49" i="2"/>
  <c r="I49" i="2"/>
  <c r="J49" i="2"/>
  <c r="K49" i="2"/>
  <c r="L49" i="2"/>
  <c r="M49" i="2"/>
  <c r="N49" i="2"/>
  <c r="O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I49" i="2"/>
  <c r="AK49" i="2"/>
  <c r="AM49" i="2"/>
  <c r="AO49" i="2"/>
  <c r="AP49" i="2"/>
  <c r="C50" i="2"/>
  <c r="E50" i="2"/>
  <c r="F50" i="2"/>
  <c r="G50" i="2"/>
  <c r="H50" i="2"/>
  <c r="I50" i="2"/>
  <c r="J50" i="2"/>
  <c r="K50" i="2"/>
  <c r="L50" i="2"/>
  <c r="M50" i="2"/>
  <c r="N50" i="2"/>
  <c r="O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I50" i="2"/>
  <c r="AK50" i="2"/>
  <c r="AM50" i="2"/>
  <c r="AO50" i="2"/>
  <c r="AP50" i="2"/>
  <c r="C51" i="2"/>
  <c r="E51" i="2"/>
  <c r="F51" i="2"/>
  <c r="G51" i="2"/>
  <c r="H51" i="2"/>
  <c r="I51" i="2"/>
  <c r="J51" i="2"/>
  <c r="K51" i="2"/>
  <c r="L51" i="2"/>
  <c r="M51" i="2"/>
  <c r="N51" i="2"/>
  <c r="O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I51" i="2"/>
  <c r="AK51" i="2"/>
  <c r="AM51" i="2"/>
  <c r="AO51" i="2"/>
  <c r="AP51" i="2"/>
  <c r="C52" i="2"/>
  <c r="E52" i="2"/>
  <c r="F52" i="2"/>
  <c r="G52" i="2"/>
  <c r="H52" i="2"/>
  <c r="I52" i="2"/>
  <c r="J52" i="2"/>
  <c r="K52" i="2"/>
  <c r="L52" i="2"/>
  <c r="M52" i="2"/>
  <c r="N52" i="2"/>
  <c r="O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I52" i="2"/>
  <c r="AK52" i="2"/>
  <c r="AM52" i="2"/>
  <c r="AO52" i="2"/>
  <c r="AP52" i="2"/>
  <c r="C53" i="2"/>
  <c r="E53" i="2"/>
  <c r="F53" i="2"/>
  <c r="G53" i="2"/>
  <c r="H53" i="2"/>
  <c r="I53" i="2"/>
  <c r="J53" i="2"/>
  <c r="K53" i="2"/>
  <c r="L53" i="2"/>
  <c r="M53" i="2"/>
  <c r="N53" i="2"/>
  <c r="O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I53" i="2"/>
  <c r="AK53" i="2"/>
  <c r="AM53" i="2"/>
  <c r="AO53" i="2"/>
  <c r="AP53" i="2"/>
  <c r="C54" i="2"/>
  <c r="E54" i="2"/>
  <c r="F54" i="2"/>
  <c r="G54" i="2"/>
  <c r="H54" i="2"/>
  <c r="I54" i="2"/>
  <c r="J54" i="2"/>
  <c r="K54" i="2"/>
  <c r="L54" i="2"/>
  <c r="M54" i="2"/>
  <c r="N54" i="2"/>
  <c r="O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I54" i="2"/>
  <c r="AK54" i="2"/>
  <c r="AM54" i="2"/>
  <c r="AO54" i="2"/>
  <c r="AP54" i="2"/>
  <c r="C55" i="2"/>
  <c r="E55" i="2"/>
  <c r="F55" i="2"/>
  <c r="G55" i="2"/>
  <c r="H55" i="2"/>
  <c r="I55" i="2"/>
  <c r="J55" i="2"/>
  <c r="K55" i="2"/>
  <c r="L55" i="2"/>
  <c r="M55" i="2"/>
  <c r="N55" i="2"/>
  <c r="O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I55" i="2"/>
  <c r="AK55" i="2"/>
  <c r="AM55" i="2"/>
  <c r="AO55" i="2"/>
  <c r="AP55" i="2"/>
  <c r="C56" i="2"/>
  <c r="E56" i="2"/>
  <c r="F56" i="2"/>
  <c r="G56" i="2"/>
  <c r="H56" i="2"/>
  <c r="I56" i="2"/>
  <c r="J56" i="2"/>
  <c r="K56" i="2"/>
  <c r="L56" i="2"/>
  <c r="M56" i="2"/>
  <c r="N56" i="2"/>
  <c r="O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I56" i="2"/>
  <c r="AK56" i="2"/>
  <c r="AM56" i="2"/>
  <c r="AO56" i="2"/>
  <c r="AP56" i="2"/>
  <c r="C57" i="2"/>
  <c r="E57" i="2"/>
  <c r="F57" i="2"/>
  <c r="G57" i="2"/>
  <c r="H57" i="2"/>
  <c r="I57" i="2"/>
  <c r="J57" i="2"/>
  <c r="K57" i="2"/>
  <c r="L57" i="2"/>
  <c r="M57" i="2"/>
  <c r="N57" i="2"/>
  <c r="O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I57" i="2"/>
  <c r="AK57" i="2"/>
  <c r="AM57" i="2"/>
  <c r="AO57" i="2"/>
  <c r="AP57" i="2"/>
  <c r="C58" i="2"/>
  <c r="E58" i="2"/>
  <c r="F58" i="2"/>
  <c r="G58" i="2"/>
  <c r="H58" i="2"/>
  <c r="I58" i="2"/>
  <c r="J58" i="2"/>
  <c r="K58" i="2"/>
  <c r="L58" i="2"/>
  <c r="M58" i="2"/>
  <c r="N58" i="2"/>
  <c r="O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I58" i="2"/>
  <c r="AK58" i="2"/>
  <c r="AM58" i="2"/>
  <c r="AO58" i="2"/>
  <c r="AP58" i="2"/>
  <c r="C59" i="2"/>
  <c r="E59" i="2"/>
  <c r="F59" i="2"/>
  <c r="G59" i="2"/>
  <c r="H59" i="2"/>
  <c r="I59" i="2"/>
  <c r="J59" i="2"/>
  <c r="K59" i="2"/>
  <c r="L59" i="2"/>
  <c r="M59" i="2"/>
  <c r="N59" i="2"/>
  <c r="O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I59" i="2"/>
  <c r="AK59" i="2"/>
  <c r="AM59" i="2"/>
  <c r="AO59" i="2"/>
  <c r="AP59" i="2"/>
  <c r="C60" i="2"/>
  <c r="E60" i="2"/>
  <c r="F60" i="2"/>
  <c r="G60" i="2"/>
  <c r="H60" i="2"/>
  <c r="I60" i="2"/>
  <c r="J60" i="2"/>
  <c r="K60" i="2"/>
  <c r="L60" i="2"/>
  <c r="M60" i="2"/>
  <c r="N60" i="2"/>
  <c r="O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I60" i="2"/>
  <c r="AK60" i="2"/>
  <c r="AM60" i="2"/>
  <c r="AO60" i="2"/>
  <c r="AP60" i="2"/>
  <c r="C61" i="2"/>
  <c r="E61" i="2"/>
  <c r="F61" i="2"/>
  <c r="G61" i="2"/>
  <c r="H61" i="2"/>
  <c r="I61" i="2"/>
  <c r="J61" i="2"/>
  <c r="K61" i="2"/>
  <c r="L61" i="2"/>
  <c r="M61" i="2"/>
  <c r="N61" i="2"/>
  <c r="O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I61" i="2"/>
  <c r="AK61" i="2"/>
  <c r="AM61" i="2"/>
  <c r="AO61" i="2"/>
  <c r="AP61" i="2"/>
  <c r="C62" i="2"/>
  <c r="E62" i="2"/>
  <c r="F62" i="2"/>
  <c r="G62" i="2"/>
  <c r="H62" i="2"/>
  <c r="I62" i="2"/>
  <c r="J62" i="2"/>
  <c r="K62" i="2"/>
  <c r="L62" i="2"/>
  <c r="M62" i="2"/>
  <c r="N62" i="2"/>
  <c r="O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I62" i="2"/>
  <c r="AK62" i="2"/>
  <c r="AM62" i="2"/>
  <c r="AO62" i="2"/>
  <c r="AP62" i="2"/>
  <c r="C63" i="2"/>
  <c r="E63" i="2"/>
  <c r="F63" i="2"/>
  <c r="G63" i="2"/>
  <c r="H63" i="2"/>
  <c r="I63" i="2"/>
  <c r="J63" i="2"/>
  <c r="K63" i="2"/>
  <c r="L63" i="2"/>
  <c r="M63" i="2"/>
  <c r="N63" i="2"/>
  <c r="O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I63" i="2"/>
  <c r="AK63" i="2"/>
  <c r="AM63" i="2"/>
  <c r="AO63" i="2"/>
  <c r="AP63" i="2"/>
  <c r="C64" i="2"/>
  <c r="E64" i="2"/>
  <c r="F64" i="2"/>
  <c r="G64" i="2"/>
  <c r="H64" i="2"/>
  <c r="I64" i="2"/>
  <c r="J64" i="2"/>
  <c r="K64" i="2"/>
  <c r="L64" i="2"/>
  <c r="M64" i="2"/>
  <c r="N64" i="2"/>
  <c r="O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I64" i="2"/>
  <c r="AK64" i="2"/>
  <c r="AM64" i="2"/>
  <c r="AO64" i="2"/>
  <c r="AP64" i="2"/>
  <c r="C65" i="2"/>
  <c r="E65" i="2"/>
  <c r="F65" i="2"/>
  <c r="G65" i="2"/>
  <c r="H65" i="2"/>
  <c r="I65" i="2"/>
  <c r="J65" i="2"/>
  <c r="K65" i="2"/>
  <c r="L65" i="2"/>
  <c r="M65" i="2"/>
  <c r="N65" i="2"/>
  <c r="O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I65" i="2"/>
  <c r="AK65" i="2"/>
  <c r="AM65" i="2"/>
  <c r="AO65" i="2"/>
  <c r="AP65" i="2"/>
  <c r="C66" i="2"/>
  <c r="E66" i="2"/>
  <c r="F66" i="2"/>
  <c r="G66" i="2"/>
  <c r="H66" i="2"/>
  <c r="I66" i="2"/>
  <c r="J66" i="2"/>
  <c r="K66" i="2"/>
  <c r="L66" i="2"/>
  <c r="M66" i="2"/>
  <c r="N66" i="2"/>
  <c r="O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I66" i="2"/>
  <c r="AK66" i="2"/>
  <c r="AM66" i="2"/>
  <c r="AO66" i="2"/>
  <c r="AP66" i="2"/>
  <c r="C67" i="2"/>
  <c r="E67" i="2"/>
  <c r="F67" i="2"/>
  <c r="G67" i="2"/>
  <c r="H67" i="2"/>
  <c r="I67" i="2"/>
  <c r="J67" i="2"/>
  <c r="K67" i="2"/>
  <c r="L67" i="2"/>
  <c r="M67" i="2"/>
  <c r="N67" i="2"/>
  <c r="O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I67" i="2"/>
  <c r="AK67" i="2"/>
  <c r="AM67" i="2"/>
  <c r="AO67" i="2"/>
  <c r="AP67" i="2"/>
  <c r="C68" i="2"/>
  <c r="E68" i="2"/>
  <c r="F68" i="2"/>
  <c r="G68" i="2"/>
  <c r="H68" i="2"/>
  <c r="I68" i="2"/>
  <c r="J68" i="2"/>
  <c r="K68" i="2"/>
  <c r="L68" i="2"/>
  <c r="M68" i="2"/>
  <c r="N68" i="2"/>
  <c r="O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I68" i="2"/>
  <c r="AK68" i="2"/>
  <c r="AM68" i="2"/>
  <c r="AO68" i="2"/>
  <c r="AP68" i="2"/>
  <c r="C69" i="2"/>
  <c r="E69" i="2"/>
  <c r="F69" i="2"/>
  <c r="G69" i="2"/>
  <c r="H69" i="2"/>
  <c r="I69" i="2"/>
  <c r="J69" i="2"/>
  <c r="K69" i="2"/>
  <c r="L69" i="2"/>
  <c r="M69" i="2"/>
  <c r="N69" i="2"/>
  <c r="O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I69" i="2"/>
  <c r="AK69" i="2"/>
  <c r="AM69" i="2"/>
  <c r="AO69" i="2"/>
  <c r="AP69" i="2"/>
  <c r="C70" i="2"/>
  <c r="E70" i="2"/>
  <c r="F70" i="2"/>
  <c r="G70" i="2"/>
  <c r="H70" i="2"/>
  <c r="I70" i="2"/>
  <c r="J70" i="2"/>
  <c r="K70" i="2"/>
  <c r="L70" i="2"/>
  <c r="M70" i="2"/>
  <c r="N70" i="2"/>
  <c r="O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I70" i="2"/>
  <c r="AK70" i="2"/>
  <c r="AM70" i="2"/>
  <c r="AO70" i="2"/>
  <c r="AP70" i="2"/>
  <c r="C71" i="2"/>
  <c r="E71" i="2"/>
  <c r="F71" i="2"/>
  <c r="G71" i="2"/>
  <c r="H71" i="2"/>
  <c r="I71" i="2"/>
  <c r="J71" i="2"/>
  <c r="K71" i="2"/>
  <c r="L71" i="2"/>
  <c r="M71" i="2"/>
  <c r="N71" i="2"/>
  <c r="O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I71" i="2"/>
  <c r="AK71" i="2"/>
  <c r="AM71" i="2"/>
  <c r="AO71" i="2"/>
  <c r="AP71" i="2"/>
  <c r="C72" i="2"/>
  <c r="E72" i="2"/>
  <c r="F72" i="2"/>
  <c r="G72" i="2"/>
  <c r="H72" i="2"/>
  <c r="I72" i="2"/>
  <c r="J72" i="2"/>
  <c r="K72" i="2"/>
  <c r="L72" i="2"/>
  <c r="M72" i="2"/>
  <c r="N72" i="2"/>
  <c r="O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I72" i="2"/>
  <c r="AK72" i="2"/>
  <c r="AM72" i="2"/>
  <c r="AO72" i="2"/>
  <c r="AP72" i="2"/>
  <c r="C73" i="2"/>
  <c r="E73" i="2"/>
  <c r="F73" i="2"/>
  <c r="G73" i="2"/>
  <c r="H73" i="2"/>
  <c r="I73" i="2"/>
  <c r="J73" i="2"/>
  <c r="K73" i="2"/>
  <c r="L73" i="2"/>
  <c r="M73" i="2"/>
  <c r="N73" i="2"/>
  <c r="O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I73" i="2"/>
  <c r="AK73" i="2"/>
  <c r="AM73" i="2"/>
  <c r="AO73" i="2"/>
  <c r="AP73" i="2"/>
  <c r="C74" i="2"/>
  <c r="E74" i="2"/>
  <c r="F74" i="2"/>
  <c r="G74" i="2"/>
  <c r="H74" i="2"/>
  <c r="I74" i="2"/>
  <c r="J74" i="2"/>
  <c r="K74" i="2"/>
  <c r="L74" i="2"/>
  <c r="M74" i="2"/>
  <c r="N74" i="2"/>
  <c r="O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I74" i="2"/>
  <c r="AK74" i="2"/>
  <c r="AM74" i="2"/>
  <c r="AO74" i="2"/>
  <c r="AP74" i="2"/>
  <c r="C75" i="2"/>
  <c r="E75" i="2"/>
  <c r="F75" i="2"/>
  <c r="G75" i="2"/>
  <c r="H75" i="2"/>
  <c r="I75" i="2"/>
  <c r="J75" i="2"/>
  <c r="K75" i="2"/>
  <c r="L75" i="2"/>
  <c r="M75" i="2"/>
  <c r="N75" i="2"/>
  <c r="O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I75" i="2"/>
  <c r="AK75" i="2"/>
  <c r="AM75" i="2"/>
  <c r="AO75" i="2"/>
  <c r="AP75" i="2"/>
  <c r="C76" i="2"/>
  <c r="E76" i="2"/>
  <c r="F76" i="2"/>
  <c r="G76" i="2"/>
  <c r="H76" i="2"/>
  <c r="I76" i="2"/>
  <c r="J76" i="2"/>
  <c r="K76" i="2"/>
  <c r="L76" i="2"/>
  <c r="M76" i="2"/>
  <c r="N76" i="2"/>
  <c r="O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I76" i="2"/>
  <c r="AK76" i="2"/>
  <c r="AM76" i="2"/>
  <c r="AO76" i="2"/>
  <c r="AP76" i="2"/>
  <c r="C77" i="2"/>
  <c r="E77" i="2"/>
  <c r="F77" i="2"/>
  <c r="G77" i="2"/>
  <c r="H77" i="2"/>
  <c r="I77" i="2"/>
  <c r="J77" i="2"/>
  <c r="K77" i="2"/>
  <c r="L77" i="2"/>
  <c r="M77" i="2"/>
  <c r="N77" i="2"/>
  <c r="O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I77" i="2"/>
  <c r="AK77" i="2"/>
  <c r="AM77" i="2"/>
  <c r="AO77" i="2"/>
  <c r="AP77" i="2"/>
  <c r="C78" i="2"/>
  <c r="E78" i="2"/>
  <c r="F78" i="2"/>
  <c r="G78" i="2"/>
  <c r="H78" i="2"/>
  <c r="I78" i="2"/>
  <c r="J78" i="2"/>
  <c r="K78" i="2"/>
  <c r="L78" i="2"/>
  <c r="M78" i="2"/>
  <c r="N78" i="2"/>
  <c r="O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I78" i="2"/>
  <c r="AK78" i="2"/>
  <c r="AM78" i="2"/>
  <c r="AO78" i="2"/>
  <c r="AP78" i="2"/>
  <c r="C79" i="2"/>
  <c r="E79" i="2"/>
  <c r="F79" i="2"/>
  <c r="G79" i="2"/>
  <c r="H79" i="2"/>
  <c r="I79" i="2"/>
  <c r="J79" i="2"/>
  <c r="K79" i="2"/>
  <c r="L79" i="2"/>
  <c r="M79" i="2"/>
  <c r="N79" i="2"/>
  <c r="O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I79" i="2"/>
  <c r="AK79" i="2"/>
  <c r="AM79" i="2"/>
  <c r="AO79" i="2"/>
  <c r="AP79" i="2"/>
  <c r="C80" i="2"/>
  <c r="E80" i="2"/>
  <c r="F80" i="2"/>
  <c r="G80" i="2"/>
  <c r="H80" i="2"/>
  <c r="I80" i="2"/>
  <c r="J80" i="2"/>
  <c r="K80" i="2"/>
  <c r="L80" i="2"/>
  <c r="M80" i="2"/>
  <c r="N80" i="2"/>
  <c r="O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I80" i="2"/>
  <c r="AK80" i="2"/>
  <c r="AM80" i="2"/>
  <c r="AO80" i="2"/>
  <c r="AP80" i="2"/>
  <c r="C81" i="2"/>
  <c r="E81" i="2"/>
  <c r="F81" i="2"/>
  <c r="G81" i="2"/>
  <c r="H81" i="2"/>
  <c r="I81" i="2"/>
  <c r="J81" i="2"/>
  <c r="K81" i="2"/>
  <c r="L81" i="2"/>
  <c r="M81" i="2"/>
  <c r="N81" i="2"/>
  <c r="O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I81" i="2"/>
  <c r="AK81" i="2"/>
  <c r="AM81" i="2"/>
  <c r="AO81" i="2"/>
  <c r="AP81" i="2"/>
  <c r="C82" i="2"/>
  <c r="E82" i="2"/>
  <c r="F82" i="2"/>
  <c r="G82" i="2"/>
  <c r="H82" i="2"/>
  <c r="I82" i="2"/>
  <c r="J82" i="2"/>
  <c r="K82" i="2"/>
  <c r="L82" i="2"/>
  <c r="M82" i="2"/>
  <c r="N82" i="2"/>
  <c r="O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I82" i="2"/>
  <c r="AK82" i="2"/>
  <c r="AM82" i="2"/>
  <c r="AO82" i="2"/>
  <c r="AP82" i="2"/>
  <c r="C83" i="2"/>
  <c r="E83" i="2"/>
  <c r="F83" i="2"/>
  <c r="G83" i="2"/>
  <c r="H83" i="2"/>
  <c r="I83" i="2"/>
  <c r="J83" i="2"/>
  <c r="K83" i="2"/>
  <c r="L83" i="2"/>
  <c r="M83" i="2"/>
  <c r="N83" i="2"/>
  <c r="O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I83" i="2"/>
  <c r="AK83" i="2"/>
  <c r="AM83" i="2"/>
  <c r="AO83" i="2"/>
  <c r="AP83" i="2"/>
  <c r="C84" i="2"/>
  <c r="E84" i="2"/>
  <c r="F84" i="2"/>
  <c r="G84" i="2"/>
  <c r="H84" i="2"/>
  <c r="I84" i="2"/>
  <c r="J84" i="2"/>
  <c r="K84" i="2"/>
  <c r="L84" i="2"/>
  <c r="M84" i="2"/>
  <c r="N84" i="2"/>
  <c r="O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I84" i="2"/>
  <c r="AK84" i="2"/>
  <c r="AM84" i="2"/>
  <c r="AO84" i="2"/>
  <c r="AP84" i="2"/>
  <c r="C85" i="2"/>
  <c r="E85" i="2"/>
  <c r="F85" i="2"/>
  <c r="G85" i="2"/>
  <c r="H85" i="2"/>
  <c r="I85" i="2"/>
  <c r="J85" i="2"/>
  <c r="K85" i="2"/>
  <c r="L85" i="2"/>
  <c r="M85" i="2"/>
  <c r="N85" i="2"/>
  <c r="O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I85" i="2"/>
  <c r="AK85" i="2"/>
  <c r="AM85" i="2"/>
  <c r="AO85" i="2"/>
  <c r="AP85" i="2"/>
  <c r="C86" i="2"/>
  <c r="E86" i="2"/>
  <c r="F86" i="2"/>
  <c r="G86" i="2"/>
  <c r="H86" i="2"/>
  <c r="I86" i="2"/>
  <c r="J86" i="2"/>
  <c r="K86" i="2"/>
  <c r="L86" i="2"/>
  <c r="M86" i="2"/>
  <c r="N86" i="2"/>
  <c r="O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I86" i="2"/>
  <c r="AK86" i="2"/>
  <c r="AM86" i="2"/>
  <c r="AO86" i="2"/>
  <c r="AP86" i="2"/>
  <c r="C87" i="2"/>
  <c r="E87" i="2"/>
  <c r="F87" i="2"/>
  <c r="G87" i="2"/>
  <c r="H87" i="2"/>
  <c r="I87" i="2"/>
  <c r="J87" i="2"/>
  <c r="K87" i="2"/>
  <c r="L87" i="2"/>
  <c r="M87" i="2"/>
  <c r="N87" i="2"/>
  <c r="O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I87" i="2"/>
  <c r="AK87" i="2"/>
  <c r="AM87" i="2"/>
  <c r="AO87" i="2"/>
  <c r="AP87" i="2"/>
  <c r="C88" i="2"/>
  <c r="E88" i="2"/>
  <c r="F88" i="2"/>
  <c r="G88" i="2"/>
  <c r="H88" i="2"/>
  <c r="I88" i="2"/>
  <c r="J88" i="2"/>
  <c r="K88" i="2"/>
  <c r="L88" i="2"/>
  <c r="M88" i="2"/>
  <c r="N88" i="2"/>
  <c r="O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I88" i="2"/>
  <c r="AK88" i="2"/>
  <c r="AM88" i="2"/>
  <c r="AO88" i="2"/>
  <c r="AP88" i="2"/>
  <c r="C89" i="2"/>
  <c r="E89" i="2"/>
  <c r="F89" i="2"/>
  <c r="G89" i="2"/>
  <c r="H89" i="2"/>
  <c r="I89" i="2"/>
  <c r="J89" i="2"/>
  <c r="K89" i="2"/>
  <c r="L89" i="2"/>
  <c r="M89" i="2"/>
  <c r="N89" i="2"/>
  <c r="O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I89" i="2"/>
  <c r="AK89" i="2"/>
  <c r="AM89" i="2"/>
  <c r="AO89" i="2"/>
  <c r="AP89" i="2"/>
  <c r="C90" i="2"/>
  <c r="E90" i="2"/>
  <c r="F90" i="2"/>
  <c r="G90" i="2"/>
  <c r="H90" i="2"/>
  <c r="I90" i="2"/>
  <c r="J90" i="2"/>
  <c r="K90" i="2"/>
  <c r="L90" i="2"/>
  <c r="M90" i="2"/>
  <c r="N90" i="2"/>
  <c r="O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I90" i="2"/>
  <c r="AK90" i="2"/>
  <c r="AM90" i="2"/>
  <c r="AO90" i="2"/>
  <c r="AP90" i="2"/>
  <c r="C91" i="2"/>
  <c r="E91" i="2"/>
  <c r="F91" i="2"/>
  <c r="G91" i="2"/>
  <c r="H91" i="2"/>
  <c r="I91" i="2"/>
  <c r="J91" i="2"/>
  <c r="K91" i="2"/>
  <c r="L91" i="2"/>
  <c r="M91" i="2"/>
  <c r="N91" i="2"/>
  <c r="O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I91" i="2"/>
  <c r="AK91" i="2"/>
  <c r="AM91" i="2"/>
  <c r="AO91" i="2"/>
  <c r="AP91" i="2"/>
  <c r="C92" i="2"/>
  <c r="E92" i="2"/>
  <c r="F92" i="2"/>
  <c r="G92" i="2"/>
  <c r="H92" i="2"/>
  <c r="I92" i="2"/>
  <c r="J92" i="2"/>
  <c r="K92" i="2"/>
  <c r="L92" i="2"/>
  <c r="M92" i="2"/>
  <c r="N92" i="2"/>
  <c r="O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I92" i="2"/>
  <c r="AK92" i="2"/>
  <c r="AM92" i="2"/>
  <c r="AO92" i="2"/>
  <c r="AP92" i="2"/>
  <c r="C93" i="2"/>
  <c r="E93" i="2"/>
  <c r="F93" i="2"/>
  <c r="G93" i="2"/>
  <c r="H93" i="2"/>
  <c r="I93" i="2"/>
  <c r="J93" i="2"/>
  <c r="K93" i="2"/>
  <c r="L93" i="2"/>
  <c r="M93" i="2"/>
  <c r="N93" i="2"/>
  <c r="O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I93" i="2"/>
  <c r="AK93" i="2"/>
  <c r="AM93" i="2"/>
  <c r="AO93" i="2"/>
  <c r="AP93" i="2"/>
  <c r="C94" i="2"/>
  <c r="E94" i="2"/>
  <c r="F94" i="2"/>
  <c r="G94" i="2"/>
  <c r="H94" i="2"/>
  <c r="I94" i="2"/>
  <c r="J94" i="2"/>
  <c r="K94" i="2"/>
  <c r="L94" i="2"/>
  <c r="M94" i="2"/>
  <c r="N94" i="2"/>
  <c r="O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I94" i="2"/>
  <c r="AK94" i="2"/>
  <c r="AM94" i="2"/>
  <c r="AO94" i="2"/>
  <c r="AP94" i="2"/>
  <c r="C95" i="2"/>
  <c r="E95" i="2"/>
  <c r="F95" i="2"/>
  <c r="G95" i="2"/>
  <c r="H95" i="2"/>
  <c r="I95" i="2"/>
  <c r="J95" i="2"/>
  <c r="K95" i="2"/>
  <c r="L95" i="2"/>
  <c r="M95" i="2"/>
  <c r="N95" i="2"/>
  <c r="O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I95" i="2"/>
  <c r="AK95" i="2"/>
  <c r="AM95" i="2"/>
  <c r="AO95" i="2"/>
  <c r="AP95" i="2"/>
  <c r="C96" i="2"/>
  <c r="E96" i="2"/>
  <c r="F96" i="2"/>
  <c r="G96" i="2"/>
  <c r="H96" i="2"/>
  <c r="I96" i="2"/>
  <c r="J96" i="2"/>
  <c r="K96" i="2"/>
  <c r="L96" i="2"/>
  <c r="M96" i="2"/>
  <c r="N96" i="2"/>
  <c r="O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I96" i="2"/>
  <c r="AK96" i="2"/>
  <c r="AM96" i="2"/>
  <c r="AO96" i="2"/>
  <c r="AP96" i="2"/>
  <c r="C97" i="2"/>
  <c r="E97" i="2"/>
  <c r="F97" i="2"/>
  <c r="G97" i="2"/>
  <c r="H97" i="2"/>
  <c r="I97" i="2"/>
  <c r="J97" i="2"/>
  <c r="K97" i="2"/>
  <c r="L97" i="2"/>
  <c r="M97" i="2"/>
  <c r="N97" i="2"/>
  <c r="O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I97" i="2"/>
  <c r="AK97" i="2"/>
  <c r="AM97" i="2"/>
  <c r="AO97" i="2"/>
  <c r="AP97" i="2"/>
  <c r="C98" i="2"/>
  <c r="E98" i="2"/>
  <c r="F98" i="2"/>
  <c r="G98" i="2"/>
  <c r="H98" i="2"/>
  <c r="I98" i="2"/>
  <c r="J98" i="2"/>
  <c r="K98" i="2"/>
  <c r="L98" i="2"/>
  <c r="M98" i="2"/>
  <c r="N98" i="2"/>
  <c r="O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I98" i="2"/>
  <c r="AK98" i="2"/>
  <c r="AM98" i="2"/>
  <c r="AO98" i="2"/>
  <c r="AP98" i="2"/>
  <c r="C99" i="2"/>
  <c r="E99" i="2"/>
  <c r="F99" i="2"/>
  <c r="G99" i="2"/>
  <c r="H99" i="2"/>
  <c r="I99" i="2"/>
  <c r="J99" i="2"/>
  <c r="K99" i="2"/>
  <c r="L99" i="2"/>
  <c r="M99" i="2"/>
  <c r="N99" i="2"/>
  <c r="O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I99" i="2"/>
  <c r="AK99" i="2"/>
  <c r="AM99" i="2"/>
  <c r="AO99" i="2"/>
  <c r="AP99" i="2"/>
  <c r="C100" i="2"/>
  <c r="E100" i="2"/>
  <c r="F100" i="2"/>
  <c r="G100" i="2"/>
  <c r="H100" i="2"/>
  <c r="I100" i="2"/>
  <c r="J100" i="2"/>
  <c r="K100" i="2"/>
  <c r="L100" i="2"/>
  <c r="M100" i="2"/>
  <c r="N100" i="2"/>
  <c r="O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I100" i="2"/>
  <c r="AK100" i="2"/>
  <c r="AM100" i="2"/>
  <c r="AO100" i="2"/>
  <c r="AP100" i="2"/>
  <c r="C101" i="2"/>
  <c r="E101" i="2"/>
  <c r="F101" i="2"/>
  <c r="G101" i="2"/>
  <c r="H101" i="2"/>
  <c r="I101" i="2"/>
  <c r="J101" i="2"/>
  <c r="K101" i="2"/>
  <c r="L101" i="2"/>
  <c r="M101" i="2"/>
  <c r="N101" i="2"/>
  <c r="O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I101" i="2"/>
  <c r="AK101" i="2"/>
  <c r="AM101" i="2"/>
  <c r="AO101" i="2"/>
  <c r="AP101" i="2"/>
  <c r="C102" i="2"/>
  <c r="E102" i="2"/>
  <c r="F102" i="2"/>
  <c r="G102" i="2"/>
  <c r="H102" i="2"/>
  <c r="I102" i="2"/>
  <c r="J102" i="2"/>
  <c r="K102" i="2"/>
  <c r="L102" i="2"/>
  <c r="M102" i="2"/>
  <c r="N102" i="2"/>
  <c r="O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I102" i="2"/>
  <c r="AK102" i="2"/>
  <c r="AM102" i="2"/>
  <c r="AO102" i="2"/>
  <c r="AP102" i="2"/>
  <c r="C103" i="2"/>
  <c r="E103" i="2"/>
  <c r="F103" i="2"/>
  <c r="G103" i="2"/>
  <c r="H103" i="2"/>
  <c r="I103" i="2"/>
  <c r="J103" i="2"/>
  <c r="K103" i="2"/>
  <c r="L103" i="2"/>
  <c r="M103" i="2"/>
  <c r="N103" i="2"/>
  <c r="O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I103" i="2"/>
  <c r="AK103" i="2"/>
  <c r="AM103" i="2"/>
  <c r="AO103" i="2"/>
  <c r="AP103" i="2"/>
  <c r="C104" i="2"/>
  <c r="E104" i="2"/>
  <c r="F104" i="2"/>
  <c r="G104" i="2"/>
  <c r="H104" i="2"/>
  <c r="I104" i="2"/>
  <c r="J104" i="2"/>
  <c r="K104" i="2"/>
  <c r="L104" i="2"/>
  <c r="M104" i="2"/>
  <c r="N104" i="2"/>
  <c r="O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I104" i="2"/>
  <c r="AK104" i="2"/>
  <c r="AM104" i="2"/>
  <c r="AO104" i="2"/>
  <c r="AP104" i="2"/>
  <c r="C105" i="2"/>
  <c r="E105" i="2"/>
  <c r="F105" i="2"/>
  <c r="G105" i="2"/>
  <c r="H105" i="2"/>
  <c r="I105" i="2"/>
  <c r="J105" i="2"/>
  <c r="K105" i="2"/>
  <c r="L105" i="2"/>
  <c r="M105" i="2"/>
  <c r="N105" i="2"/>
  <c r="O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I105" i="2"/>
  <c r="AK105" i="2"/>
  <c r="AM105" i="2"/>
  <c r="AO105" i="2"/>
  <c r="AP105" i="2"/>
  <c r="C106" i="2"/>
  <c r="E106" i="2"/>
  <c r="F106" i="2"/>
  <c r="G106" i="2"/>
  <c r="H106" i="2"/>
  <c r="I106" i="2"/>
  <c r="J106" i="2"/>
  <c r="K106" i="2"/>
  <c r="L106" i="2"/>
  <c r="M106" i="2"/>
  <c r="N106" i="2"/>
  <c r="O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I106" i="2"/>
  <c r="AK106" i="2"/>
  <c r="AM106" i="2"/>
  <c r="AO106" i="2"/>
  <c r="AP106" i="2"/>
  <c r="C107" i="2"/>
  <c r="E107" i="2"/>
  <c r="F107" i="2"/>
  <c r="G107" i="2"/>
  <c r="H107" i="2"/>
  <c r="I107" i="2"/>
  <c r="J107" i="2"/>
  <c r="K107" i="2"/>
  <c r="L107" i="2"/>
  <c r="M107" i="2"/>
  <c r="N107" i="2"/>
  <c r="O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I107" i="2"/>
  <c r="AK107" i="2"/>
  <c r="AM107" i="2"/>
  <c r="AO107" i="2"/>
  <c r="AP107" i="2"/>
  <c r="C108" i="2"/>
  <c r="E108" i="2"/>
  <c r="F108" i="2"/>
  <c r="G108" i="2"/>
  <c r="H108" i="2"/>
  <c r="I108" i="2"/>
  <c r="J108" i="2"/>
  <c r="K108" i="2"/>
  <c r="L108" i="2"/>
  <c r="M108" i="2"/>
  <c r="N108" i="2"/>
  <c r="O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I108" i="2"/>
  <c r="AK108" i="2"/>
  <c r="AM108" i="2"/>
  <c r="AO108" i="2"/>
  <c r="AP108" i="2"/>
  <c r="C109" i="2"/>
  <c r="E109" i="2"/>
  <c r="F109" i="2"/>
  <c r="G109" i="2"/>
  <c r="H109" i="2"/>
  <c r="I109" i="2"/>
  <c r="J109" i="2"/>
  <c r="K109" i="2"/>
  <c r="L109" i="2"/>
  <c r="M109" i="2"/>
  <c r="N109" i="2"/>
  <c r="O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I109" i="2"/>
  <c r="AK109" i="2"/>
  <c r="AM109" i="2"/>
  <c r="AO109" i="2"/>
  <c r="AP109" i="2"/>
  <c r="C110" i="2"/>
  <c r="E110" i="2"/>
  <c r="F110" i="2"/>
  <c r="G110" i="2"/>
  <c r="H110" i="2"/>
  <c r="I110" i="2"/>
  <c r="J110" i="2"/>
  <c r="K110" i="2"/>
  <c r="L110" i="2"/>
  <c r="M110" i="2"/>
  <c r="N110" i="2"/>
  <c r="O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I110" i="2"/>
  <c r="AK110" i="2"/>
  <c r="AM110" i="2"/>
  <c r="AO110" i="2"/>
  <c r="AP110" i="2"/>
  <c r="C111" i="2"/>
  <c r="E111" i="2"/>
  <c r="F111" i="2"/>
  <c r="G111" i="2"/>
  <c r="H111" i="2"/>
  <c r="I111" i="2"/>
  <c r="J111" i="2"/>
  <c r="K111" i="2"/>
  <c r="L111" i="2"/>
  <c r="M111" i="2"/>
  <c r="N111" i="2"/>
  <c r="O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I111" i="2"/>
  <c r="AK111" i="2"/>
  <c r="AM111" i="2"/>
  <c r="AO111" i="2"/>
  <c r="AP111" i="2"/>
  <c r="C112" i="2"/>
  <c r="E112" i="2"/>
  <c r="F112" i="2"/>
  <c r="G112" i="2"/>
  <c r="H112" i="2"/>
  <c r="I112" i="2"/>
  <c r="J112" i="2"/>
  <c r="K112" i="2"/>
  <c r="L112" i="2"/>
  <c r="M112" i="2"/>
  <c r="N112" i="2"/>
  <c r="O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I112" i="2"/>
  <c r="AK112" i="2"/>
  <c r="AM112" i="2"/>
  <c r="AO112" i="2"/>
  <c r="AP112" i="2"/>
  <c r="C113" i="2"/>
  <c r="E113" i="2"/>
  <c r="F113" i="2"/>
  <c r="G113" i="2"/>
  <c r="H113" i="2"/>
  <c r="I113" i="2"/>
  <c r="J113" i="2"/>
  <c r="K113" i="2"/>
  <c r="L113" i="2"/>
  <c r="M113" i="2"/>
  <c r="N113" i="2"/>
  <c r="O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I113" i="2"/>
  <c r="AK113" i="2"/>
  <c r="AM113" i="2"/>
  <c r="AO113" i="2"/>
  <c r="AP113" i="2"/>
  <c r="C114" i="2"/>
  <c r="E114" i="2"/>
  <c r="F114" i="2"/>
  <c r="G114" i="2"/>
  <c r="H114" i="2"/>
  <c r="I114" i="2"/>
  <c r="J114" i="2"/>
  <c r="K114" i="2"/>
  <c r="L114" i="2"/>
  <c r="M114" i="2"/>
  <c r="N114" i="2"/>
  <c r="O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I114" i="2"/>
  <c r="AK114" i="2"/>
  <c r="AM114" i="2"/>
  <c r="AO114" i="2"/>
  <c r="AP114" i="2"/>
  <c r="C115" i="2"/>
  <c r="E115" i="2"/>
  <c r="F115" i="2"/>
  <c r="G115" i="2"/>
  <c r="H115" i="2"/>
  <c r="I115" i="2"/>
  <c r="J115" i="2"/>
  <c r="K115" i="2"/>
  <c r="L115" i="2"/>
  <c r="M115" i="2"/>
  <c r="N115" i="2"/>
  <c r="O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I115" i="2"/>
  <c r="AK115" i="2"/>
  <c r="AM115" i="2"/>
  <c r="AO115" i="2"/>
  <c r="AP115" i="2"/>
  <c r="C116" i="2"/>
  <c r="E116" i="2"/>
  <c r="F116" i="2"/>
  <c r="G116" i="2"/>
  <c r="H116" i="2"/>
  <c r="I116" i="2"/>
  <c r="J116" i="2"/>
  <c r="K116" i="2"/>
  <c r="L116" i="2"/>
  <c r="M116" i="2"/>
  <c r="N116" i="2"/>
  <c r="O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I116" i="2"/>
  <c r="AK116" i="2"/>
  <c r="AM116" i="2"/>
  <c r="AO116" i="2"/>
  <c r="AP116" i="2"/>
  <c r="C117" i="2"/>
  <c r="E117" i="2"/>
  <c r="F117" i="2"/>
  <c r="G117" i="2"/>
  <c r="H117" i="2"/>
  <c r="I117" i="2"/>
  <c r="J117" i="2"/>
  <c r="K117" i="2"/>
  <c r="L117" i="2"/>
  <c r="M117" i="2"/>
  <c r="N117" i="2"/>
  <c r="O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I117" i="2"/>
  <c r="AK117" i="2"/>
  <c r="AM117" i="2"/>
  <c r="AO117" i="2"/>
  <c r="AP117" i="2"/>
  <c r="C118" i="2"/>
  <c r="E118" i="2"/>
  <c r="F118" i="2"/>
  <c r="G118" i="2"/>
  <c r="H118" i="2"/>
  <c r="I118" i="2"/>
  <c r="J118" i="2"/>
  <c r="K118" i="2"/>
  <c r="L118" i="2"/>
  <c r="M118" i="2"/>
  <c r="N118" i="2"/>
  <c r="O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I118" i="2"/>
  <c r="AK118" i="2"/>
  <c r="AM118" i="2"/>
  <c r="AO118" i="2"/>
  <c r="AP118" i="2"/>
  <c r="C119" i="2"/>
  <c r="E119" i="2"/>
  <c r="F119" i="2"/>
  <c r="G119" i="2"/>
  <c r="H119" i="2"/>
  <c r="I119" i="2"/>
  <c r="J119" i="2"/>
  <c r="K119" i="2"/>
  <c r="L119" i="2"/>
  <c r="M119" i="2"/>
  <c r="N119" i="2"/>
  <c r="O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I119" i="2"/>
  <c r="AK119" i="2"/>
  <c r="AM119" i="2"/>
  <c r="AO119" i="2"/>
  <c r="AP119" i="2"/>
  <c r="C120" i="2"/>
  <c r="E120" i="2"/>
  <c r="F120" i="2"/>
  <c r="G120" i="2"/>
  <c r="H120" i="2"/>
  <c r="I120" i="2"/>
  <c r="J120" i="2"/>
  <c r="K120" i="2"/>
  <c r="L120" i="2"/>
  <c r="M120" i="2"/>
  <c r="N120" i="2"/>
  <c r="O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I120" i="2"/>
  <c r="AK120" i="2"/>
  <c r="AM120" i="2"/>
  <c r="AO120" i="2"/>
  <c r="AP120" i="2"/>
  <c r="C121" i="2"/>
  <c r="E121" i="2"/>
  <c r="F121" i="2"/>
  <c r="G121" i="2"/>
  <c r="H121" i="2"/>
  <c r="I121" i="2"/>
  <c r="J121" i="2"/>
  <c r="K121" i="2"/>
  <c r="L121" i="2"/>
  <c r="M121" i="2"/>
  <c r="N121" i="2"/>
  <c r="O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I121" i="2"/>
  <c r="AK121" i="2"/>
  <c r="AM121" i="2"/>
  <c r="AO121" i="2"/>
  <c r="AP121" i="2"/>
  <c r="C122" i="2"/>
  <c r="E122" i="2"/>
  <c r="F122" i="2"/>
  <c r="G122" i="2"/>
  <c r="H122" i="2"/>
  <c r="I122" i="2"/>
  <c r="J122" i="2"/>
  <c r="K122" i="2"/>
  <c r="L122" i="2"/>
  <c r="M122" i="2"/>
  <c r="N122" i="2"/>
  <c r="O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I122" i="2"/>
  <c r="AK122" i="2"/>
  <c r="AM122" i="2"/>
  <c r="AO122" i="2"/>
  <c r="AP122" i="2"/>
  <c r="C123" i="2"/>
  <c r="E123" i="2"/>
  <c r="F123" i="2"/>
  <c r="G123" i="2"/>
  <c r="H123" i="2"/>
  <c r="I123" i="2"/>
  <c r="J123" i="2"/>
  <c r="K123" i="2"/>
  <c r="L123" i="2"/>
  <c r="M123" i="2"/>
  <c r="N123" i="2"/>
  <c r="O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I123" i="2"/>
  <c r="AK123" i="2"/>
  <c r="AM123" i="2"/>
  <c r="AO123" i="2"/>
  <c r="AP123" i="2"/>
  <c r="C124" i="2"/>
  <c r="E124" i="2"/>
  <c r="F124" i="2"/>
  <c r="G124" i="2"/>
  <c r="H124" i="2"/>
  <c r="I124" i="2"/>
  <c r="J124" i="2"/>
  <c r="K124" i="2"/>
  <c r="L124" i="2"/>
  <c r="M124" i="2"/>
  <c r="N124" i="2"/>
  <c r="O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I124" i="2"/>
  <c r="AK124" i="2"/>
  <c r="AM124" i="2"/>
  <c r="AO124" i="2"/>
  <c r="AP124" i="2"/>
  <c r="C125" i="2"/>
  <c r="E125" i="2"/>
  <c r="F125" i="2"/>
  <c r="G125" i="2"/>
  <c r="H125" i="2"/>
  <c r="I125" i="2"/>
  <c r="J125" i="2"/>
  <c r="K125" i="2"/>
  <c r="L125" i="2"/>
  <c r="M125" i="2"/>
  <c r="N125" i="2"/>
  <c r="O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I125" i="2"/>
  <c r="AK125" i="2"/>
  <c r="AM125" i="2"/>
  <c r="AO125" i="2"/>
  <c r="AP125" i="2"/>
  <c r="C126" i="2"/>
  <c r="E126" i="2"/>
  <c r="F126" i="2"/>
  <c r="G126" i="2"/>
  <c r="H126" i="2"/>
  <c r="I126" i="2"/>
  <c r="J126" i="2"/>
  <c r="K126" i="2"/>
  <c r="L126" i="2"/>
  <c r="M126" i="2"/>
  <c r="N126" i="2"/>
  <c r="O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I126" i="2"/>
  <c r="AK126" i="2"/>
  <c r="AM126" i="2"/>
  <c r="AO126" i="2"/>
  <c r="AP126" i="2"/>
  <c r="C127" i="2"/>
  <c r="E127" i="2"/>
  <c r="F127" i="2"/>
  <c r="G127" i="2"/>
  <c r="H127" i="2"/>
  <c r="I127" i="2"/>
  <c r="J127" i="2"/>
  <c r="K127" i="2"/>
  <c r="L127" i="2"/>
  <c r="M127" i="2"/>
  <c r="N127" i="2"/>
  <c r="O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I127" i="2"/>
  <c r="AK127" i="2"/>
  <c r="AM127" i="2"/>
  <c r="AO127" i="2"/>
  <c r="AP127" i="2"/>
  <c r="C128" i="2"/>
  <c r="E128" i="2"/>
  <c r="F128" i="2"/>
  <c r="G128" i="2"/>
  <c r="H128" i="2"/>
  <c r="I128" i="2"/>
  <c r="J128" i="2"/>
  <c r="K128" i="2"/>
  <c r="L128" i="2"/>
  <c r="M128" i="2"/>
  <c r="N128" i="2"/>
  <c r="O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I128" i="2"/>
  <c r="AK128" i="2"/>
  <c r="AM128" i="2"/>
  <c r="AO128" i="2"/>
  <c r="AP128" i="2"/>
  <c r="C129" i="2"/>
  <c r="E129" i="2"/>
  <c r="F129" i="2"/>
  <c r="G129" i="2"/>
  <c r="H129" i="2"/>
  <c r="I129" i="2"/>
  <c r="J129" i="2"/>
  <c r="K129" i="2"/>
  <c r="L129" i="2"/>
  <c r="M129" i="2"/>
  <c r="N129" i="2"/>
  <c r="O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I129" i="2"/>
  <c r="AK129" i="2"/>
  <c r="AM129" i="2"/>
  <c r="AO129" i="2"/>
  <c r="AP129" i="2"/>
  <c r="C130" i="2"/>
  <c r="E130" i="2"/>
  <c r="F130" i="2"/>
  <c r="G130" i="2"/>
  <c r="H130" i="2"/>
  <c r="I130" i="2"/>
  <c r="J130" i="2"/>
  <c r="K130" i="2"/>
  <c r="L130" i="2"/>
  <c r="M130" i="2"/>
  <c r="N130" i="2"/>
  <c r="O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I130" i="2"/>
  <c r="AK130" i="2"/>
  <c r="AM130" i="2"/>
  <c r="AO130" i="2"/>
  <c r="AP130" i="2"/>
  <c r="C131" i="2"/>
  <c r="E131" i="2"/>
  <c r="F131" i="2"/>
  <c r="G131" i="2"/>
  <c r="H131" i="2"/>
  <c r="I131" i="2"/>
  <c r="J131" i="2"/>
  <c r="K131" i="2"/>
  <c r="L131" i="2"/>
  <c r="M131" i="2"/>
  <c r="N131" i="2"/>
  <c r="O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I131" i="2"/>
  <c r="AK131" i="2"/>
  <c r="AM131" i="2"/>
  <c r="AO131" i="2"/>
  <c r="AP131" i="2"/>
  <c r="C132" i="2"/>
  <c r="E132" i="2"/>
  <c r="F132" i="2"/>
  <c r="G132" i="2"/>
  <c r="H132" i="2"/>
  <c r="I132" i="2"/>
  <c r="J132" i="2"/>
  <c r="K132" i="2"/>
  <c r="L132" i="2"/>
  <c r="M132" i="2"/>
  <c r="N132" i="2"/>
  <c r="O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I132" i="2"/>
  <c r="AK132" i="2"/>
  <c r="AM132" i="2"/>
  <c r="AO132" i="2"/>
  <c r="AP132" i="2"/>
  <c r="C133" i="2"/>
  <c r="E133" i="2"/>
  <c r="F133" i="2"/>
  <c r="G133" i="2"/>
  <c r="H133" i="2"/>
  <c r="I133" i="2"/>
  <c r="J133" i="2"/>
  <c r="K133" i="2"/>
  <c r="L133" i="2"/>
  <c r="M133" i="2"/>
  <c r="N133" i="2"/>
  <c r="O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I133" i="2"/>
  <c r="AK133" i="2"/>
  <c r="AM133" i="2"/>
  <c r="AO133" i="2"/>
  <c r="AP133" i="2"/>
  <c r="C134" i="2"/>
  <c r="E134" i="2"/>
  <c r="F134" i="2"/>
  <c r="G134" i="2"/>
  <c r="H134" i="2"/>
  <c r="I134" i="2"/>
  <c r="J134" i="2"/>
  <c r="K134" i="2"/>
  <c r="L134" i="2"/>
  <c r="M134" i="2"/>
  <c r="N134" i="2"/>
  <c r="O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I134" i="2"/>
  <c r="AK134" i="2"/>
  <c r="AM134" i="2"/>
  <c r="AO134" i="2"/>
  <c r="AP134" i="2"/>
  <c r="C135" i="2"/>
  <c r="E135" i="2"/>
  <c r="F135" i="2"/>
  <c r="G135" i="2"/>
  <c r="H135" i="2"/>
  <c r="I135" i="2"/>
  <c r="J135" i="2"/>
  <c r="K135" i="2"/>
  <c r="L135" i="2"/>
  <c r="M135" i="2"/>
  <c r="N135" i="2"/>
  <c r="O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I135" i="2"/>
  <c r="AK135" i="2"/>
  <c r="AM135" i="2"/>
  <c r="AO135" i="2"/>
  <c r="AP135" i="2"/>
  <c r="C136" i="2"/>
  <c r="E136" i="2"/>
  <c r="F136" i="2"/>
  <c r="G136" i="2"/>
  <c r="H136" i="2"/>
  <c r="I136" i="2"/>
  <c r="J136" i="2"/>
  <c r="K136" i="2"/>
  <c r="L136" i="2"/>
  <c r="M136" i="2"/>
  <c r="N136" i="2"/>
  <c r="O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I136" i="2"/>
  <c r="AK136" i="2"/>
  <c r="AM136" i="2"/>
  <c r="AO136" i="2"/>
  <c r="AP136" i="2"/>
  <c r="C137" i="2"/>
  <c r="E137" i="2"/>
  <c r="F137" i="2"/>
  <c r="G137" i="2"/>
  <c r="H137" i="2"/>
  <c r="I137" i="2"/>
  <c r="J137" i="2"/>
  <c r="K137" i="2"/>
  <c r="L137" i="2"/>
  <c r="M137" i="2"/>
  <c r="N137" i="2"/>
  <c r="O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I137" i="2"/>
  <c r="AK137" i="2"/>
  <c r="AM137" i="2"/>
  <c r="AO137" i="2"/>
  <c r="AP137" i="2"/>
  <c r="C138" i="2"/>
  <c r="E138" i="2"/>
  <c r="F138" i="2"/>
  <c r="G138" i="2"/>
  <c r="H138" i="2"/>
  <c r="I138" i="2"/>
  <c r="J138" i="2"/>
  <c r="K138" i="2"/>
  <c r="L138" i="2"/>
  <c r="M138" i="2"/>
  <c r="N138" i="2"/>
  <c r="O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I138" i="2"/>
  <c r="AK138" i="2"/>
  <c r="AM138" i="2"/>
  <c r="AO138" i="2"/>
  <c r="AP138" i="2"/>
  <c r="C139" i="2"/>
  <c r="E139" i="2"/>
  <c r="F139" i="2"/>
  <c r="G139" i="2"/>
  <c r="H139" i="2"/>
  <c r="I139" i="2"/>
  <c r="J139" i="2"/>
  <c r="K139" i="2"/>
  <c r="L139" i="2"/>
  <c r="M139" i="2"/>
  <c r="N139" i="2"/>
  <c r="O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I139" i="2"/>
  <c r="AK139" i="2"/>
  <c r="AM139" i="2"/>
  <c r="AO139" i="2"/>
  <c r="AP139" i="2"/>
  <c r="C140" i="2"/>
  <c r="E140" i="2"/>
  <c r="F140" i="2"/>
  <c r="G140" i="2"/>
  <c r="H140" i="2"/>
  <c r="I140" i="2"/>
  <c r="J140" i="2"/>
  <c r="K140" i="2"/>
  <c r="L140" i="2"/>
  <c r="M140" i="2"/>
  <c r="N140" i="2"/>
  <c r="O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I140" i="2"/>
  <c r="AK140" i="2"/>
  <c r="AM140" i="2"/>
  <c r="AO140" i="2"/>
  <c r="AP140" i="2"/>
  <c r="C141" i="2"/>
  <c r="E141" i="2"/>
  <c r="F141" i="2"/>
  <c r="G141" i="2"/>
  <c r="H141" i="2"/>
  <c r="I141" i="2"/>
  <c r="J141" i="2"/>
  <c r="K141" i="2"/>
  <c r="L141" i="2"/>
  <c r="M141" i="2"/>
  <c r="N141" i="2"/>
  <c r="O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I141" i="2"/>
  <c r="AK141" i="2"/>
  <c r="AM141" i="2"/>
  <c r="AO141" i="2"/>
  <c r="AP141" i="2"/>
  <c r="C142" i="2"/>
  <c r="E142" i="2"/>
  <c r="F142" i="2"/>
  <c r="G142" i="2"/>
  <c r="H142" i="2"/>
  <c r="I142" i="2"/>
  <c r="J142" i="2"/>
  <c r="K142" i="2"/>
  <c r="L142" i="2"/>
  <c r="M142" i="2"/>
  <c r="N142" i="2"/>
  <c r="O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I142" i="2"/>
  <c r="AK142" i="2"/>
  <c r="AM142" i="2"/>
  <c r="AO142" i="2"/>
  <c r="AP142" i="2"/>
  <c r="C143" i="2"/>
  <c r="E143" i="2"/>
  <c r="F143" i="2"/>
  <c r="G143" i="2"/>
  <c r="H143" i="2"/>
  <c r="I143" i="2"/>
  <c r="J143" i="2"/>
  <c r="K143" i="2"/>
  <c r="L143" i="2"/>
  <c r="M143" i="2"/>
  <c r="N143" i="2"/>
  <c r="O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I143" i="2"/>
  <c r="AK143" i="2"/>
  <c r="AM143" i="2"/>
  <c r="AO143" i="2"/>
  <c r="AP143" i="2"/>
  <c r="C144" i="2"/>
  <c r="E144" i="2"/>
  <c r="F144" i="2"/>
  <c r="G144" i="2"/>
  <c r="H144" i="2"/>
  <c r="I144" i="2"/>
  <c r="J144" i="2"/>
  <c r="K144" i="2"/>
  <c r="L144" i="2"/>
  <c r="M144" i="2"/>
  <c r="N144" i="2"/>
  <c r="O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I144" i="2"/>
  <c r="AK144" i="2"/>
  <c r="AM144" i="2"/>
  <c r="AO144" i="2"/>
  <c r="AP144" i="2"/>
  <c r="C145" i="2"/>
  <c r="E145" i="2"/>
  <c r="F145" i="2"/>
  <c r="G145" i="2"/>
  <c r="H145" i="2"/>
  <c r="I145" i="2"/>
  <c r="J145" i="2"/>
  <c r="K145" i="2"/>
  <c r="L145" i="2"/>
  <c r="M145" i="2"/>
  <c r="N145" i="2"/>
  <c r="O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I145" i="2"/>
  <c r="AK145" i="2"/>
  <c r="AM145" i="2"/>
  <c r="AO145" i="2"/>
  <c r="AP145" i="2"/>
  <c r="C146" i="2"/>
  <c r="E146" i="2"/>
  <c r="F146" i="2"/>
  <c r="G146" i="2"/>
  <c r="H146" i="2"/>
  <c r="I146" i="2"/>
  <c r="J146" i="2"/>
  <c r="K146" i="2"/>
  <c r="L146" i="2"/>
  <c r="M146" i="2"/>
  <c r="N146" i="2"/>
  <c r="O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I146" i="2"/>
  <c r="AK146" i="2"/>
  <c r="AM146" i="2"/>
  <c r="AO146" i="2"/>
  <c r="AP146" i="2"/>
  <c r="C147" i="2"/>
  <c r="E147" i="2"/>
  <c r="F147" i="2"/>
  <c r="G147" i="2"/>
  <c r="H147" i="2"/>
  <c r="I147" i="2"/>
  <c r="J147" i="2"/>
  <c r="K147" i="2"/>
  <c r="L147" i="2"/>
  <c r="M147" i="2"/>
  <c r="N147" i="2"/>
  <c r="O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I147" i="2"/>
  <c r="AK147" i="2"/>
  <c r="AM147" i="2"/>
  <c r="AO147" i="2"/>
  <c r="AP147" i="2"/>
  <c r="C148" i="2"/>
  <c r="E148" i="2"/>
  <c r="F148" i="2"/>
  <c r="G148" i="2"/>
  <c r="H148" i="2"/>
  <c r="I148" i="2"/>
  <c r="J148" i="2"/>
  <c r="K148" i="2"/>
  <c r="L148" i="2"/>
  <c r="M148" i="2"/>
  <c r="N148" i="2"/>
  <c r="O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I148" i="2"/>
  <c r="AK148" i="2"/>
  <c r="AM148" i="2"/>
  <c r="AO148" i="2"/>
  <c r="AP148" i="2"/>
  <c r="C149" i="2"/>
  <c r="E149" i="2"/>
  <c r="F149" i="2"/>
  <c r="G149" i="2"/>
  <c r="H149" i="2"/>
  <c r="I149" i="2"/>
  <c r="J149" i="2"/>
  <c r="K149" i="2"/>
  <c r="L149" i="2"/>
  <c r="M149" i="2"/>
  <c r="N149" i="2"/>
  <c r="O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I149" i="2"/>
  <c r="AK149" i="2"/>
  <c r="AM149" i="2"/>
  <c r="AO149" i="2"/>
  <c r="AP149" i="2"/>
  <c r="C150" i="2"/>
  <c r="E150" i="2"/>
  <c r="F150" i="2"/>
  <c r="G150" i="2"/>
  <c r="H150" i="2"/>
  <c r="I150" i="2"/>
  <c r="J150" i="2"/>
  <c r="K150" i="2"/>
  <c r="L150" i="2"/>
  <c r="M150" i="2"/>
  <c r="N150" i="2"/>
  <c r="O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I150" i="2"/>
  <c r="AK150" i="2"/>
  <c r="AM150" i="2"/>
  <c r="AO150" i="2"/>
  <c r="AP150" i="2"/>
  <c r="C151" i="2"/>
  <c r="E151" i="2"/>
  <c r="F151" i="2"/>
  <c r="G151" i="2"/>
  <c r="H151" i="2"/>
  <c r="I151" i="2"/>
  <c r="J151" i="2"/>
  <c r="K151" i="2"/>
  <c r="L151" i="2"/>
  <c r="M151" i="2"/>
  <c r="N151" i="2"/>
  <c r="O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I151" i="2"/>
  <c r="AK151" i="2"/>
  <c r="AM151" i="2"/>
  <c r="AO151" i="2"/>
  <c r="AP151" i="2"/>
  <c r="C152" i="2"/>
  <c r="E152" i="2"/>
  <c r="F152" i="2"/>
  <c r="G152" i="2"/>
  <c r="H152" i="2"/>
  <c r="I152" i="2"/>
  <c r="J152" i="2"/>
  <c r="K152" i="2"/>
  <c r="L152" i="2"/>
  <c r="M152" i="2"/>
  <c r="N152" i="2"/>
  <c r="O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I152" i="2"/>
  <c r="AK152" i="2"/>
  <c r="AM152" i="2"/>
  <c r="AO152" i="2"/>
  <c r="AP152" i="2"/>
  <c r="C153" i="2"/>
  <c r="E153" i="2"/>
  <c r="F153" i="2"/>
  <c r="G153" i="2"/>
  <c r="H153" i="2"/>
  <c r="I153" i="2"/>
  <c r="J153" i="2"/>
  <c r="K153" i="2"/>
  <c r="L153" i="2"/>
  <c r="M153" i="2"/>
  <c r="N153" i="2"/>
  <c r="O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I153" i="2"/>
  <c r="AK153" i="2"/>
  <c r="AM153" i="2"/>
  <c r="AO153" i="2"/>
  <c r="AP153" i="2"/>
  <c r="C154" i="2"/>
  <c r="E154" i="2"/>
  <c r="F154" i="2"/>
  <c r="G154" i="2"/>
  <c r="H154" i="2"/>
  <c r="I154" i="2"/>
  <c r="J154" i="2"/>
  <c r="K154" i="2"/>
  <c r="L154" i="2"/>
  <c r="M154" i="2"/>
  <c r="N154" i="2"/>
  <c r="O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I154" i="2"/>
  <c r="AK154" i="2"/>
  <c r="AM154" i="2"/>
  <c r="AO154" i="2"/>
  <c r="AP154" i="2"/>
  <c r="C155" i="2"/>
  <c r="E155" i="2"/>
  <c r="F155" i="2"/>
  <c r="G155" i="2"/>
  <c r="H155" i="2"/>
  <c r="I155" i="2"/>
  <c r="J155" i="2"/>
  <c r="K155" i="2"/>
  <c r="L155" i="2"/>
  <c r="M155" i="2"/>
  <c r="N155" i="2"/>
  <c r="O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I155" i="2"/>
  <c r="AK155" i="2"/>
  <c r="AM155" i="2"/>
  <c r="AO155" i="2"/>
  <c r="AP155" i="2"/>
  <c r="C156" i="2"/>
  <c r="E156" i="2"/>
  <c r="F156" i="2"/>
  <c r="G156" i="2"/>
  <c r="H156" i="2"/>
  <c r="I156" i="2"/>
  <c r="J156" i="2"/>
  <c r="K156" i="2"/>
  <c r="L156" i="2"/>
  <c r="M156" i="2"/>
  <c r="N156" i="2"/>
  <c r="O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I156" i="2"/>
  <c r="AK156" i="2"/>
  <c r="AM156" i="2"/>
  <c r="AO156" i="2"/>
  <c r="AP156" i="2"/>
  <c r="C157" i="2"/>
  <c r="E157" i="2"/>
  <c r="F157" i="2"/>
  <c r="G157" i="2"/>
  <c r="H157" i="2"/>
  <c r="I157" i="2"/>
  <c r="J157" i="2"/>
  <c r="K157" i="2"/>
  <c r="L157" i="2"/>
  <c r="M157" i="2"/>
  <c r="N157" i="2"/>
  <c r="O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I157" i="2"/>
  <c r="AK157" i="2"/>
  <c r="AM157" i="2"/>
  <c r="AO157" i="2"/>
  <c r="AP157" i="2"/>
  <c r="C158" i="2"/>
  <c r="E158" i="2"/>
  <c r="F158" i="2"/>
  <c r="G158" i="2"/>
  <c r="H158" i="2"/>
  <c r="I158" i="2"/>
  <c r="J158" i="2"/>
  <c r="K158" i="2"/>
  <c r="L158" i="2"/>
  <c r="M158" i="2"/>
  <c r="N158" i="2"/>
  <c r="O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I158" i="2"/>
  <c r="AK158" i="2"/>
  <c r="AM158" i="2"/>
  <c r="AO158" i="2"/>
  <c r="AP158" i="2"/>
  <c r="C159" i="2"/>
  <c r="E159" i="2"/>
  <c r="F159" i="2"/>
  <c r="G159" i="2"/>
  <c r="H159" i="2"/>
  <c r="I159" i="2"/>
  <c r="J159" i="2"/>
  <c r="K159" i="2"/>
  <c r="L159" i="2"/>
  <c r="M159" i="2"/>
  <c r="N159" i="2"/>
  <c r="O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I159" i="2"/>
  <c r="AK159" i="2"/>
  <c r="AM159" i="2"/>
  <c r="AO159" i="2"/>
  <c r="AP159" i="2"/>
  <c r="C160" i="2"/>
  <c r="E160" i="2"/>
  <c r="F160" i="2"/>
  <c r="G160" i="2"/>
  <c r="H160" i="2"/>
  <c r="I160" i="2"/>
  <c r="J160" i="2"/>
  <c r="K160" i="2"/>
  <c r="L160" i="2"/>
  <c r="M160" i="2"/>
  <c r="N160" i="2"/>
  <c r="O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I160" i="2"/>
  <c r="AK160" i="2"/>
  <c r="AM160" i="2"/>
  <c r="AO160" i="2"/>
  <c r="AP160" i="2"/>
  <c r="C161" i="2"/>
  <c r="E161" i="2"/>
  <c r="F161" i="2"/>
  <c r="G161" i="2"/>
  <c r="H161" i="2"/>
  <c r="I161" i="2"/>
  <c r="J161" i="2"/>
  <c r="K161" i="2"/>
  <c r="L161" i="2"/>
  <c r="M161" i="2"/>
  <c r="N161" i="2"/>
  <c r="O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I161" i="2"/>
  <c r="AK161" i="2"/>
  <c r="AM161" i="2"/>
  <c r="AO161" i="2"/>
  <c r="AP161" i="2"/>
  <c r="C162" i="2"/>
  <c r="E162" i="2"/>
  <c r="F162" i="2"/>
  <c r="G162" i="2"/>
  <c r="H162" i="2"/>
  <c r="I162" i="2"/>
  <c r="J162" i="2"/>
  <c r="K162" i="2"/>
  <c r="L162" i="2"/>
  <c r="M162" i="2"/>
  <c r="N162" i="2"/>
  <c r="O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I162" i="2"/>
  <c r="AK162" i="2"/>
  <c r="AM162" i="2"/>
  <c r="AO162" i="2"/>
  <c r="AP162" i="2"/>
  <c r="C163" i="2"/>
  <c r="E163" i="2"/>
  <c r="F163" i="2"/>
  <c r="G163" i="2"/>
  <c r="H163" i="2"/>
  <c r="I163" i="2"/>
  <c r="J163" i="2"/>
  <c r="K163" i="2"/>
  <c r="L163" i="2"/>
  <c r="M163" i="2"/>
  <c r="N163" i="2"/>
  <c r="O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I163" i="2"/>
  <c r="AK163" i="2"/>
  <c r="AM163" i="2"/>
  <c r="AO163" i="2"/>
  <c r="AP163" i="2"/>
  <c r="C164" i="2"/>
  <c r="E164" i="2"/>
  <c r="F164" i="2"/>
  <c r="G164" i="2"/>
  <c r="H164" i="2"/>
  <c r="I164" i="2"/>
  <c r="J164" i="2"/>
  <c r="K164" i="2"/>
  <c r="L164" i="2"/>
  <c r="M164" i="2"/>
  <c r="N164" i="2"/>
  <c r="O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I164" i="2"/>
  <c r="AK164" i="2"/>
  <c r="AM164" i="2"/>
  <c r="AO164" i="2"/>
  <c r="AP164" i="2"/>
  <c r="C165" i="2"/>
  <c r="E165" i="2"/>
  <c r="F165" i="2"/>
  <c r="G165" i="2"/>
  <c r="H165" i="2"/>
  <c r="I165" i="2"/>
  <c r="J165" i="2"/>
  <c r="K165" i="2"/>
  <c r="L165" i="2"/>
  <c r="M165" i="2"/>
  <c r="N165" i="2"/>
  <c r="O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I165" i="2"/>
  <c r="AK165" i="2"/>
  <c r="AM165" i="2"/>
  <c r="AO165" i="2"/>
  <c r="AP165" i="2"/>
  <c r="C166" i="2"/>
  <c r="E166" i="2"/>
  <c r="F166" i="2"/>
  <c r="G166" i="2"/>
  <c r="H166" i="2"/>
  <c r="I166" i="2"/>
  <c r="J166" i="2"/>
  <c r="K166" i="2"/>
  <c r="L166" i="2"/>
  <c r="M166" i="2"/>
  <c r="N166" i="2"/>
  <c r="O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I166" i="2"/>
  <c r="AK166" i="2"/>
  <c r="AM166" i="2"/>
  <c r="AO166" i="2"/>
  <c r="AP166" i="2"/>
  <c r="C167" i="2"/>
  <c r="E167" i="2"/>
  <c r="F167" i="2"/>
  <c r="G167" i="2"/>
  <c r="H167" i="2"/>
  <c r="I167" i="2"/>
  <c r="J167" i="2"/>
  <c r="K167" i="2"/>
  <c r="L167" i="2"/>
  <c r="M167" i="2"/>
  <c r="N167" i="2"/>
  <c r="O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I167" i="2"/>
  <c r="AK167" i="2"/>
  <c r="AM167" i="2"/>
  <c r="AO167" i="2"/>
  <c r="AP167" i="2"/>
  <c r="C168" i="2"/>
  <c r="E168" i="2"/>
  <c r="F168" i="2"/>
  <c r="G168" i="2"/>
  <c r="H168" i="2"/>
  <c r="I168" i="2"/>
  <c r="J168" i="2"/>
  <c r="K168" i="2"/>
  <c r="L168" i="2"/>
  <c r="M168" i="2"/>
  <c r="N168" i="2"/>
  <c r="O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I168" i="2"/>
  <c r="AK168" i="2"/>
  <c r="AM168" i="2"/>
  <c r="AO168" i="2"/>
  <c r="AP168" i="2"/>
  <c r="C169" i="2"/>
  <c r="E169" i="2"/>
  <c r="F169" i="2"/>
  <c r="G169" i="2"/>
  <c r="H169" i="2"/>
  <c r="I169" i="2"/>
  <c r="J169" i="2"/>
  <c r="K169" i="2"/>
  <c r="L169" i="2"/>
  <c r="M169" i="2"/>
  <c r="N169" i="2"/>
  <c r="O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I169" i="2"/>
  <c r="AK169" i="2"/>
  <c r="AM169" i="2"/>
  <c r="AO169" i="2"/>
  <c r="AP169" i="2"/>
  <c r="C170" i="2"/>
  <c r="E170" i="2"/>
  <c r="F170" i="2"/>
  <c r="G170" i="2"/>
  <c r="H170" i="2"/>
  <c r="I170" i="2"/>
  <c r="J170" i="2"/>
  <c r="K170" i="2"/>
  <c r="L170" i="2"/>
  <c r="M170" i="2"/>
  <c r="N170" i="2"/>
  <c r="O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I170" i="2"/>
  <c r="AK170" i="2"/>
  <c r="AM170" i="2"/>
  <c r="AO170" i="2"/>
  <c r="AP170" i="2"/>
  <c r="C171" i="2"/>
  <c r="E171" i="2"/>
  <c r="F171" i="2"/>
  <c r="G171" i="2"/>
  <c r="H171" i="2"/>
  <c r="I171" i="2"/>
  <c r="J171" i="2"/>
  <c r="K171" i="2"/>
  <c r="L171" i="2"/>
  <c r="M171" i="2"/>
  <c r="N171" i="2"/>
  <c r="O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I171" i="2"/>
  <c r="AK171" i="2"/>
  <c r="AM171" i="2"/>
  <c r="AO171" i="2"/>
  <c r="AP171" i="2"/>
  <c r="C172" i="2"/>
  <c r="E172" i="2"/>
  <c r="F172" i="2"/>
  <c r="G172" i="2"/>
  <c r="H172" i="2"/>
  <c r="I172" i="2"/>
  <c r="J172" i="2"/>
  <c r="K172" i="2"/>
  <c r="L172" i="2"/>
  <c r="M172" i="2"/>
  <c r="N172" i="2"/>
  <c r="O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I172" i="2"/>
  <c r="AK172" i="2"/>
  <c r="AM172" i="2"/>
  <c r="AO172" i="2"/>
  <c r="AP172" i="2"/>
  <c r="C173" i="2"/>
  <c r="E173" i="2"/>
  <c r="F173" i="2"/>
  <c r="G173" i="2"/>
  <c r="H173" i="2"/>
  <c r="I173" i="2"/>
  <c r="J173" i="2"/>
  <c r="K173" i="2"/>
  <c r="L173" i="2"/>
  <c r="M173" i="2"/>
  <c r="N173" i="2"/>
  <c r="O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I173" i="2"/>
  <c r="AK173" i="2"/>
  <c r="AM173" i="2"/>
  <c r="AO173" i="2"/>
  <c r="AP173" i="2"/>
  <c r="C174" i="2"/>
  <c r="E174" i="2"/>
  <c r="F174" i="2"/>
  <c r="G174" i="2"/>
  <c r="H174" i="2"/>
  <c r="I174" i="2"/>
  <c r="J174" i="2"/>
  <c r="K174" i="2"/>
  <c r="L174" i="2"/>
  <c r="M174" i="2"/>
  <c r="N174" i="2"/>
  <c r="O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I174" i="2"/>
  <c r="AK174" i="2"/>
  <c r="AM174" i="2"/>
  <c r="AO174" i="2"/>
  <c r="AP174" i="2"/>
  <c r="C175" i="2"/>
  <c r="E175" i="2"/>
  <c r="F175" i="2"/>
  <c r="G175" i="2"/>
  <c r="H175" i="2"/>
  <c r="I175" i="2"/>
  <c r="J175" i="2"/>
  <c r="K175" i="2"/>
  <c r="L175" i="2"/>
  <c r="M175" i="2"/>
  <c r="N175" i="2"/>
  <c r="O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I175" i="2"/>
  <c r="AK175" i="2"/>
  <c r="AM175" i="2"/>
  <c r="AO175" i="2"/>
  <c r="AP175" i="2"/>
  <c r="C176" i="2"/>
  <c r="E176" i="2"/>
  <c r="F176" i="2"/>
  <c r="G176" i="2"/>
  <c r="H176" i="2"/>
  <c r="I176" i="2"/>
  <c r="J176" i="2"/>
  <c r="K176" i="2"/>
  <c r="L176" i="2"/>
  <c r="M176" i="2"/>
  <c r="N176" i="2"/>
  <c r="O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I176" i="2"/>
  <c r="AK176" i="2"/>
  <c r="AM176" i="2"/>
  <c r="AO176" i="2"/>
  <c r="AP176" i="2"/>
  <c r="C177" i="2"/>
  <c r="E177" i="2"/>
  <c r="F177" i="2"/>
  <c r="G177" i="2"/>
  <c r="H177" i="2"/>
  <c r="I177" i="2"/>
  <c r="J177" i="2"/>
  <c r="K177" i="2"/>
  <c r="L177" i="2"/>
  <c r="M177" i="2"/>
  <c r="N177" i="2"/>
  <c r="O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I177" i="2"/>
  <c r="AK177" i="2"/>
  <c r="AM177" i="2"/>
  <c r="AO177" i="2"/>
  <c r="AP177" i="2"/>
  <c r="C178" i="2"/>
  <c r="E178" i="2"/>
  <c r="F178" i="2"/>
  <c r="G178" i="2"/>
  <c r="H178" i="2"/>
  <c r="I178" i="2"/>
  <c r="J178" i="2"/>
  <c r="K178" i="2"/>
  <c r="L178" i="2"/>
  <c r="M178" i="2"/>
  <c r="N178" i="2"/>
  <c r="O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I178" i="2"/>
  <c r="AK178" i="2"/>
  <c r="AM178" i="2"/>
  <c r="AO178" i="2"/>
  <c r="AP178" i="2"/>
  <c r="C179" i="2"/>
  <c r="E179" i="2"/>
  <c r="F179" i="2"/>
  <c r="G179" i="2"/>
  <c r="H179" i="2"/>
  <c r="I179" i="2"/>
  <c r="J179" i="2"/>
  <c r="K179" i="2"/>
  <c r="L179" i="2"/>
  <c r="M179" i="2"/>
  <c r="N179" i="2"/>
  <c r="O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I179" i="2"/>
  <c r="AK179" i="2"/>
  <c r="AM179" i="2"/>
  <c r="AO179" i="2"/>
  <c r="AP179" i="2"/>
  <c r="C180" i="2"/>
  <c r="E180" i="2"/>
  <c r="F180" i="2"/>
  <c r="G180" i="2"/>
  <c r="H180" i="2"/>
  <c r="I180" i="2"/>
  <c r="J180" i="2"/>
  <c r="K180" i="2"/>
  <c r="L180" i="2"/>
  <c r="M180" i="2"/>
  <c r="N180" i="2"/>
  <c r="O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I180" i="2"/>
  <c r="AK180" i="2"/>
  <c r="AM180" i="2"/>
  <c r="AO180" i="2"/>
  <c r="AP180" i="2"/>
  <c r="C181" i="2"/>
  <c r="E181" i="2"/>
  <c r="F181" i="2"/>
  <c r="G181" i="2"/>
  <c r="H181" i="2"/>
  <c r="I181" i="2"/>
  <c r="J181" i="2"/>
  <c r="K181" i="2"/>
  <c r="L181" i="2"/>
  <c r="M181" i="2"/>
  <c r="N181" i="2"/>
  <c r="O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I181" i="2"/>
  <c r="AK181" i="2"/>
  <c r="AM181" i="2"/>
  <c r="AO181" i="2"/>
  <c r="AP181" i="2"/>
  <c r="C182" i="2"/>
  <c r="E182" i="2"/>
  <c r="F182" i="2"/>
  <c r="G182" i="2"/>
  <c r="H182" i="2"/>
  <c r="I182" i="2"/>
  <c r="J182" i="2"/>
  <c r="K182" i="2"/>
  <c r="L182" i="2"/>
  <c r="M182" i="2"/>
  <c r="N182" i="2"/>
  <c r="O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I182" i="2"/>
  <c r="AK182" i="2"/>
  <c r="AM182" i="2"/>
  <c r="AO182" i="2"/>
  <c r="AP182" i="2"/>
  <c r="C183" i="2"/>
  <c r="E183" i="2"/>
  <c r="F183" i="2"/>
  <c r="G183" i="2"/>
  <c r="H183" i="2"/>
  <c r="I183" i="2"/>
  <c r="J183" i="2"/>
  <c r="K183" i="2"/>
  <c r="L183" i="2"/>
  <c r="M183" i="2"/>
  <c r="N183" i="2"/>
  <c r="O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I183" i="2"/>
  <c r="AK183" i="2"/>
  <c r="AM183" i="2"/>
  <c r="AO183" i="2"/>
  <c r="AP183" i="2"/>
  <c r="C184" i="2"/>
  <c r="E184" i="2"/>
  <c r="F184" i="2"/>
  <c r="G184" i="2"/>
  <c r="H184" i="2"/>
  <c r="I184" i="2"/>
  <c r="J184" i="2"/>
  <c r="K184" i="2"/>
  <c r="L184" i="2"/>
  <c r="M184" i="2"/>
  <c r="N184" i="2"/>
  <c r="O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I184" i="2"/>
  <c r="AK184" i="2"/>
  <c r="AM184" i="2"/>
  <c r="AO184" i="2"/>
  <c r="AP184" i="2"/>
  <c r="C185" i="2"/>
  <c r="E185" i="2"/>
  <c r="F185" i="2"/>
  <c r="G185" i="2"/>
  <c r="H185" i="2"/>
  <c r="I185" i="2"/>
  <c r="J185" i="2"/>
  <c r="K185" i="2"/>
  <c r="L185" i="2"/>
  <c r="M185" i="2"/>
  <c r="N185" i="2"/>
  <c r="O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I185" i="2"/>
  <c r="AK185" i="2"/>
  <c r="AM185" i="2"/>
  <c r="AO185" i="2"/>
  <c r="AP185" i="2"/>
  <c r="C186" i="2"/>
  <c r="E186" i="2"/>
  <c r="F186" i="2"/>
  <c r="G186" i="2"/>
  <c r="H186" i="2"/>
  <c r="I186" i="2"/>
  <c r="J186" i="2"/>
  <c r="K186" i="2"/>
  <c r="L186" i="2"/>
  <c r="M186" i="2"/>
  <c r="N186" i="2"/>
  <c r="O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I186" i="2"/>
  <c r="AK186" i="2"/>
  <c r="AM186" i="2"/>
  <c r="AO186" i="2"/>
  <c r="AP186" i="2"/>
  <c r="C187" i="2"/>
  <c r="E187" i="2"/>
  <c r="F187" i="2"/>
  <c r="G187" i="2"/>
  <c r="H187" i="2"/>
  <c r="I187" i="2"/>
  <c r="J187" i="2"/>
  <c r="K187" i="2"/>
  <c r="L187" i="2"/>
  <c r="M187" i="2"/>
  <c r="N187" i="2"/>
  <c r="O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I187" i="2"/>
  <c r="AK187" i="2"/>
  <c r="AM187" i="2"/>
  <c r="AO187" i="2"/>
  <c r="AP187" i="2"/>
  <c r="C188" i="2"/>
  <c r="E188" i="2"/>
  <c r="F188" i="2"/>
  <c r="G188" i="2"/>
  <c r="H188" i="2"/>
  <c r="I188" i="2"/>
  <c r="J188" i="2"/>
  <c r="K188" i="2"/>
  <c r="L188" i="2"/>
  <c r="M188" i="2"/>
  <c r="N188" i="2"/>
  <c r="O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I188" i="2"/>
  <c r="AK188" i="2"/>
  <c r="AM188" i="2"/>
  <c r="AO188" i="2"/>
  <c r="AP188" i="2"/>
  <c r="C189" i="2"/>
  <c r="E189" i="2"/>
  <c r="F189" i="2"/>
  <c r="G189" i="2"/>
  <c r="H189" i="2"/>
  <c r="I189" i="2"/>
  <c r="J189" i="2"/>
  <c r="K189" i="2"/>
  <c r="L189" i="2"/>
  <c r="M189" i="2"/>
  <c r="N189" i="2"/>
  <c r="O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I189" i="2"/>
  <c r="AK189" i="2"/>
  <c r="AM189" i="2"/>
  <c r="AO189" i="2"/>
  <c r="AP189" i="2"/>
  <c r="C190" i="2"/>
  <c r="E190" i="2"/>
  <c r="F190" i="2"/>
  <c r="G190" i="2"/>
  <c r="H190" i="2"/>
  <c r="I190" i="2"/>
  <c r="J190" i="2"/>
  <c r="K190" i="2"/>
  <c r="L190" i="2"/>
  <c r="M190" i="2"/>
  <c r="N190" i="2"/>
  <c r="O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I190" i="2"/>
  <c r="AK190" i="2"/>
  <c r="AM190" i="2"/>
  <c r="AO190" i="2"/>
  <c r="AP190" i="2"/>
  <c r="C191" i="2"/>
  <c r="E191" i="2"/>
  <c r="F191" i="2"/>
  <c r="G191" i="2"/>
  <c r="H191" i="2"/>
  <c r="I191" i="2"/>
  <c r="J191" i="2"/>
  <c r="K191" i="2"/>
  <c r="L191" i="2"/>
  <c r="M191" i="2"/>
  <c r="N191" i="2"/>
  <c r="O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I191" i="2"/>
  <c r="AK191" i="2"/>
  <c r="AM191" i="2"/>
  <c r="AO191" i="2"/>
  <c r="AP191" i="2"/>
  <c r="C192" i="2"/>
  <c r="E192" i="2"/>
  <c r="F192" i="2"/>
  <c r="G192" i="2"/>
  <c r="H192" i="2"/>
  <c r="I192" i="2"/>
  <c r="J192" i="2"/>
  <c r="K192" i="2"/>
  <c r="L192" i="2"/>
  <c r="M192" i="2"/>
  <c r="N192" i="2"/>
  <c r="O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I192" i="2"/>
  <c r="AK192" i="2"/>
  <c r="AM192" i="2"/>
  <c r="AO192" i="2"/>
  <c r="AP192" i="2"/>
  <c r="C193" i="2"/>
  <c r="E193" i="2"/>
  <c r="F193" i="2"/>
  <c r="G193" i="2"/>
  <c r="H193" i="2"/>
  <c r="I193" i="2"/>
  <c r="J193" i="2"/>
  <c r="K193" i="2"/>
  <c r="L193" i="2"/>
  <c r="M193" i="2"/>
  <c r="N193" i="2"/>
  <c r="O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I193" i="2"/>
  <c r="AK193" i="2"/>
  <c r="AM193" i="2"/>
  <c r="AO193" i="2"/>
  <c r="AP193" i="2"/>
  <c r="C194" i="2"/>
  <c r="E194" i="2"/>
  <c r="F194" i="2"/>
  <c r="G194" i="2"/>
  <c r="H194" i="2"/>
  <c r="I194" i="2"/>
  <c r="J194" i="2"/>
  <c r="K194" i="2"/>
  <c r="L194" i="2"/>
  <c r="M194" i="2"/>
  <c r="N194" i="2"/>
  <c r="O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I194" i="2"/>
  <c r="AK194" i="2"/>
  <c r="AM194" i="2"/>
  <c r="AO194" i="2"/>
  <c r="AP194" i="2"/>
  <c r="C195" i="2"/>
  <c r="E195" i="2"/>
  <c r="F195" i="2"/>
  <c r="G195" i="2"/>
  <c r="H195" i="2"/>
  <c r="I195" i="2"/>
  <c r="J195" i="2"/>
  <c r="K195" i="2"/>
  <c r="L195" i="2"/>
  <c r="M195" i="2"/>
  <c r="N195" i="2"/>
  <c r="O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I195" i="2"/>
  <c r="AK195" i="2"/>
  <c r="AM195" i="2"/>
  <c r="AO195" i="2"/>
  <c r="AP195" i="2"/>
  <c r="C196" i="2"/>
  <c r="E196" i="2"/>
  <c r="F196" i="2"/>
  <c r="G196" i="2"/>
  <c r="H196" i="2"/>
  <c r="I196" i="2"/>
  <c r="J196" i="2"/>
  <c r="K196" i="2"/>
  <c r="L196" i="2"/>
  <c r="M196" i="2"/>
  <c r="N196" i="2"/>
  <c r="O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I196" i="2"/>
  <c r="AK196" i="2"/>
  <c r="AM196" i="2"/>
  <c r="AO196" i="2"/>
  <c r="AP196" i="2"/>
  <c r="C197" i="2"/>
  <c r="E197" i="2"/>
  <c r="F197" i="2"/>
  <c r="G197" i="2"/>
  <c r="H197" i="2"/>
  <c r="I197" i="2"/>
  <c r="J197" i="2"/>
  <c r="K197" i="2"/>
  <c r="L197" i="2"/>
  <c r="M197" i="2"/>
  <c r="N197" i="2"/>
  <c r="O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I197" i="2"/>
  <c r="AK197" i="2"/>
  <c r="AM197" i="2"/>
  <c r="AO197" i="2"/>
  <c r="AP197" i="2"/>
  <c r="C198" i="2"/>
  <c r="E198" i="2"/>
  <c r="F198" i="2"/>
  <c r="G198" i="2"/>
  <c r="H198" i="2"/>
  <c r="I198" i="2"/>
  <c r="J198" i="2"/>
  <c r="K198" i="2"/>
  <c r="L198" i="2"/>
  <c r="M198" i="2"/>
  <c r="N198" i="2"/>
  <c r="O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I198" i="2"/>
  <c r="AK198" i="2"/>
  <c r="AM198" i="2"/>
  <c r="AO198" i="2"/>
  <c r="AP198" i="2"/>
  <c r="C199" i="2"/>
  <c r="E199" i="2"/>
  <c r="F199" i="2"/>
  <c r="G199" i="2"/>
  <c r="H199" i="2"/>
  <c r="I199" i="2"/>
  <c r="J199" i="2"/>
  <c r="K199" i="2"/>
  <c r="L199" i="2"/>
  <c r="M199" i="2"/>
  <c r="N199" i="2"/>
  <c r="O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I199" i="2"/>
  <c r="AK199" i="2"/>
  <c r="AM199" i="2"/>
  <c r="AO199" i="2"/>
  <c r="AP199" i="2"/>
  <c r="C200" i="2"/>
  <c r="E200" i="2"/>
  <c r="F200" i="2"/>
  <c r="G200" i="2"/>
  <c r="H200" i="2"/>
  <c r="I200" i="2"/>
  <c r="J200" i="2"/>
  <c r="K200" i="2"/>
  <c r="L200" i="2"/>
  <c r="M200" i="2"/>
  <c r="N200" i="2"/>
  <c r="O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I200" i="2"/>
  <c r="AK200" i="2"/>
  <c r="AM200" i="2"/>
  <c r="AO200" i="2"/>
  <c r="AP200" i="2"/>
  <c r="C201" i="2"/>
  <c r="E201" i="2"/>
  <c r="F201" i="2"/>
  <c r="G201" i="2"/>
  <c r="H201" i="2"/>
  <c r="I201" i="2"/>
  <c r="J201" i="2"/>
  <c r="K201" i="2"/>
  <c r="L201" i="2"/>
  <c r="M201" i="2"/>
  <c r="N201" i="2"/>
  <c r="O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I201" i="2"/>
  <c r="AK201" i="2"/>
  <c r="AM201" i="2"/>
  <c r="AO201" i="2"/>
  <c r="AP201" i="2"/>
  <c r="C202" i="2"/>
  <c r="E202" i="2"/>
  <c r="F202" i="2"/>
  <c r="G202" i="2"/>
  <c r="H202" i="2"/>
  <c r="I202" i="2"/>
  <c r="J202" i="2"/>
  <c r="K202" i="2"/>
  <c r="L202" i="2"/>
  <c r="M202" i="2"/>
  <c r="N202" i="2"/>
  <c r="O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I202" i="2"/>
  <c r="AK202" i="2"/>
  <c r="AM202" i="2"/>
  <c r="AO202" i="2"/>
  <c r="AP202" i="2"/>
  <c r="C203" i="2"/>
  <c r="E203" i="2"/>
  <c r="F203" i="2"/>
  <c r="G203" i="2"/>
  <c r="H203" i="2"/>
  <c r="I203" i="2"/>
  <c r="J203" i="2"/>
  <c r="K203" i="2"/>
  <c r="L203" i="2"/>
  <c r="M203" i="2"/>
  <c r="N203" i="2"/>
  <c r="O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I203" i="2"/>
  <c r="AK203" i="2"/>
  <c r="AM203" i="2"/>
  <c r="AO203" i="2"/>
  <c r="AP203" i="2"/>
  <c r="C204" i="2"/>
  <c r="E204" i="2"/>
  <c r="F204" i="2"/>
  <c r="G204" i="2"/>
  <c r="H204" i="2"/>
  <c r="I204" i="2"/>
  <c r="J204" i="2"/>
  <c r="K204" i="2"/>
  <c r="L204" i="2"/>
  <c r="M204" i="2"/>
  <c r="N204" i="2"/>
  <c r="O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I204" i="2"/>
  <c r="AK204" i="2"/>
  <c r="AM204" i="2"/>
  <c r="AO204" i="2"/>
  <c r="AP204" i="2"/>
  <c r="C205" i="2"/>
  <c r="E205" i="2"/>
  <c r="F205" i="2"/>
  <c r="G205" i="2"/>
  <c r="H205" i="2"/>
  <c r="I205" i="2"/>
  <c r="J205" i="2"/>
  <c r="K205" i="2"/>
  <c r="L205" i="2"/>
  <c r="M205" i="2"/>
  <c r="N205" i="2"/>
  <c r="O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I205" i="2"/>
  <c r="AK205" i="2"/>
  <c r="AM205" i="2"/>
  <c r="AO205" i="2"/>
  <c r="AP205" i="2"/>
  <c r="C206" i="2"/>
  <c r="E206" i="2"/>
  <c r="F206" i="2"/>
  <c r="G206" i="2"/>
  <c r="H206" i="2"/>
  <c r="I206" i="2"/>
  <c r="J206" i="2"/>
  <c r="K206" i="2"/>
  <c r="L206" i="2"/>
  <c r="M206" i="2"/>
  <c r="N206" i="2"/>
  <c r="O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I206" i="2"/>
  <c r="AK206" i="2"/>
  <c r="AM206" i="2"/>
  <c r="AO206" i="2"/>
  <c r="AP206" i="2"/>
  <c r="C207" i="2"/>
  <c r="E207" i="2"/>
  <c r="F207" i="2"/>
  <c r="G207" i="2"/>
  <c r="H207" i="2"/>
  <c r="I207" i="2"/>
  <c r="J207" i="2"/>
  <c r="K207" i="2"/>
  <c r="L207" i="2"/>
  <c r="M207" i="2"/>
  <c r="N207" i="2"/>
  <c r="O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I207" i="2"/>
  <c r="AK207" i="2"/>
  <c r="AM207" i="2"/>
  <c r="AO207" i="2"/>
  <c r="AP207" i="2"/>
  <c r="C208" i="2"/>
  <c r="E208" i="2"/>
  <c r="F208" i="2"/>
  <c r="G208" i="2"/>
  <c r="H208" i="2"/>
  <c r="I208" i="2"/>
  <c r="J208" i="2"/>
  <c r="K208" i="2"/>
  <c r="L208" i="2"/>
  <c r="M208" i="2"/>
  <c r="N208" i="2"/>
  <c r="O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I208" i="2"/>
  <c r="AK208" i="2"/>
  <c r="AM208" i="2"/>
  <c r="AO208" i="2"/>
  <c r="AP208" i="2"/>
  <c r="C209" i="2"/>
  <c r="E209" i="2"/>
  <c r="F209" i="2"/>
  <c r="G209" i="2"/>
  <c r="H209" i="2"/>
  <c r="I209" i="2"/>
  <c r="J209" i="2"/>
  <c r="K209" i="2"/>
  <c r="L209" i="2"/>
  <c r="M209" i="2"/>
  <c r="N209" i="2"/>
  <c r="O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I209" i="2"/>
  <c r="AK209" i="2"/>
  <c r="AM209" i="2"/>
  <c r="AO209" i="2"/>
  <c r="AP209" i="2"/>
  <c r="C210" i="2"/>
  <c r="E210" i="2"/>
  <c r="F210" i="2"/>
  <c r="G210" i="2"/>
  <c r="H210" i="2"/>
  <c r="I210" i="2"/>
  <c r="J210" i="2"/>
  <c r="K210" i="2"/>
  <c r="L210" i="2"/>
  <c r="M210" i="2"/>
  <c r="N210" i="2"/>
  <c r="O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I210" i="2"/>
  <c r="AK210" i="2"/>
  <c r="AM210" i="2"/>
  <c r="AO210" i="2"/>
  <c r="AP210" i="2"/>
  <c r="C211" i="2"/>
  <c r="E211" i="2"/>
  <c r="F211" i="2"/>
  <c r="G211" i="2"/>
  <c r="H211" i="2"/>
  <c r="I211" i="2"/>
  <c r="J211" i="2"/>
  <c r="K211" i="2"/>
  <c r="L211" i="2"/>
  <c r="M211" i="2"/>
  <c r="N211" i="2"/>
  <c r="O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I211" i="2"/>
  <c r="AK211" i="2"/>
  <c r="AM211" i="2"/>
  <c r="AO211" i="2"/>
  <c r="AP211" i="2"/>
  <c r="C212" i="2"/>
  <c r="E212" i="2"/>
  <c r="F212" i="2"/>
  <c r="G212" i="2"/>
  <c r="H212" i="2"/>
  <c r="I212" i="2"/>
  <c r="J212" i="2"/>
  <c r="K212" i="2"/>
  <c r="L212" i="2"/>
  <c r="M212" i="2"/>
  <c r="N212" i="2"/>
  <c r="O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I212" i="2"/>
  <c r="AK212" i="2"/>
  <c r="AM212" i="2"/>
  <c r="AO212" i="2"/>
  <c r="AP212" i="2"/>
  <c r="C213" i="2"/>
  <c r="E213" i="2"/>
  <c r="F213" i="2"/>
  <c r="G213" i="2"/>
  <c r="H213" i="2"/>
  <c r="I213" i="2"/>
  <c r="J213" i="2"/>
  <c r="K213" i="2"/>
  <c r="L213" i="2"/>
  <c r="M213" i="2"/>
  <c r="N213" i="2"/>
  <c r="O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I213" i="2"/>
  <c r="AK213" i="2"/>
  <c r="AM213" i="2"/>
  <c r="AO213" i="2"/>
  <c r="AP213" i="2"/>
  <c r="C214" i="2"/>
  <c r="E214" i="2"/>
  <c r="F214" i="2"/>
  <c r="G214" i="2"/>
  <c r="H214" i="2"/>
  <c r="I214" i="2"/>
  <c r="J214" i="2"/>
  <c r="K214" i="2"/>
  <c r="L214" i="2"/>
  <c r="M214" i="2"/>
  <c r="N214" i="2"/>
  <c r="O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I214" i="2"/>
  <c r="AK214" i="2"/>
  <c r="AM214" i="2"/>
  <c r="AO214" i="2"/>
  <c r="AP214" i="2"/>
  <c r="C215" i="2"/>
  <c r="E215" i="2"/>
  <c r="F215" i="2"/>
  <c r="G215" i="2"/>
  <c r="H215" i="2"/>
  <c r="I215" i="2"/>
  <c r="J215" i="2"/>
  <c r="K215" i="2"/>
  <c r="L215" i="2"/>
  <c r="M215" i="2"/>
  <c r="N215" i="2"/>
  <c r="O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I215" i="2"/>
  <c r="AK215" i="2"/>
  <c r="AM215" i="2"/>
  <c r="AO215" i="2"/>
  <c r="AP215" i="2"/>
  <c r="C216" i="2"/>
  <c r="E216" i="2"/>
  <c r="F216" i="2"/>
  <c r="G216" i="2"/>
  <c r="H216" i="2"/>
  <c r="I216" i="2"/>
  <c r="J216" i="2"/>
  <c r="K216" i="2"/>
  <c r="L216" i="2"/>
  <c r="M216" i="2"/>
  <c r="N216" i="2"/>
  <c r="O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I216" i="2"/>
  <c r="AK216" i="2"/>
  <c r="AM216" i="2"/>
  <c r="AO216" i="2"/>
  <c r="AP216" i="2"/>
  <c r="C217" i="2"/>
  <c r="E217" i="2"/>
  <c r="F217" i="2"/>
  <c r="G217" i="2"/>
  <c r="H217" i="2"/>
  <c r="I217" i="2"/>
  <c r="J217" i="2"/>
  <c r="K217" i="2"/>
  <c r="L217" i="2"/>
  <c r="M217" i="2"/>
  <c r="N217" i="2"/>
  <c r="O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I217" i="2"/>
  <c r="AK217" i="2"/>
  <c r="AM217" i="2"/>
  <c r="AO217" i="2"/>
  <c r="AP217" i="2"/>
  <c r="C218" i="2"/>
  <c r="E218" i="2"/>
  <c r="F218" i="2"/>
  <c r="G218" i="2"/>
  <c r="H218" i="2"/>
  <c r="I218" i="2"/>
  <c r="J218" i="2"/>
  <c r="K218" i="2"/>
  <c r="L218" i="2"/>
  <c r="M218" i="2"/>
  <c r="N218" i="2"/>
  <c r="O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I218" i="2"/>
  <c r="AK218" i="2"/>
  <c r="AM218" i="2"/>
  <c r="AO218" i="2"/>
  <c r="AP218" i="2"/>
  <c r="C219" i="2"/>
  <c r="E219" i="2"/>
  <c r="F219" i="2"/>
  <c r="G219" i="2"/>
  <c r="H219" i="2"/>
  <c r="I219" i="2"/>
  <c r="J219" i="2"/>
  <c r="K219" i="2"/>
  <c r="L219" i="2"/>
  <c r="M219" i="2"/>
  <c r="N219" i="2"/>
  <c r="O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I219" i="2"/>
  <c r="AK219" i="2"/>
  <c r="AM219" i="2"/>
  <c r="AO219" i="2"/>
  <c r="AP219" i="2"/>
  <c r="C220" i="2"/>
  <c r="E220" i="2"/>
  <c r="F220" i="2"/>
  <c r="G220" i="2"/>
  <c r="H220" i="2"/>
  <c r="I220" i="2"/>
  <c r="J220" i="2"/>
  <c r="K220" i="2"/>
  <c r="L220" i="2"/>
  <c r="M220" i="2"/>
  <c r="N220" i="2"/>
  <c r="O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I220" i="2"/>
  <c r="AK220" i="2"/>
  <c r="AM220" i="2"/>
  <c r="AO220" i="2"/>
  <c r="AP220" i="2"/>
  <c r="C221" i="2"/>
  <c r="E221" i="2"/>
  <c r="F221" i="2"/>
  <c r="G221" i="2"/>
  <c r="H221" i="2"/>
  <c r="I221" i="2"/>
  <c r="J221" i="2"/>
  <c r="K221" i="2"/>
  <c r="L221" i="2"/>
  <c r="M221" i="2"/>
  <c r="N221" i="2"/>
  <c r="O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I221" i="2"/>
  <c r="AK221" i="2"/>
  <c r="AM221" i="2"/>
  <c r="AO221" i="2"/>
  <c r="AP221" i="2"/>
  <c r="C222" i="2"/>
  <c r="E222" i="2"/>
  <c r="F222" i="2"/>
  <c r="G222" i="2"/>
  <c r="H222" i="2"/>
  <c r="I222" i="2"/>
  <c r="J222" i="2"/>
  <c r="K222" i="2"/>
  <c r="L222" i="2"/>
  <c r="M222" i="2"/>
  <c r="N222" i="2"/>
  <c r="O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I222" i="2"/>
  <c r="AK222" i="2"/>
  <c r="AM222" i="2"/>
  <c r="AO222" i="2"/>
  <c r="AP222" i="2"/>
  <c r="C223" i="2"/>
  <c r="E223" i="2"/>
  <c r="F223" i="2"/>
  <c r="G223" i="2"/>
  <c r="H223" i="2"/>
  <c r="I223" i="2"/>
  <c r="J223" i="2"/>
  <c r="K223" i="2"/>
  <c r="L223" i="2"/>
  <c r="M223" i="2"/>
  <c r="N223" i="2"/>
  <c r="O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I223" i="2"/>
  <c r="AK223" i="2"/>
  <c r="AM223" i="2"/>
  <c r="AO223" i="2"/>
  <c r="AP223" i="2"/>
  <c r="C224" i="2"/>
  <c r="E224" i="2"/>
  <c r="F224" i="2"/>
  <c r="G224" i="2"/>
  <c r="H224" i="2"/>
  <c r="I224" i="2"/>
  <c r="J224" i="2"/>
  <c r="K224" i="2"/>
  <c r="L224" i="2"/>
  <c r="M224" i="2"/>
  <c r="N224" i="2"/>
  <c r="O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I224" i="2"/>
  <c r="AK224" i="2"/>
  <c r="AM224" i="2"/>
  <c r="AO224" i="2"/>
  <c r="AP224" i="2"/>
  <c r="C225" i="2"/>
  <c r="E225" i="2"/>
  <c r="F225" i="2"/>
  <c r="G225" i="2"/>
  <c r="H225" i="2"/>
  <c r="I225" i="2"/>
  <c r="J225" i="2"/>
  <c r="K225" i="2"/>
  <c r="L225" i="2"/>
  <c r="M225" i="2"/>
  <c r="N225" i="2"/>
  <c r="O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I225" i="2"/>
  <c r="AK225" i="2"/>
  <c r="AM225" i="2"/>
  <c r="AO225" i="2"/>
  <c r="AP225" i="2"/>
  <c r="C226" i="2"/>
  <c r="E226" i="2"/>
  <c r="F226" i="2"/>
  <c r="G226" i="2"/>
  <c r="H226" i="2"/>
  <c r="I226" i="2"/>
  <c r="J226" i="2"/>
  <c r="K226" i="2"/>
  <c r="L226" i="2"/>
  <c r="M226" i="2"/>
  <c r="N226" i="2"/>
  <c r="O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I226" i="2"/>
  <c r="AK226" i="2"/>
  <c r="AM226" i="2"/>
  <c r="AO226" i="2"/>
  <c r="AP226" i="2"/>
  <c r="C227" i="2"/>
  <c r="E227" i="2"/>
  <c r="F227" i="2"/>
  <c r="G227" i="2"/>
  <c r="H227" i="2"/>
  <c r="I227" i="2"/>
  <c r="J227" i="2"/>
  <c r="K227" i="2"/>
  <c r="L227" i="2"/>
  <c r="M227" i="2"/>
  <c r="N227" i="2"/>
  <c r="O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I227" i="2"/>
  <c r="AK227" i="2"/>
  <c r="AM227" i="2"/>
  <c r="AO227" i="2"/>
  <c r="AP227" i="2"/>
  <c r="C228" i="2"/>
  <c r="E228" i="2"/>
  <c r="F228" i="2"/>
  <c r="G228" i="2"/>
  <c r="H228" i="2"/>
  <c r="I228" i="2"/>
  <c r="J228" i="2"/>
  <c r="K228" i="2"/>
  <c r="L228" i="2"/>
  <c r="M228" i="2"/>
  <c r="N228" i="2"/>
  <c r="O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I228" i="2"/>
  <c r="AK228" i="2"/>
  <c r="AM228" i="2"/>
  <c r="AO228" i="2"/>
  <c r="AP228" i="2"/>
  <c r="C229" i="2"/>
  <c r="E229" i="2"/>
  <c r="F229" i="2"/>
  <c r="G229" i="2"/>
  <c r="H229" i="2"/>
  <c r="I229" i="2"/>
  <c r="J229" i="2"/>
  <c r="K229" i="2"/>
  <c r="L229" i="2"/>
  <c r="M229" i="2"/>
  <c r="N229" i="2"/>
  <c r="O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I229" i="2"/>
  <c r="AK229" i="2"/>
  <c r="AM229" i="2"/>
  <c r="AO229" i="2"/>
  <c r="AP229" i="2"/>
  <c r="C230" i="2"/>
  <c r="E230" i="2"/>
  <c r="F230" i="2"/>
  <c r="G230" i="2"/>
  <c r="H230" i="2"/>
  <c r="I230" i="2"/>
  <c r="J230" i="2"/>
  <c r="K230" i="2"/>
  <c r="L230" i="2"/>
  <c r="M230" i="2"/>
  <c r="N230" i="2"/>
  <c r="O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I230" i="2"/>
  <c r="AK230" i="2"/>
  <c r="AM230" i="2"/>
  <c r="AO230" i="2"/>
  <c r="AP230" i="2"/>
  <c r="C231" i="2"/>
  <c r="E231" i="2"/>
  <c r="F231" i="2"/>
  <c r="G231" i="2"/>
  <c r="H231" i="2"/>
  <c r="I231" i="2"/>
  <c r="J231" i="2"/>
  <c r="K231" i="2"/>
  <c r="L231" i="2"/>
  <c r="M231" i="2"/>
  <c r="N231" i="2"/>
  <c r="O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I231" i="2"/>
  <c r="AK231" i="2"/>
  <c r="AM231" i="2"/>
  <c r="AO231" i="2"/>
  <c r="AP231" i="2"/>
  <c r="C232" i="2"/>
  <c r="E232" i="2"/>
  <c r="F232" i="2"/>
  <c r="G232" i="2"/>
  <c r="H232" i="2"/>
  <c r="I232" i="2"/>
  <c r="J232" i="2"/>
  <c r="K232" i="2"/>
  <c r="L232" i="2"/>
  <c r="M232" i="2"/>
  <c r="N232" i="2"/>
  <c r="O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I232" i="2"/>
  <c r="AK232" i="2"/>
  <c r="AM232" i="2"/>
  <c r="AO232" i="2"/>
  <c r="AP232" i="2"/>
  <c r="C233" i="2"/>
  <c r="E233" i="2"/>
  <c r="F233" i="2"/>
  <c r="G233" i="2"/>
  <c r="H233" i="2"/>
  <c r="I233" i="2"/>
  <c r="J233" i="2"/>
  <c r="K233" i="2"/>
  <c r="L233" i="2"/>
  <c r="M233" i="2"/>
  <c r="N233" i="2"/>
  <c r="O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I233" i="2"/>
  <c r="AK233" i="2"/>
  <c r="AM233" i="2"/>
  <c r="AO233" i="2"/>
  <c r="AP233" i="2"/>
  <c r="C234" i="2"/>
  <c r="E234" i="2"/>
  <c r="F234" i="2"/>
  <c r="G234" i="2"/>
  <c r="H234" i="2"/>
  <c r="I234" i="2"/>
  <c r="J234" i="2"/>
  <c r="K234" i="2"/>
  <c r="L234" i="2"/>
  <c r="M234" i="2"/>
  <c r="N234" i="2"/>
  <c r="O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I234" i="2"/>
  <c r="AK234" i="2"/>
  <c r="AM234" i="2"/>
  <c r="AO234" i="2"/>
  <c r="AP234" i="2"/>
  <c r="C235" i="2"/>
  <c r="E235" i="2"/>
  <c r="F235" i="2"/>
  <c r="G235" i="2"/>
  <c r="H235" i="2"/>
  <c r="I235" i="2"/>
  <c r="J235" i="2"/>
  <c r="K235" i="2"/>
  <c r="L235" i="2"/>
  <c r="M235" i="2"/>
  <c r="N235" i="2"/>
  <c r="O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I235" i="2"/>
  <c r="AK235" i="2"/>
  <c r="AM235" i="2"/>
  <c r="AO235" i="2"/>
  <c r="AP235" i="2"/>
  <c r="C236" i="2"/>
  <c r="E236" i="2"/>
  <c r="F236" i="2"/>
  <c r="G236" i="2"/>
  <c r="H236" i="2"/>
  <c r="I236" i="2"/>
  <c r="J236" i="2"/>
  <c r="K236" i="2"/>
  <c r="L236" i="2"/>
  <c r="M236" i="2"/>
  <c r="N236" i="2"/>
  <c r="O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I236" i="2"/>
  <c r="AK236" i="2"/>
  <c r="AM236" i="2"/>
  <c r="AO236" i="2"/>
  <c r="AP236" i="2"/>
  <c r="C237" i="2"/>
  <c r="E237" i="2"/>
  <c r="F237" i="2"/>
  <c r="G237" i="2"/>
  <c r="H237" i="2"/>
  <c r="I237" i="2"/>
  <c r="J237" i="2"/>
  <c r="K237" i="2"/>
  <c r="L237" i="2"/>
  <c r="M237" i="2"/>
  <c r="N237" i="2"/>
  <c r="O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I237" i="2"/>
  <c r="AK237" i="2"/>
  <c r="AM237" i="2"/>
  <c r="AO237" i="2"/>
  <c r="AP237" i="2"/>
  <c r="C238" i="2"/>
  <c r="E238" i="2"/>
  <c r="F238" i="2"/>
  <c r="G238" i="2"/>
  <c r="H238" i="2"/>
  <c r="I238" i="2"/>
  <c r="J238" i="2"/>
  <c r="K238" i="2"/>
  <c r="L238" i="2"/>
  <c r="M238" i="2"/>
  <c r="N238" i="2"/>
  <c r="O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I238" i="2"/>
  <c r="AK238" i="2"/>
  <c r="AM238" i="2"/>
  <c r="AO238" i="2"/>
  <c r="AP238" i="2"/>
  <c r="C239" i="2"/>
  <c r="E239" i="2"/>
  <c r="F239" i="2"/>
  <c r="G239" i="2"/>
  <c r="H239" i="2"/>
  <c r="I239" i="2"/>
  <c r="J239" i="2"/>
  <c r="K239" i="2"/>
  <c r="L239" i="2"/>
  <c r="M239" i="2"/>
  <c r="N239" i="2"/>
  <c r="O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I239" i="2"/>
  <c r="AK239" i="2"/>
  <c r="AM239" i="2"/>
  <c r="AO239" i="2"/>
  <c r="AP239" i="2"/>
  <c r="E4" i="6"/>
  <c r="F4" i="6"/>
  <c r="G4" i="6"/>
  <c r="C5" i="6"/>
  <c r="D5" i="6"/>
  <c r="E5" i="6"/>
  <c r="F5" i="6"/>
  <c r="G5" i="6"/>
  <c r="D6" i="6"/>
  <c r="E6" i="6"/>
  <c r="F6" i="6"/>
  <c r="G6" i="6"/>
  <c r="C7" i="6"/>
  <c r="D7" i="6"/>
  <c r="E7" i="6"/>
  <c r="F7" i="6"/>
  <c r="G7" i="6"/>
  <c r="U17" i="6"/>
  <c r="U18" i="6"/>
  <c r="U21" i="6"/>
  <c r="U22" i="6"/>
  <c r="S26" i="6"/>
  <c r="T26" i="6"/>
  <c r="U26" i="6"/>
  <c r="V26" i="6"/>
  <c r="W26" i="6"/>
  <c r="F27" i="6"/>
  <c r="G27" i="6"/>
  <c r="H27" i="6"/>
  <c r="I27" i="6"/>
  <c r="J27" i="6"/>
  <c r="O27" i="6"/>
  <c r="S27" i="6"/>
  <c r="T27" i="6"/>
  <c r="U27" i="6"/>
  <c r="V27" i="6"/>
  <c r="W27" i="6"/>
  <c r="D28" i="6"/>
  <c r="E28" i="6"/>
  <c r="F28" i="6"/>
  <c r="G28" i="6"/>
  <c r="H28" i="6"/>
  <c r="I28" i="6"/>
  <c r="J28" i="6"/>
  <c r="O28" i="6"/>
  <c r="S28" i="6"/>
  <c r="T28" i="6"/>
  <c r="U28" i="6"/>
  <c r="V28" i="6"/>
  <c r="W28" i="6"/>
  <c r="E29" i="6"/>
  <c r="F29" i="6"/>
  <c r="G29" i="6"/>
  <c r="H29" i="6"/>
  <c r="I29" i="6"/>
  <c r="J29" i="6"/>
  <c r="S29" i="6"/>
  <c r="T29" i="6"/>
  <c r="U29" i="6"/>
  <c r="V29" i="6"/>
  <c r="W29" i="6"/>
  <c r="D30" i="6"/>
  <c r="E30" i="6"/>
  <c r="F30" i="6"/>
  <c r="G30" i="6"/>
  <c r="H30" i="6"/>
  <c r="I30" i="6"/>
  <c r="J30" i="6"/>
  <c r="Q35" i="6"/>
  <c r="R35" i="6"/>
  <c r="S35" i="6"/>
  <c r="T35" i="6"/>
  <c r="U35" i="6"/>
  <c r="V35" i="6"/>
  <c r="O36" i="6"/>
  <c r="Q36" i="6"/>
  <c r="R36" i="6"/>
  <c r="S36" i="6"/>
  <c r="T36" i="6"/>
  <c r="U36" i="6"/>
  <c r="V36" i="6"/>
  <c r="O37" i="6"/>
  <c r="Q37" i="6"/>
  <c r="R37" i="6"/>
  <c r="S37" i="6"/>
  <c r="T37" i="6"/>
  <c r="U37" i="6"/>
  <c r="V37" i="6"/>
  <c r="O38" i="6"/>
  <c r="Q38" i="6"/>
  <c r="R38" i="6"/>
  <c r="S38" i="6"/>
  <c r="T38" i="6"/>
  <c r="U38" i="6"/>
  <c r="V38" i="6"/>
  <c r="E48" i="6"/>
  <c r="F48" i="6"/>
  <c r="G48" i="6"/>
  <c r="C49" i="6"/>
  <c r="D49" i="6"/>
  <c r="E49" i="6"/>
  <c r="F49" i="6"/>
  <c r="G49" i="6"/>
  <c r="D50" i="6"/>
  <c r="E50" i="6"/>
  <c r="F50" i="6"/>
  <c r="G50" i="6"/>
  <c r="C51" i="6"/>
  <c r="D51" i="6"/>
  <c r="E51" i="6"/>
  <c r="F51" i="6"/>
  <c r="G51" i="6"/>
  <c r="E56" i="6"/>
  <c r="F56" i="6"/>
  <c r="G56" i="6"/>
  <c r="C57" i="6"/>
  <c r="D57" i="6"/>
  <c r="E57" i="6"/>
  <c r="F57" i="6"/>
  <c r="G57" i="6"/>
  <c r="D58" i="6"/>
  <c r="E58" i="6"/>
  <c r="F58" i="6"/>
  <c r="G58" i="6"/>
  <c r="C59" i="6"/>
  <c r="D59" i="6"/>
  <c r="E59" i="6"/>
  <c r="F59" i="6"/>
  <c r="G59" i="6"/>
  <c r="J20" i="8"/>
  <c r="J21" i="8"/>
  <c r="J24" i="8"/>
  <c r="J25" i="8"/>
  <c r="L4" i="1"/>
  <c r="L5" i="1"/>
  <c r="L8" i="1"/>
  <c r="N8" i="1"/>
  <c r="O8" i="1"/>
  <c r="B9" i="1"/>
  <c r="B10" i="1"/>
  <c r="B11" i="1"/>
  <c r="G30" i="1"/>
  <c r="H30" i="1"/>
  <c r="U30" i="1"/>
  <c r="V30" i="1"/>
  <c r="E39" i="1"/>
  <c r="H39" i="1"/>
  <c r="I39" i="1"/>
  <c r="J39" i="1"/>
  <c r="K39" i="1"/>
  <c r="L39" i="1"/>
  <c r="M39" i="1"/>
  <c r="U39" i="1"/>
  <c r="X39" i="1"/>
  <c r="Y39" i="1"/>
  <c r="Z39" i="1"/>
  <c r="AA39" i="1"/>
  <c r="AB39" i="1"/>
  <c r="AC39" i="1"/>
  <c r="AD39" i="1"/>
  <c r="AE39" i="1"/>
  <c r="AG39" i="1"/>
  <c r="AI39" i="1"/>
  <c r="AK39" i="1"/>
  <c r="AM39" i="1"/>
  <c r="AN39" i="1"/>
  <c r="C40" i="1"/>
  <c r="E40" i="1"/>
  <c r="H40" i="1"/>
  <c r="I40" i="1"/>
  <c r="J40" i="1"/>
  <c r="K40" i="1"/>
  <c r="L40" i="1"/>
  <c r="M40" i="1"/>
  <c r="S40" i="1"/>
  <c r="T40" i="1"/>
  <c r="U40" i="1"/>
  <c r="X40" i="1"/>
  <c r="Y40" i="1"/>
  <c r="Z40" i="1"/>
  <c r="AA40" i="1"/>
  <c r="AB40" i="1"/>
  <c r="AC40" i="1"/>
  <c r="AD40" i="1"/>
  <c r="AE40" i="1"/>
  <c r="AG40" i="1"/>
  <c r="AI40" i="1"/>
  <c r="AK40" i="1"/>
  <c r="AM40" i="1"/>
  <c r="AN40" i="1"/>
  <c r="C41" i="1"/>
  <c r="E41" i="1"/>
  <c r="H41" i="1"/>
  <c r="I41" i="1"/>
  <c r="J41" i="1"/>
  <c r="K41" i="1"/>
  <c r="L41" i="1"/>
  <c r="M41" i="1"/>
  <c r="S41" i="1"/>
  <c r="T41" i="1"/>
  <c r="U41" i="1"/>
  <c r="X41" i="1"/>
  <c r="Y41" i="1"/>
  <c r="Z41" i="1"/>
  <c r="AA41" i="1"/>
  <c r="AB41" i="1"/>
  <c r="AC41" i="1"/>
  <c r="AD41" i="1"/>
  <c r="AE41" i="1"/>
  <c r="AG41" i="1"/>
  <c r="AI41" i="1"/>
  <c r="AK41" i="1"/>
  <c r="AM41" i="1"/>
  <c r="AN41" i="1"/>
  <c r="C42" i="1"/>
  <c r="E42" i="1"/>
  <c r="H42" i="1"/>
  <c r="I42" i="1"/>
  <c r="J42" i="1"/>
  <c r="K42" i="1"/>
  <c r="L42" i="1"/>
  <c r="M42" i="1"/>
  <c r="S42" i="1"/>
  <c r="T42" i="1"/>
  <c r="U42" i="1"/>
  <c r="X42" i="1"/>
  <c r="Y42" i="1"/>
  <c r="Z42" i="1"/>
  <c r="AA42" i="1"/>
  <c r="AB42" i="1"/>
  <c r="AC42" i="1"/>
  <c r="AD42" i="1"/>
  <c r="AE42" i="1"/>
  <c r="AG42" i="1"/>
  <c r="AI42" i="1"/>
  <c r="AK42" i="1"/>
  <c r="AM42" i="1"/>
  <c r="AN42" i="1"/>
  <c r="C43" i="1"/>
  <c r="E43" i="1"/>
  <c r="H43" i="1"/>
  <c r="I43" i="1"/>
  <c r="J43" i="1"/>
  <c r="K43" i="1"/>
  <c r="L43" i="1"/>
  <c r="M43" i="1"/>
  <c r="S43" i="1"/>
  <c r="T43" i="1"/>
  <c r="U43" i="1"/>
  <c r="X43" i="1"/>
  <c r="Y43" i="1"/>
  <c r="Z43" i="1"/>
  <c r="AA43" i="1"/>
  <c r="AB43" i="1"/>
  <c r="AC43" i="1"/>
  <c r="AD43" i="1"/>
  <c r="AE43" i="1"/>
  <c r="AG43" i="1"/>
  <c r="AI43" i="1"/>
  <c r="AK43" i="1"/>
  <c r="AM43" i="1"/>
  <c r="AN43" i="1"/>
  <c r="C44" i="1"/>
  <c r="E44" i="1"/>
  <c r="H44" i="1"/>
  <c r="I44" i="1"/>
  <c r="J44" i="1"/>
  <c r="K44" i="1"/>
  <c r="L44" i="1"/>
  <c r="M44" i="1"/>
  <c r="S44" i="1"/>
  <c r="T44" i="1"/>
  <c r="U44" i="1"/>
  <c r="X44" i="1"/>
  <c r="Y44" i="1"/>
  <c r="Z44" i="1"/>
  <c r="AA44" i="1"/>
  <c r="AB44" i="1"/>
  <c r="AC44" i="1"/>
  <c r="AD44" i="1"/>
  <c r="AE44" i="1"/>
  <c r="AG44" i="1"/>
  <c r="AI44" i="1"/>
  <c r="AK44" i="1"/>
  <c r="AM44" i="1"/>
  <c r="AN44" i="1"/>
  <c r="C45" i="1"/>
  <c r="E45" i="1"/>
  <c r="H45" i="1"/>
  <c r="I45" i="1"/>
  <c r="J45" i="1"/>
  <c r="K45" i="1"/>
  <c r="L45" i="1"/>
  <c r="M45" i="1"/>
  <c r="S45" i="1"/>
  <c r="T45" i="1"/>
  <c r="U45" i="1"/>
  <c r="X45" i="1"/>
  <c r="Y45" i="1"/>
  <c r="Z45" i="1"/>
  <c r="AA45" i="1"/>
  <c r="AB45" i="1"/>
  <c r="AC45" i="1"/>
  <c r="AD45" i="1"/>
  <c r="AE45" i="1"/>
  <c r="AG45" i="1"/>
  <c r="AI45" i="1"/>
  <c r="AK45" i="1"/>
  <c r="AM45" i="1"/>
  <c r="AN45" i="1"/>
  <c r="C46" i="1"/>
  <c r="E46" i="1"/>
  <c r="H46" i="1"/>
  <c r="I46" i="1"/>
  <c r="J46" i="1"/>
  <c r="K46" i="1"/>
  <c r="L46" i="1"/>
  <c r="M46" i="1"/>
  <c r="S46" i="1"/>
  <c r="T46" i="1"/>
  <c r="U46" i="1"/>
  <c r="X46" i="1"/>
  <c r="Y46" i="1"/>
  <c r="Z46" i="1"/>
  <c r="AA46" i="1"/>
  <c r="AB46" i="1"/>
  <c r="AC46" i="1"/>
  <c r="AD46" i="1"/>
  <c r="AE46" i="1"/>
  <c r="AG46" i="1"/>
  <c r="AI46" i="1"/>
  <c r="AK46" i="1"/>
  <c r="AM46" i="1"/>
  <c r="AN46" i="1"/>
  <c r="C47" i="1"/>
  <c r="E47" i="1"/>
  <c r="H47" i="1"/>
  <c r="I47" i="1"/>
  <c r="J47" i="1"/>
  <c r="K47" i="1"/>
  <c r="L47" i="1"/>
  <c r="M47" i="1"/>
  <c r="S47" i="1"/>
  <c r="T47" i="1"/>
  <c r="U47" i="1"/>
  <c r="X47" i="1"/>
  <c r="Y47" i="1"/>
  <c r="Z47" i="1"/>
  <c r="AA47" i="1"/>
  <c r="AB47" i="1"/>
  <c r="AC47" i="1"/>
  <c r="AD47" i="1"/>
  <c r="AE47" i="1"/>
  <c r="AG47" i="1"/>
  <c r="AI47" i="1"/>
  <c r="AK47" i="1"/>
  <c r="AM47" i="1"/>
  <c r="AN47" i="1"/>
  <c r="C48" i="1"/>
  <c r="E48" i="1"/>
  <c r="H48" i="1"/>
  <c r="I48" i="1"/>
  <c r="J48" i="1"/>
  <c r="K48" i="1"/>
  <c r="L48" i="1"/>
  <c r="M48" i="1"/>
  <c r="S48" i="1"/>
  <c r="T48" i="1"/>
  <c r="U48" i="1"/>
  <c r="X48" i="1"/>
  <c r="Y48" i="1"/>
  <c r="Z48" i="1"/>
  <c r="AA48" i="1"/>
  <c r="AB48" i="1"/>
  <c r="AC48" i="1"/>
  <c r="AD48" i="1"/>
  <c r="AE48" i="1"/>
  <c r="AG48" i="1"/>
  <c r="AI48" i="1"/>
  <c r="AK48" i="1"/>
  <c r="AM48" i="1"/>
  <c r="AN48" i="1"/>
  <c r="C49" i="1"/>
  <c r="E49" i="1"/>
  <c r="H49" i="1"/>
  <c r="I49" i="1"/>
  <c r="J49" i="1"/>
  <c r="K49" i="1"/>
  <c r="L49" i="1"/>
  <c r="M49" i="1"/>
  <c r="S49" i="1"/>
  <c r="T49" i="1"/>
  <c r="U49" i="1"/>
  <c r="X49" i="1"/>
  <c r="Y49" i="1"/>
  <c r="Z49" i="1"/>
  <c r="AA49" i="1"/>
  <c r="AB49" i="1"/>
  <c r="AC49" i="1"/>
  <c r="AD49" i="1"/>
  <c r="AE49" i="1"/>
  <c r="AG49" i="1"/>
  <c r="AI49" i="1"/>
  <c r="AK49" i="1"/>
  <c r="AM49" i="1"/>
  <c r="AN49" i="1"/>
  <c r="C50" i="1"/>
  <c r="E50" i="1"/>
  <c r="H50" i="1"/>
  <c r="I50" i="1"/>
  <c r="J50" i="1"/>
  <c r="K50" i="1"/>
  <c r="L50" i="1"/>
  <c r="M50" i="1"/>
  <c r="S50" i="1"/>
  <c r="T50" i="1"/>
  <c r="U50" i="1"/>
  <c r="X50" i="1"/>
  <c r="Y50" i="1"/>
  <c r="Z50" i="1"/>
  <c r="AA50" i="1"/>
  <c r="AB50" i="1"/>
  <c r="AC50" i="1"/>
  <c r="AD50" i="1"/>
  <c r="AE50" i="1"/>
  <c r="AG50" i="1"/>
  <c r="AI50" i="1"/>
  <c r="AK50" i="1"/>
  <c r="AM50" i="1"/>
  <c r="AN50" i="1"/>
  <c r="C51" i="1"/>
  <c r="E51" i="1"/>
  <c r="H51" i="1"/>
  <c r="I51" i="1"/>
  <c r="J51" i="1"/>
  <c r="K51" i="1"/>
  <c r="L51" i="1"/>
  <c r="M51" i="1"/>
  <c r="S51" i="1"/>
  <c r="T51" i="1"/>
  <c r="U51" i="1"/>
  <c r="X51" i="1"/>
  <c r="Y51" i="1"/>
  <c r="Z51" i="1"/>
  <c r="AA51" i="1"/>
  <c r="AB51" i="1"/>
  <c r="AC51" i="1"/>
  <c r="AD51" i="1"/>
  <c r="AE51" i="1"/>
  <c r="AG51" i="1"/>
  <c r="AI51" i="1"/>
  <c r="AK51" i="1"/>
  <c r="AM51" i="1"/>
  <c r="AN51" i="1"/>
  <c r="C52" i="1"/>
  <c r="E52" i="1"/>
  <c r="H52" i="1"/>
  <c r="I52" i="1"/>
  <c r="J52" i="1"/>
  <c r="K52" i="1"/>
  <c r="L52" i="1"/>
  <c r="M52" i="1"/>
  <c r="S52" i="1"/>
  <c r="T52" i="1"/>
  <c r="U52" i="1"/>
  <c r="X52" i="1"/>
  <c r="Y52" i="1"/>
  <c r="Z52" i="1"/>
  <c r="AA52" i="1"/>
  <c r="AB52" i="1"/>
  <c r="AC52" i="1"/>
  <c r="AD52" i="1"/>
  <c r="AE52" i="1"/>
  <c r="AG52" i="1"/>
  <c r="AI52" i="1"/>
  <c r="AK52" i="1"/>
  <c r="AM52" i="1"/>
  <c r="AN52" i="1"/>
  <c r="C53" i="1"/>
  <c r="E53" i="1"/>
  <c r="H53" i="1"/>
  <c r="I53" i="1"/>
  <c r="J53" i="1"/>
  <c r="K53" i="1"/>
  <c r="L53" i="1"/>
  <c r="M53" i="1"/>
  <c r="S53" i="1"/>
  <c r="T53" i="1"/>
  <c r="U53" i="1"/>
  <c r="X53" i="1"/>
  <c r="Y53" i="1"/>
  <c r="Z53" i="1"/>
  <c r="AA53" i="1"/>
  <c r="AB53" i="1"/>
  <c r="AC53" i="1"/>
  <c r="AD53" i="1"/>
  <c r="AE53" i="1"/>
  <c r="AG53" i="1"/>
  <c r="AI53" i="1"/>
  <c r="AK53" i="1"/>
  <c r="AM53" i="1"/>
  <c r="AN53" i="1"/>
  <c r="C54" i="1"/>
  <c r="E54" i="1"/>
  <c r="H54" i="1"/>
  <c r="I54" i="1"/>
  <c r="J54" i="1"/>
  <c r="K54" i="1"/>
  <c r="L54" i="1"/>
  <c r="M54" i="1"/>
  <c r="S54" i="1"/>
  <c r="T54" i="1"/>
  <c r="U54" i="1"/>
  <c r="X54" i="1"/>
  <c r="Y54" i="1"/>
  <c r="Z54" i="1"/>
  <c r="AA54" i="1"/>
  <c r="AB54" i="1"/>
  <c r="AC54" i="1"/>
  <c r="AD54" i="1"/>
  <c r="AE54" i="1"/>
  <c r="AG54" i="1"/>
  <c r="AI54" i="1"/>
  <c r="AK54" i="1"/>
  <c r="AM54" i="1"/>
  <c r="AN54" i="1"/>
  <c r="C55" i="1"/>
  <c r="E55" i="1"/>
  <c r="H55" i="1"/>
  <c r="I55" i="1"/>
  <c r="J55" i="1"/>
  <c r="K55" i="1"/>
  <c r="L55" i="1"/>
  <c r="M55" i="1"/>
  <c r="S55" i="1"/>
  <c r="T55" i="1"/>
  <c r="U55" i="1"/>
  <c r="X55" i="1"/>
  <c r="Y55" i="1"/>
  <c r="Z55" i="1"/>
  <c r="AA55" i="1"/>
  <c r="AB55" i="1"/>
  <c r="AC55" i="1"/>
  <c r="AD55" i="1"/>
  <c r="AE55" i="1"/>
  <c r="AG55" i="1"/>
  <c r="AI55" i="1"/>
  <c r="AK55" i="1"/>
  <c r="AM55" i="1"/>
  <c r="AN55" i="1"/>
  <c r="C56" i="1"/>
  <c r="E56" i="1"/>
  <c r="H56" i="1"/>
  <c r="I56" i="1"/>
  <c r="J56" i="1"/>
  <c r="K56" i="1"/>
  <c r="L56" i="1"/>
  <c r="M56" i="1"/>
  <c r="S56" i="1"/>
  <c r="T56" i="1"/>
  <c r="U56" i="1"/>
  <c r="X56" i="1"/>
  <c r="Y56" i="1"/>
  <c r="Z56" i="1"/>
  <c r="AA56" i="1"/>
  <c r="AB56" i="1"/>
  <c r="AC56" i="1"/>
  <c r="AD56" i="1"/>
  <c r="AE56" i="1"/>
  <c r="AG56" i="1"/>
  <c r="AI56" i="1"/>
  <c r="AK56" i="1"/>
  <c r="AM56" i="1"/>
  <c r="AN56" i="1"/>
  <c r="C57" i="1"/>
  <c r="E57" i="1"/>
  <c r="H57" i="1"/>
  <c r="I57" i="1"/>
  <c r="J57" i="1"/>
  <c r="K57" i="1"/>
  <c r="L57" i="1"/>
  <c r="M57" i="1"/>
  <c r="S57" i="1"/>
  <c r="T57" i="1"/>
  <c r="U57" i="1"/>
  <c r="X57" i="1"/>
  <c r="Y57" i="1"/>
  <c r="Z57" i="1"/>
  <c r="AA57" i="1"/>
  <c r="AB57" i="1"/>
  <c r="AC57" i="1"/>
  <c r="AD57" i="1"/>
  <c r="AE57" i="1"/>
  <c r="AG57" i="1"/>
  <c r="AI57" i="1"/>
  <c r="AK57" i="1"/>
  <c r="AM57" i="1"/>
  <c r="AN57" i="1"/>
  <c r="C58" i="1"/>
  <c r="E58" i="1"/>
  <c r="H58" i="1"/>
  <c r="I58" i="1"/>
  <c r="J58" i="1"/>
  <c r="K58" i="1"/>
  <c r="L58" i="1"/>
  <c r="M58" i="1"/>
  <c r="S58" i="1"/>
  <c r="T58" i="1"/>
  <c r="U58" i="1"/>
  <c r="X58" i="1"/>
  <c r="Y58" i="1"/>
  <c r="Z58" i="1"/>
  <c r="AA58" i="1"/>
  <c r="AB58" i="1"/>
  <c r="AC58" i="1"/>
  <c r="AD58" i="1"/>
  <c r="AE58" i="1"/>
  <c r="AG58" i="1"/>
  <c r="AI58" i="1"/>
  <c r="AK58" i="1"/>
  <c r="AM58" i="1"/>
  <c r="AN58" i="1"/>
  <c r="C59" i="1"/>
  <c r="E59" i="1"/>
  <c r="H59" i="1"/>
  <c r="I59" i="1"/>
  <c r="J59" i="1"/>
  <c r="K59" i="1"/>
  <c r="L59" i="1"/>
  <c r="M59" i="1"/>
  <c r="S59" i="1"/>
  <c r="T59" i="1"/>
  <c r="U59" i="1"/>
  <c r="X59" i="1"/>
  <c r="Y59" i="1"/>
  <c r="Z59" i="1"/>
  <c r="AA59" i="1"/>
  <c r="AB59" i="1"/>
  <c r="AC59" i="1"/>
  <c r="AD59" i="1"/>
  <c r="AE59" i="1"/>
  <c r="AG59" i="1"/>
  <c r="AI59" i="1"/>
  <c r="AK59" i="1"/>
  <c r="AM59" i="1"/>
  <c r="AN59" i="1"/>
  <c r="C60" i="1"/>
  <c r="E60" i="1"/>
  <c r="H60" i="1"/>
  <c r="I60" i="1"/>
  <c r="J60" i="1"/>
  <c r="K60" i="1"/>
  <c r="L60" i="1"/>
  <c r="M60" i="1"/>
  <c r="S60" i="1"/>
  <c r="T60" i="1"/>
  <c r="U60" i="1"/>
  <c r="X60" i="1"/>
  <c r="Y60" i="1"/>
  <c r="Z60" i="1"/>
  <c r="AA60" i="1"/>
  <c r="AB60" i="1"/>
  <c r="AC60" i="1"/>
  <c r="AD60" i="1"/>
  <c r="AE60" i="1"/>
  <c r="AG60" i="1"/>
  <c r="AI60" i="1"/>
  <c r="AK60" i="1"/>
  <c r="AM60" i="1"/>
  <c r="AN60" i="1"/>
  <c r="C61" i="1"/>
  <c r="E61" i="1"/>
  <c r="H61" i="1"/>
  <c r="I61" i="1"/>
  <c r="J61" i="1"/>
  <c r="K61" i="1"/>
  <c r="L61" i="1"/>
  <c r="M61" i="1"/>
  <c r="S61" i="1"/>
  <c r="T61" i="1"/>
  <c r="U61" i="1"/>
  <c r="X61" i="1"/>
  <c r="Y61" i="1"/>
  <c r="Z61" i="1"/>
  <c r="AA61" i="1"/>
  <c r="AB61" i="1"/>
  <c r="AC61" i="1"/>
  <c r="AD61" i="1"/>
  <c r="AE61" i="1"/>
  <c r="AG61" i="1"/>
  <c r="AI61" i="1"/>
  <c r="AK61" i="1"/>
  <c r="AM61" i="1"/>
  <c r="AN61" i="1"/>
  <c r="C62" i="1"/>
  <c r="E62" i="1"/>
  <c r="H62" i="1"/>
  <c r="I62" i="1"/>
  <c r="J62" i="1"/>
  <c r="K62" i="1"/>
  <c r="L62" i="1"/>
  <c r="M62" i="1"/>
  <c r="S62" i="1"/>
  <c r="T62" i="1"/>
  <c r="U62" i="1"/>
  <c r="X62" i="1"/>
  <c r="Y62" i="1"/>
  <c r="Z62" i="1"/>
  <c r="AA62" i="1"/>
  <c r="AB62" i="1"/>
  <c r="AC62" i="1"/>
  <c r="AD62" i="1"/>
  <c r="AE62" i="1"/>
  <c r="AG62" i="1"/>
  <c r="AI62" i="1"/>
  <c r="AK62" i="1"/>
  <c r="AM62" i="1"/>
  <c r="AN62" i="1"/>
  <c r="C63" i="1"/>
  <c r="E63" i="1"/>
  <c r="H63" i="1"/>
  <c r="I63" i="1"/>
  <c r="J63" i="1"/>
  <c r="K63" i="1"/>
  <c r="L63" i="1"/>
  <c r="M63" i="1"/>
  <c r="S63" i="1"/>
  <c r="T63" i="1"/>
  <c r="U63" i="1"/>
  <c r="X63" i="1"/>
  <c r="Y63" i="1"/>
  <c r="Z63" i="1"/>
  <c r="AA63" i="1"/>
  <c r="AB63" i="1"/>
  <c r="AC63" i="1"/>
  <c r="AD63" i="1"/>
  <c r="AE63" i="1"/>
  <c r="AG63" i="1"/>
  <c r="AI63" i="1"/>
  <c r="AK63" i="1"/>
  <c r="AM63" i="1"/>
  <c r="AN63" i="1"/>
  <c r="C64" i="1"/>
  <c r="E64" i="1"/>
  <c r="H64" i="1"/>
  <c r="I64" i="1"/>
  <c r="J64" i="1"/>
  <c r="K64" i="1"/>
  <c r="L64" i="1"/>
  <c r="M64" i="1"/>
  <c r="S64" i="1"/>
  <c r="T64" i="1"/>
  <c r="U64" i="1"/>
  <c r="X64" i="1"/>
  <c r="Y64" i="1"/>
  <c r="Z64" i="1"/>
  <c r="AA64" i="1"/>
  <c r="AB64" i="1"/>
  <c r="AC64" i="1"/>
  <c r="AD64" i="1"/>
  <c r="AE64" i="1"/>
  <c r="AG64" i="1"/>
  <c r="AI64" i="1"/>
  <c r="AK64" i="1"/>
  <c r="AM64" i="1"/>
  <c r="AN64" i="1"/>
  <c r="C65" i="1"/>
  <c r="E65" i="1"/>
  <c r="H65" i="1"/>
  <c r="I65" i="1"/>
  <c r="J65" i="1"/>
  <c r="K65" i="1"/>
  <c r="L65" i="1"/>
  <c r="M65" i="1"/>
  <c r="S65" i="1"/>
  <c r="T65" i="1"/>
  <c r="U65" i="1"/>
  <c r="X65" i="1"/>
  <c r="Y65" i="1"/>
  <c r="Z65" i="1"/>
  <c r="AA65" i="1"/>
  <c r="AB65" i="1"/>
  <c r="AC65" i="1"/>
  <c r="AD65" i="1"/>
  <c r="AE65" i="1"/>
  <c r="AG65" i="1"/>
  <c r="AI65" i="1"/>
  <c r="AK65" i="1"/>
  <c r="AM65" i="1"/>
  <c r="AN65" i="1"/>
  <c r="C66" i="1"/>
  <c r="E66" i="1"/>
  <c r="H66" i="1"/>
  <c r="I66" i="1"/>
  <c r="J66" i="1"/>
  <c r="K66" i="1"/>
  <c r="L66" i="1"/>
  <c r="M66" i="1"/>
  <c r="S66" i="1"/>
  <c r="T66" i="1"/>
  <c r="U66" i="1"/>
  <c r="X66" i="1"/>
  <c r="Y66" i="1"/>
  <c r="Z66" i="1"/>
  <c r="AA66" i="1"/>
  <c r="AB66" i="1"/>
  <c r="AC66" i="1"/>
  <c r="AD66" i="1"/>
  <c r="AE66" i="1"/>
  <c r="AG66" i="1"/>
  <c r="AI66" i="1"/>
  <c r="AK66" i="1"/>
  <c r="AM66" i="1"/>
  <c r="AN66" i="1"/>
  <c r="C67" i="1"/>
  <c r="E67" i="1"/>
  <c r="H67" i="1"/>
  <c r="I67" i="1"/>
  <c r="J67" i="1"/>
  <c r="K67" i="1"/>
  <c r="L67" i="1"/>
  <c r="M67" i="1"/>
  <c r="S67" i="1"/>
  <c r="T67" i="1"/>
  <c r="U67" i="1"/>
  <c r="X67" i="1"/>
  <c r="Y67" i="1"/>
  <c r="Z67" i="1"/>
  <c r="AA67" i="1"/>
  <c r="AB67" i="1"/>
  <c r="AC67" i="1"/>
  <c r="AD67" i="1"/>
  <c r="AE67" i="1"/>
  <c r="AG67" i="1"/>
  <c r="AI67" i="1"/>
  <c r="AK67" i="1"/>
  <c r="AM67" i="1"/>
  <c r="AN67" i="1"/>
  <c r="C68" i="1"/>
  <c r="E68" i="1"/>
  <c r="H68" i="1"/>
  <c r="I68" i="1"/>
  <c r="J68" i="1"/>
  <c r="K68" i="1"/>
  <c r="L68" i="1"/>
  <c r="M68" i="1"/>
  <c r="S68" i="1"/>
  <c r="T68" i="1"/>
  <c r="U68" i="1"/>
  <c r="X68" i="1"/>
  <c r="Y68" i="1"/>
  <c r="Z68" i="1"/>
  <c r="AA68" i="1"/>
  <c r="AB68" i="1"/>
  <c r="AC68" i="1"/>
  <c r="AD68" i="1"/>
  <c r="AE68" i="1"/>
  <c r="AG68" i="1"/>
  <c r="AI68" i="1"/>
  <c r="AK68" i="1"/>
  <c r="AM68" i="1"/>
  <c r="AN68" i="1"/>
  <c r="C69" i="1"/>
  <c r="E69" i="1"/>
  <c r="H69" i="1"/>
  <c r="I69" i="1"/>
  <c r="J69" i="1"/>
  <c r="K69" i="1"/>
  <c r="L69" i="1"/>
  <c r="M69" i="1"/>
  <c r="S69" i="1"/>
  <c r="T69" i="1"/>
  <c r="U69" i="1"/>
  <c r="X69" i="1"/>
  <c r="Y69" i="1"/>
  <c r="Z69" i="1"/>
  <c r="AA69" i="1"/>
  <c r="AB69" i="1"/>
  <c r="AC69" i="1"/>
  <c r="AD69" i="1"/>
  <c r="AE69" i="1"/>
  <c r="AG69" i="1"/>
  <c r="AI69" i="1"/>
  <c r="AK69" i="1"/>
  <c r="AM69" i="1"/>
  <c r="AN69" i="1"/>
  <c r="C70" i="1"/>
  <c r="E70" i="1"/>
  <c r="H70" i="1"/>
  <c r="I70" i="1"/>
  <c r="J70" i="1"/>
  <c r="K70" i="1"/>
  <c r="L70" i="1"/>
  <c r="M70" i="1"/>
  <c r="S70" i="1"/>
  <c r="T70" i="1"/>
  <c r="U70" i="1"/>
  <c r="X70" i="1"/>
  <c r="Y70" i="1"/>
  <c r="Z70" i="1"/>
  <c r="AA70" i="1"/>
  <c r="AB70" i="1"/>
  <c r="AC70" i="1"/>
  <c r="AD70" i="1"/>
  <c r="AE70" i="1"/>
  <c r="AG70" i="1"/>
  <c r="AI70" i="1"/>
  <c r="AK70" i="1"/>
  <c r="AM70" i="1"/>
  <c r="AN70" i="1"/>
  <c r="C71" i="1"/>
  <c r="E71" i="1"/>
  <c r="H71" i="1"/>
  <c r="I71" i="1"/>
  <c r="J71" i="1"/>
  <c r="K71" i="1"/>
  <c r="L71" i="1"/>
  <c r="M71" i="1"/>
  <c r="S71" i="1"/>
  <c r="T71" i="1"/>
  <c r="U71" i="1"/>
  <c r="X71" i="1"/>
  <c r="Y71" i="1"/>
  <c r="Z71" i="1"/>
  <c r="AA71" i="1"/>
  <c r="AB71" i="1"/>
  <c r="AC71" i="1"/>
  <c r="AD71" i="1"/>
  <c r="AE71" i="1"/>
  <c r="AG71" i="1"/>
  <c r="AI71" i="1"/>
  <c r="AK71" i="1"/>
  <c r="AM71" i="1"/>
  <c r="AN71" i="1"/>
  <c r="C72" i="1"/>
  <c r="E72" i="1"/>
  <c r="H72" i="1"/>
  <c r="I72" i="1"/>
  <c r="J72" i="1"/>
  <c r="K72" i="1"/>
  <c r="L72" i="1"/>
  <c r="M72" i="1"/>
  <c r="S72" i="1"/>
  <c r="T72" i="1"/>
  <c r="U72" i="1"/>
  <c r="X72" i="1"/>
  <c r="Y72" i="1"/>
  <c r="Z72" i="1"/>
  <c r="AA72" i="1"/>
  <c r="AB72" i="1"/>
  <c r="AC72" i="1"/>
  <c r="AD72" i="1"/>
  <c r="AE72" i="1"/>
  <c r="AG72" i="1"/>
  <c r="AI72" i="1"/>
  <c r="AK72" i="1"/>
  <c r="AM72" i="1"/>
  <c r="AN72" i="1"/>
  <c r="C73" i="1"/>
  <c r="E73" i="1"/>
  <c r="H73" i="1"/>
  <c r="I73" i="1"/>
  <c r="J73" i="1"/>
  <c r="K73" i="1"/>
  <c r="L73" i="1"/>
  <c r="M73" i="1"/>
  <c r="S73" i="1"/>
  <c r="T73" i="1"/>
  <c r="U73" i="1"/>
  <c r="X73" i="1"/>
  <c r="Y73" i="1"/>
  <c r="Z73" i="1"/>
  <c r="AA73" i="1"/>
  <c r="AB73" i="1"/>
  <c r="AC73" i="1"/>
  <c r="AD73" i="1"/>
  <c r="AE73" i="1"/>
  <c r="AG73" i="1"/>
  <c r="AI73" i="1"/>
  <c r="AK73" i="1"/>
  <c r="AM73" i="1"/>
  <c r="AN73" i="1"/>
  <c r="C74" i="1"/>
  <c r="E74" i="1"/>
  <c r="H74" i="1"/>
  <c r="I74" i="1"/>
  <c r="J74" i="1"/>
  <c r="K74" i="1"/>
  <c r="L74" i="1"/>
  <c r="M74" i="1"/>
  <c r="S74" i="1"/>
  <c r="T74" i="1"/>
  <c r="U74" i="1"/>
  <c r="X74" i="1"/>
  <c r="Y74" i="1"/>
  <c r="Z74" i="1"/>
  <c r="AA74" i="1"/>
  <c r="AB74" i="1"/>
  <c r="AC74" i="1"/>
  <c r="AD74" i="1"/>
  <c r="AE74" i="1"/>
  <c r="AG74" i="1"/>
  <c r="AI74" i="1"/>
  <c r="AK74" i="1"/>
  <c r="AM74" i="1"/>
  <c r="AN74" i="1"/>
  <c r="C75" i="1"/>
  <c r="E75" i="1"/>
  <c r="H75" i="1"/>
  <c r="I75" i="1"/>
  <c r="J75" i="1"/>
  <c r="K75" i="1"/>
  <c r="L75" i="1"/>
  <c r="M75" i="1"/>
  <c r="S75" i="1"/>
  <c r="T75" i="1"/>
  <c r="U75" i="1"/>
  <c r="X75" i="1"/>
  <c r="Y75" i="1"/>
  <c r="Z75" i="1"/>
  <c r="AA75" i="1"/>
  <c r="AB75" i="1"/>
  <c r="AC75" i="1"/>
  <c r="AD75" i="1"/>
  <c r="AE75" i="1"/>
  <c r="AG75" i="1"/>
  <c r="AI75" i="1"/>
  <c r="AK75" i="1"/>
  <c r="AM75" i="1"/>
  <c r="AN75" i="1"/>
  <c r="C76" i="1"/>
  <c r="E76" i="1"/>
  <c r="H76" i="1"/>
  <c r="I76" i="1"/>
  <c r="J76" i="1"/>
  <c r="K76" i="1"/>
  <c r="L76" i="1"/>
  <c r="M76" i="1"/>
  <c r="S76" i="1"/>
  <c r="T76" i="1"/>
  <c r="U76" i="1"/>
  <c r="X76" i="1"/>
  <c r="Y76" i="1"/>
  <c r="Z76" i="1"/>
  <c r="AA76" i="1"/>
  <c r="AB76" i="1"/>
  <c r="AC76" i="1"/>
  <c r="AD76" i="1"/>
  <c r="AE76" i="1"/>
  <c r="AG76" i="1"/>
  <c r="AI76" i="1"/>
  <c r="AK76" i="1"/>
  <c r="AM76" i="1"/>
  <c r="AN76" i="1"/>
  <c r="C77" i="1"/>
  <c r="E77" i="1"/>
  <c r="H77" i="1"/>
  <c r="I77" i="1"/>
  <c r="J77" i="1"/>
  <c r="K77" i="1"/>
  <c r="L77" i="1"/>
  <c r="M77" i="1"/>
  <c r="S77" i="1"/>
  <c r="T77" i="1"/>
  <c r="U77" i="1"/>
  <c r="X77" i="1"/>
  <c r="Y77" i="1"/>
  <c r="Z77" i="1"/>
  <c r="AA77" i="1"/>
  <c r="AB77" i="1"/>
  <c r="AC77" i="1"/>
  <c r="AD77" i="1"/>
  <c r="AE77" i="1"/>
  <c r="AG77" i="1"/>
  <c r="AI77" i="1"/>
  <c r="AK77" i="1"/>
  <c r="AM77" i="1"/>
  <c r="AN77" i="1"/>
  <c r="C78" i="1"/>
  <c r="E78" i="1"/>
  <c r="H78" i="1"/>
  <c r="I78" i="1"/>
  <c r="J78" i="1"/>
  <c r="K78" i="1"/>
  <c r="L78" i="1"/>
  <c r="M78" i="1"/>
  <c r="S78" i="1"/>
  <c r="T78" i="1"/>
  <c r="U78" i="1"/>
  <c r="X78" i="1"/>
  <c r="Y78" i="1"/>
  <c r="Z78" i="1"/>
  <c r="AA78" i="1"/>
  <c r="AB78" i="1"/>
  <c r="AC78" i="1"/>
  <c r="AD78" i="1"/>
  <c r="AE78" i="1"/>
  <c r="AG78" i="1"/>
  <c r="AI78" i="1"/>
  <c r="AK78" i="1"/>
  <c r="AM78" i="1"/>
  <c r="AN78" i="1"/>
  <c r="C79" i="1"/>
  <c r="E79" i="1"/>
  <c r="H79" i="1"/>
  <c r="I79" i="1"/>
  <c r="J79" i="1"/>
  <c r="K79" i="1"/>
  <c r="L79" i="1"/>
  <c r="M79" i="1"/>
  <c r="S79" i="1"/>
  <c r="T79" i="1"/>
  <c r="U79" i="1"/>
  <c r="X79" i="1"/>
  <c r="Y79" i="1"/>
  <c r="Z79" i="1"/>
  <c r="AA79" i="1"/>
  <c r="AB79" i="1"/>
  <c r="AC79" i="1"/>
  <c r="AD79" i="1"/>
  <c r="AE79" i="1"/>
  <c r="AG79" i="1"/>
  <c r="AI79" i="1"/>
  <c r="AK79" i="1"/>
  <c r="AM79" i="1"/>
  <c r="AN79" i="1"/>
  <c r="C80" i="1"/>
  <c r="E80" i="1"/>
  <c r="H80" i="1"/>
  <c r="I80" i="1"/>
  <c r="J80" i="1"/>
  <c r="K80" i="1"/>
  <c r="L80" i="1"/>
  <c r="M80" i="1"/>
  <c r="S80" i="1"/>
  <c r="T80" i="1"/>
  <c r="U80" i="1"/>
  <c r="X80" i="1"/>
  <c r="Y80" i="1"/>
  <c r="Z80" i="1"/>
  <c r="AA80" i="1"/>
  <c r="AB80" i="1"/>
  <c r="AC80" i="1"/>
  <c r="AD80" i="1"/>
  <c r="AE80" i="1"/>
  <c r="AG80" i="1"/>
  <c r="AI80" i="1"/>
  <c r="AK80" i="1"/>
  <c r="AM80" i="1"/>
  <c r="AN80" i="1"/>
  <c r="C81" i="1"/>
  <c r="E81" i="1"/>
  <c r="H81" i="1"/>
  <c r="I81" i="1"/>
  <c r="J81" i="1"/>
  <c r="K81" i="1"/>
  <c r="L81" i="1"/>
  <c r="M81" i="1"/>
  <c r="S81" i="1"/>
  <c r="T81" i="1"/>
  <c r="U81" i="1"/>
  <c r="X81" i="1"/>
  <c r="Y81" i="1"/>
  <c r="Z81" i="1"/>
  <c r="AA81" i="1"/>
  <c r="AB81" i="1"/>
  <c r="AC81" i="1"/>
  <c r="AD81" i="1"/>
  <c r="AE81" i="1"/>
  <c r="AG81" i="1"/>
  <c r="AI81" i="1"/>
  <c r="AK81" i="1"/>
  <c r="AM81" i="1"/>
  <c r="AN81" i="1"/>
  <c r="C82" i="1"/>
  <c r="E82" i="1"/>
  <c r="H82" i="1"/>
  <c r="I82" i="1"/>
  <c r="J82" i="1"/>
  <c r="K82" i="1"/>
  <c r="L82" i="1"/>
  <c r="M82" i="1"/>
  <c r="S82" i="1"/>
  <c r="T82" i="1"/>
  <c r="U82" i="1"/>
  <c r="X82" i="1"/>
  <c r="Y82" i="1"/>
  <c r="Z82" i="1"/>
  <c r="AA82" i="1"/>
  <c r="AB82" i="1"/>
  <c r="AC82" i="1"/>
  <c r="AD82" i="1"/>
  <c r="AE82" i="1"/>
  <c r="AG82" i="1"/>
  <c r="AI82" i="1"/>
  <c r="AK82" i="1"/>
  <c r="AM82" i="1"/>
  <c r="AN82" i="1"/>
  <c r="C83" i="1"/>
  <c r="E83" i="1"/>
  <c r="H83" i="1"/>
  <c r="I83" i="1"/>
  <c r="J83" i="1"/>
  <c r="K83" i="1"/>
  <c r="L83" i="1"/>
  <c r="M83" i="1"/>
  <c r="S83" i="1"/>
  <c r="T83" i="1"/>
  <c r="U83" i="1"/>
  <c r="X83" i="1"/>
  <c r="Y83" i="1"/>
  <c r="Z83" i="1"/>
  <c r="AA83" i="1"/>
  <c r="AB83" i="1"/>
  <c r="AC83" i="1"/>
  <c r="AD83" i="1"/>
  <c r="AE83" i="1"/>
  <c r="AG83" i="1"/>
  <c r="AI83" i="1"/>
  <c r="AK83" i="1"/>
  <c r="AM83" i="1"/>
  <c r="AN83" i="1"/>
  <c r="C84" i="1"/>
  <c r="E84" i="1"/>
  <c r="H84" i="1"/>
  <c r="I84" i="1"/>
  <c r="J84" i="1"/>
  <c r="K84" i="1"/>
  <c r="L84" i="1"/>
  <c r="M84" i="1"/>
  <c r="S84" i="1"/>
  <c r="T84" i="1"/>
  <c r="U84" i="1"/>
  <c r="X84" i="1"/>
  <c r="Y84" i="1"/>
  <c r="Z84" i="1"/>
  <c r="AA84" i="1"/>
  <c r="AB84" i="1"/>
  <c r="AC84" i="1"/>
  <c r="AD84" i="1"/>
  <c r="AE84" i="1"/>
  <c r="AG84" i="1"/>
  <c r="AI84" i="1"/>
  <c r="AK84" i="1"/>
  <c r="AM84" i="1"/>
  <c r="AN84" i="1"/>
  <c r="C85" i="1"/>
  <c r="E85" i="1"/>
  <c r="H85" i="1"/>
  <c r="I85" i="1"/>
  <c r="J85" i="1"/>
  <c r="K85" i="1"/>
  <c r="L85" i="1"/>
  <c r="M85" i="1"/>
  <c r="S85" i="1"/>
  <c r="T85" i="1"/>
  <c r="U85" i="1"/>
  <c r="X85" i="1"/>
  <c r="Y85" i="1"/>
  <c r="Z85" i="1"/>
  <c r="AA85" i="1"/>
  <c r="AB85" i="1"/>
  <c r="AC85" i="1"/>
  <c r="AD85" i="1"/>
  <c r="AE85" i="1"/>
  <c r="AG85" i="1"/>
  <c r="AI85" i="1"/>
  <c r="AK85" i="1"/>
  <c r="AM85" i="1"/>
  <c r="AN85" i="1"/>
  <c r="C86" i="1"/>
  <c r="E86" i="1"/>
  <c r="H86" i="1"/>
  <c r="I86" i="1"/>
  <c r="J86" i="1"/>
  <c r="K86" i="1"/>
  <c r="L86" i="1"/>
  <c r="M86" i="1"/>
  <c r="S86" i="1"/>
  <c r="T86" i="1"/>
  <c r="U86" i="1"/>
  <c r="X86" i="1"/>
  <c r="Y86" i="1"/>
  <c r="Z86" i="1"/>
  <c r="AA86" i="1"/>
  <c r="AB86" i="1"/>
  <c r="AC86" i="1"/>
  <c r="AD86" i="1"/>
  <c r="AE86" i="1"/>
  <c r="AG86" i="1"/>
  <c r="AI86" i="1"/>
  <c r="AK86" i="1"/>
  <c r="AM86" i="1"/>
  <c r="AN86" i="1"/>
  <c r="C87" i="1"/>
  <c r="E87" i="1"/>
  <c r="H87" i="1"/>
  <c r="I87" i="1"/>
  <c r="J87" i="1"/>
  <c r="K87" i="1"/>
  <c r="L87" i="1"/>
  <c r="M87" i="1"/>
  <c r="S87" i="1"/>
  <c r="T87" i="1"/>
  <c r="U87" i="1"/>
  <c r="X87" i="1"/>
  <c r="Y87" i="1"/>
  <c r="Z87" i="1"/>
  <c r="AA87" i="1"/>
  <c r="AB87" i="1"/>
  <c r="AC87" i="1"/>
  <c r="AD87" i="1"/>
  <c r="AE87" i="1"/>
  <c r="AG87" i="1"/>
  <c r="AI87" i="1"/>
  <c r="AK87" i="1"/>
  <c r="AM87" i="1"/>
  <c r="AN87" i="1"/>
  <c r="C88" i="1"/>
  <c r="E88" i="1"/>
  <c r="H88" i="1"/>
  <c r="I88" i="1"/>
  <c r="J88" i="1"/>
  <c r="K88" i="1"/>
  <c r="L88" i="1"/>
  <c r="M88" i="1"/>
  <c r="S88" i="1"/>
  <c r="T88" i="1"/>
  <c r="U88" i="1"/>
  <c r="X88" i="1"/>
  <c r="Y88" i="1"/>
  <c r="Z88" i="1"/>
  <c r="AA88" i="1"/>
  <c r="AB88" i="1"/>
  <c r="AC88" i="1"/>
  <c r="AD88" i="1"/>
  <c r="AE88" i="1"/>
  <c r="AG88" i="1"/>
  <c r="AI88" i="1"/>
  <c r="AK88" i="1"/>
  <c r="AM88" i="1"/>
  <c r="AN88" i="1"/>
  <c r="C89" i="1"/>
  <c r="E89" i="1"/>
  <c r="H89" i="1"/>
  <c r="I89" i="1"/>
  <c r="J89" i="1"/>
  <c r="K89" i="1"/>
  <c r="L89" i="1"/>
  <c r="M89" i="1"/>
  <c r="S89" i="1"/>
  <c r="T89" i="1"/>
  <c r="U89" i="1"/>
  <c r="X89" i="1"/>
  <c r="Y89" i="1"/>
  <c r="Z89" i="1"/>
  <c r="AA89" i="1"/>
  <c r="AB89" i="1"/>
  <c r="AC89" i="1"/>
  <c r="AD89" i="1"/>
  <c r="AE89" i="1"/>
  <c r="AG89" i="1"/>
  <c r="AI89" i="1"/>
  <c r="AK89" i="1"/>
  <c r="AM89" i="1"/>
  <c r="AN89" i="1"/>
  <c r="C90" i="1"/>
  <c r="E90" i="1"/>
  <c r="H90" i="1"/>
  <c r="I90" i="1"/>
  <c r="J90" i="1"/>
  <c r="K90" i="1"/>
  <c r="L90" i="1"/>
  <c r="M90" i="1"/>
  <c r="S90" i="1"/>
  <c r="T90" i="1"/>
  <c r="U90" i="1"/>
  <c r="X90" i="1"/>
  <c r="Y90" i="1"/>
  <c r="Z90" i="1"/>
  <c r="AA90" i="1"/>
  <c r="AB90" i="1"/>
  <c r="AC90" i="1"/>
  <c r="AD90" i="1"/>
  <c r="AE90" i="1"/>
  <c r="AG90" i="1"/>
  <c r="AI90" i="1"/>
  <c r="AK90" i="1"/>
  <c r="AM90" i="1"/>
  <c r="AN90" i="1"/>
  <c r="C91" i="1"/>
  <c r="E91" i="1"/>
  <c r="H91" i="1"/>
  <c r="I91" i="1"/>
  <c r="J91" i="1"/>
  <c r="K91" i="1"/>
  <c r="L91" i="1"/>
  <c r="M91" i="1"/>
  <c r="S91" i="1"/>
  <c r="T91" i="1"/>
  <c r="U91" i="1"/>
  <c r="X91" i="1"/>
  <c r="Y91" i="1"/>
  <c r="Z91" i="1"/>
  <c r="AA91" i="1"/>
  <c r="AB91" i="1"/>
  <c r="AC91" i="1"/>
  <c r="AD91" i="1"/>
  <c r="AE91" i="1"/>
  <c r="AG91" i="1"/>
  <c r="AI91" i="1"/>
  <c r="AK91" i="1"/>
  <c r="AM91" i="1"/>
  <c r="AN91" i="1"/>
  <c r="C92" i="1"/>
  <c r="E92" i="1"/>
  <c r="H92" i="1"/>
  <c r="I92" i="1"/>
  <c r="J92" i="1"/>
  <c r="K92" i="1"/>
  <c r="L92" i="1"/>
  <c r="M92" i="1"/>
  <c r="S92" i="1"/>
  <c r="T92" i="1"/>
  <c r="U92" i="1"/>
  <c r="X92" i="1"/>
  <c r="Y92" i="1"/>
  <c r="Z92" i="1"/>
  <c r="AA92" i="1"/>
  <c r="AB92" i="1"/>
  <c r="AC92" i="1"/>
  <c r="AD92" i="1"/>
  <c r="AE92" i="1"/>
  <c r="AG92" i="1"/>
  <c r="AI92" i="1"/>
  <c r="AK92" i="1"/>
  <c r="AM92" i="1"/>
  <c r="AN92" i="1"/>
  <c r="C93" i="1"/>
  <c r="E93" i="1"/>
  <c r="H93" i="1"/>
  <c r="I93" i="1"/>
  <c r="J93" i="1"/>
  <c r="K93" i="1"/>
  <c r="L93" i="1"/>
  <c r="M93" i="1"/>
  <c r="S93" i="1"/>
  <c r="T93" i="1"/>
  <c r="U93" i="1"/>
  <c r="X93" i="1"/>
  <c r="Y93" i="1"/>
  <c r="Z93" i="1"/>
  <c r="AA93" i="1"/>
  <c r="AB93" i="1"/>
  <c r="AC93" i="1"/>
  <c r="AD93" i="1"/>
  <c r="AE93" i="1"/>
  <c r="AG93" i="1"/>
  <c r="AI93" i="1"/>
  <c r="AK93" i="1"/>
  <c r="AM93" i="1"/>
  <c r="AN93" i="1"/>
  <c r="C94" i="1"/>
  <c r="E94" i="1"/>
  <c r="H94" i="1"/>
  <c r="I94" i="1"/>
  <c r="J94" i="1"/>
  <c r="K94" i="1"/>
  <c r="L94" i="1"/>
  <c r="M94" i="1"/>
  <c r="S94" i="1"/>
  <c r="T94" i="1"/>
  <c r="U94" i="1"/>
  <c r="X94" i="1"/>
  <c r="Y94" i="1"/>
  <c r="Z94" i="1"/>
  <c r="AA94" i="1"/>
  <c r="AB94" i="1"/>
  <c r="AC94" i="1"/>
  <c r="AD94" i="1"/>
  <c r="AE94" i="1"/>
  <c r="AG94" i="1"/>
  <c r="AI94" i="1"/>
  <c r="AK94" i="1"/>
  <c r="AM94" i="1"/>
  <c r="AN94" i="1"/>
  <c r="C95" i="1"/>
  <c r="E95" i="1"/>
  <c r="H95" i="1"/>
  <c r="I95" i="1"/>
  <c r="J95" i="1"/>
  <c r="K95" i="1"/>
  <c r="L95" i="1"/>
  <c r="M95" i="1"/>
  <c r="S95" i="1"/>
  <c r="T95" i="1"/>
  <c r="U95" i="1"/>
  <c r="X95" i="1"/>
  <c r="Y95" i="1"/>
  <c r="Z95" i="1"/>
  <c r="AA95" i="1"/>
  <c r="AB95" i="1"/>
  <c r="AC95" i="1"/>
  <c r="AD95" i="1"/>
  <c r="AE95" i="1"/>
  <c r="AG95" i="1"/>
  <c r="AI95" i="1"/>
  <c r="AK95" i="1"/>
  <c r="AM95" i="1"/>
  <c r="AN95" i="1"/>
  <c r="C96" i="1"/>
  <c r="E96" i="1"/>
  <c r="H96" i="1"/>
  <c r="I96" i="1"/>
  <c r="J96" i="1"/>
  <c r="K96" i="1"/>
  <c r="L96" i="1"/>
  <c r="M96" i="1"/>
  <c r="S96" i="1"/>
  <c r="T96" i="1"/>
  <c r="U96" i="1"/>
  <c r="X96" i="1"/>
  <c r="Y96" i="1"/>
  <c r="Z96" i="1"/>
  <c r="AA96" i="1"/>
  <c r="AB96" i="1"/>
  <c r="AC96" i="1"/>
  <c r="AD96" i="1"/>
  <c r="AE96" i="1"/>
  <c r="AG96" i="1"/>
  <c r="AI96" i="1"/>
  <c r="AK96" i="1"/>
  <c r="AM96" i="1"/>
  <c r="AN96" i="1"/>
  <c r="C97" i="1"/>
  <c r="E97" i="1"/>
  <c r="H97" i="1"/>
  <c r="I97" i="1"/>
  <c r="J97" i="1"/>
  <c r="K97" i="1"/>
  <c r="L97" i="1"/>
  <c r="M97" i="1"/>
  <c r="S97" i="1"/>
  <c r="T97" i="1"/>
  <c r="U97" i="1"/>
  <c r="X97" i="1"/>
  <c r="Y97" i="1"/>
  <c r="Z97" i="1"/>
  <c r="AA97" i="1"/>
  <c r="AB97" i="1"/>
  <c r="AC97" i="1"/>
  <c r="AD97" i="1"/>
  <c r="AE97" i="1"/>
  <c r="AG97" i="1"/>
  <c r="AI97" i="1"/>
  <c r="AK97" i="1"/>
  <c r="AM97" i="1"/>
  <c r="AN97" i="1"/>
  <c r="C98" i="1"/>
  <c r="E98" i="1"/>
  <c r="H98" i="1"/>
  <c r="I98" i="1"/>
  <c r="J98" i="1"/>
  <c r="K98" i="1"/>
  <c r="L98" i="1"/>
  <c r="M98" i="1"/>
  <c r="S98" i="1"/>
  <c r="T98" i="1"/>
  <c r="U98" i="1"/>
  <c r="X98" i="1"/>
  <c r="Y98" i="1"/>
  <c r="Z98" i="1"/>
  <c r="AA98" i="1"/>
  <c r="AB98" i="1"/>
  <c r="AC98" i="1"/>
  <c r="AD98" i="1"/>
  <c r="AE98" i="1"/>
  <c r="AG98" i="1"/>
  <c r="AI98" i="1"/>
  <c r="AK98" i="1"/>
  <c r="AM98" i="1"/>
  <c r="AN98" i="1"/>
  <c r="C99" i="1"/>
  <c r="E99" i="1"/>
  <c r="H99" i="1"/>
  <c r="I99" i="1"/>
  <c r="J99" i="1"/>
  <c r="K99" i="1"/>
  <c r="L99" i="1"/>
  <c r="M99" i="1"/>
  <c r="S99" i="1"/>
  <c r="T99" i="1"/>
  <c r="U99" i="1"/>
  <c r="X99" i="1"/>
  <c r="Y99" i="1"/>
  <c r="Z99" i="1"/>
  <c r="AA99" i="1"/>
  <c r="AB99" i="1"/>
  <c r="AC99" i="1"/>
  <c r="AD99" i="1"/>
  <c r="AE99" i="1"/>
  <c r="AG99" i="1"/>
  <c r="AI99" i="1"/>
  <c r="AK99" i="1"/>
  <c r="AM99" i="1"/>
  <c r="AN99" i="1"/>
  <c r="C100" i="1"/>
  <c r="E100" i="1"/>
  <c r="H100" i="1"/>
  <c r="I100" i="1"/>
  <c r="J100" i="1"/>
  <c r="K100" i="1"/>
  <c r="L100" i="1"/>
  <c r="M100" i="1"/>
  <c r="S100" i="1"/>
  <c r="T100" i="1"/>
  <c r="U100" i="1"/>
  <c r="X100" i="1"/>
  <c r="Y100" i="1"/>
  <c r="Z100" i="1"/>
  <c r="AA100" i="1"/>
  <c r="AB100" i="1"/>
  <c r="AC100" i="1"/>
  <c r="AD100" i="1"/>
  <c r="AE100" i="1"/>
  <c r="AG100" i="1"/>
  <c r="AI100" i="1"/>
  <c r="AK100" i="1"/>
  <c r="AM100" i="1"/>
  <c r="AN100" i="1"/>
  <c r="C101" i="1"/>
  <c r="E101" i="1"/>
  <c r="H101" i="1"/>
  <c r="I101" i="1"/>
  <c r="J101" i="1"/>
  <c r="K101" i="1"/>
  <c r="L101" i="1"/>
  <c r="M101" i="1"/>
  <c r="S101" i="1"/>
  <c r="T101" i="1"/>
  <c r="U101" i="1"/>
  <c r="X101" i="1"/>
  <c r="Y101" i="1"/>
  <c r="Z101" i="1"/>
  <c r="AA101" i="1"/>
  <c r="AB101" i="1"/>
  <c r="AC101" i="1"/>
  <c r="AD101" i="1"/>
  <c r="AE101" i="1"/>
  <c r="AG101" i="1"/>
  <c r="AI101" i="1"/>
  <c r="AK101" i="1"/>
  <c r="AM101" i="1"/>
  <c r="AN101" i="1"/>
  <c r="C102" i="1"/>
  <c r="E102" i="1"/>
  <c r="H102" i="1"/>
  <c r="I102" i="1"/>
  <c r="J102" i="1"/>
  <c r="K102" i="1"/>
  <c r="L102" i="1"/>
  <c r="M102" i="1"/>
  <c r="S102" i="1"/>
  <c r="T102" i="1"/>
  <c r="U102" i="1"/>
  <c r="X102" i="1"/>
  <c r="Y102" i="1"/>
  <c r="Z102" i="1"/>
  <c r="AA102" i="1"/>
  <c r="AB102" i="1"/>
  <c r="AC102" i="1"/>
  <c r="AD102" i="1"/>
  <c r="AE102" i="1"/>
  <c r="AG102" i="1"/>
  <c r="AI102" i="1"/>
  <c r="AK102" i="1"/>
  <c r="AM102" i="1"/>
  <c r="AN102" i="1"/>
  <c r="C103" i="1"/>
  <c r="E103" i="1"/>
  <c r="H103" i="1"/>
  <c r="I103" i="1"/>
  <c r="J103" i="1"/>
  <c r="K103" i="1"/>
  <c r="L103" i="1"/>
  <c r="M103" i="1"/>
  <c r="S103" i="1"/>
  <c r="T103" i="1"/>
  <c r="U103" i="1"/>
  <c r="X103" i="1"/>
  <c r="Y103" i="1"/>
  <c r="Z103" i="1"/>
  <c r="AA103" i="1"/>
  <c r="AB103" i="1"/>
  <c r="AC103" i="1"/>
  <c r="AD103" i="1"/>
  <c r="AE103" i="1"/>
  <c r="AG103" i="1"/>
  <c r="AI103" i="1"/>
  <c r="AK103" i="1"/>
  <c r="AM103" i="1"/>
  <c r="AN103" i="1"/>
  <c r="C104" i="1"/>
  <c r="E104" i="1"/>
  <c r="H104" i="1"/>
  <c r="I104" i="1"/>
  <c r="J104" i="1"/>
  <c r="K104" i="1"/>
  <c r="L104" i="1"/>
  <c r="M104" i="1"/>
  <c r="S104" i="1"/>
  <c r="T104" i="1"/>
  <c r="U104" i="1"/>
  <c r="X104" i="1"/>
  <c r="Y104" i="1"/>
  <c r="Z104" i="1"/>
  <c r="AA104" i="1"/>
  <c r="AB104" i="1"/>
  <c r="AC104" i="1"/>
  <c r="AD104" i="1"/>
  <c r="AE104" i="1"/>
  <c r="AG104" i="1"/>
  <c r="AI104" i="1"/>
  <c r="AK104" i="1"/>
  <c r="AM104" i="1"/>
  <c r="AN104" i="1"/>
  <c r="C105" i="1"/>
  <c r="E105" i="1"/>
  <c r="H105" i="1"/>
  <c r="I105" i="1"/>
  <c r="J105" i="1"/>
  <c r="K105" i="1"/>
  <c r="L105" i="1"/>
  <c r="M105" i="1"/>
  <c r="S105" i="1"/>
  <c r="T105" i="1"/>
  <c r="U105" i="1"/>
  <c r="X105" i="1"/>
  <c r="Y105" i="1"/>
  <c r="Z105" i="1"/>
  <c r="AA105" i="1"/>
  <c r="AB105" i="1"/>
  <c r="AC105" i="1"/>
  <c r="AD105" i="1"/>
  <c r="AE105" i="1"/>
  <c r="AG105" i="1"/>
  <c r="AI105" i="1"/>
  <c r="AK105" i="1"/>
  <c r="AM105" i="1"/>
  <c r="AN105" i="1"/>
  <c r="C106" i="1"/>
  <c r="E106" i="1"/>
  <c r="H106" i="1"/>
  <c r="I106" i="1"/>
  <c r="J106" i="1"/>
  <c r="K106" i="1"/>
  <c r="L106" i="1"/>
  <c r="M106" i="1"/>
  <c r="S106" i="1"/>
  <c r="T106" i="1"/>
  <c r="U106" i="1"/>
  <c r="X106" i="1"/>
  <c r="Y106" i="1"/>
  <c r="Z106" i="1"/>
  <c r="AA106" i="1"/>
  <c r="AB106" i="1"/>
  <c r="AC106" i="1"/>
  <c r="AD106" i="1"/>
  <c r="AE106" i="1"/>
  <c r="AG106" i="1"/>
  <c r="AI106" i="1"/>
  <c r="AK106" i="1"/>
  <c r="AM106" i="1"/>
  <c r="AN106" i="1"/>
  <c r="C107" i="1"/>
  <c r="E107" i="1"/>
  <c r="H107" i="1"/>
  <c r="I107" i="1"/>
  <c r="J107" i="1"/>
  <c r="K107" i="1"/>
  <c r="L107" i="1"/>
  <c r="M107" i="1"/>
  <c r="S107" i="1"/>
  <c r="T107" i="1"/>
  <c r="U107" i="1"/>
  <c r="X107" i="1"/>
  <c r="Y107" i="1"/>
  <c r="Z107" i="1"/>
  <c r="AA107" i="1"/>
  <c r="AB107" i="1"/>
  <c r="AC107" i="1"/>
  <c r="AD107" i="1"/>
  <c r="AE107" i="1"/>
  <c r="AG107" i="1"/>
  <c r="AI107" i="1"/>
  <c r="AK107" i="1"/>
  <c r="AM107" i="1"/>
  <c r="AN107" i="1"/>
  <c r="C108" i="1"/>
  <c r="E108" i="1"/>
  <c r="H108" i="1"/>
  <c r="I108" i="1"/>
  <c r="J108" i="1"/>
  <c r="K108" i="1"/>
  <c r="L108" i="1"/>
  <c r="M108" i="1"/>
  <c r="S108" i="1"/>
  <c r="T108" i="1"/>
  <c r="U108" i="1"/>
  <c r="X108" i="1"/>
  <c r="Y108" i="1"/>
  <c r="Z108" i="1"/>
  <c r="AA108" i="1"/>
  <c r="AB108" i="1"/>
  <c r="AC108" i="1"/>
  <c r="AD108" i="1"/>
  <c r="AE108" i="1"/>
  <c r="AG108" i="1"/>
  <c r="AI108" i="1"/>
  <c r="AK108" i="1"/>
  <c r="AM108" i="1"/>
  <c r="AN108" i="1"/>
  <c r="C109" i="1"/>
  <c r="E109" i="1"/>
  <c r="H109" i="1"/>
  <c r="I109" i="1"/>
  <c r="J109" i="1"/>
  <c r="K109" i="1"/>
  <c r="L109" i="1"/>
  <c r="M109" i="1"/>
  <c r="S109" i="1"/>
  <c r="T109" i="1"/>
  <c r="U109" i="1"/>
  <c r="X109" i="1"/>
  <c r="Y109" i="1"/>
  <c r="Z109" i="1"/>
  <c r="AA109" i="1"/>
  <c r="AB109" i="1"/>
  <c r="AC109" i="1"/>
  <c r="AD109" i="1"/>
  <c r="AE109" i="1"/>
  <c r="AG109" i="1"/>
  <c r="AI109" i="1"/>
  <c r="AK109" i="1"/>
  <c r="AM109" i="1"/>
  <c r="AN109" i="1"/>
  <c r="C110" i="1"/>
  <c r="E110" i="1"/>
  <c r="H110" i="1"/>
  <c r="I110" i="1"/>
  <c r="J110" i="1"/>
  <c r="K110" i="1"/>
  <c r="L110" i="1"/>
  <c r="M110" i="1"/>
  <c r="S110" i="1"/>
  <c r="T110" i="1"/>
  <c r="U110" i="1"/>
  <c r="X110" i="1"/>
  <c r="Y110" i="1"/>
  <c r="Z110" i="1"/>
  <c r="AA110" i="1"/>
  <c r="AB110" i="1"/>
  <c r="AC110" i="1"/>
  <c r="AD110" i="1"/>
  <c r="AE110" i="1"/>
  <c r="AG110" i="1"/>
  <c r="AI110" i="1"/>
  <c r="AK110" i="1"/>
  <c r="AM110" i="1"/>
  <c r="AN110" i="1"/>
  <c r="C111" i="1"/>
  <c r="E111" i="1"/>
  <c r="H111" i="1"/>
  <c r="I111" i="1"/>
  <c r="J111" i="1"/>
  <c r="K111" i="1"/>
  <c r="L111" i="1"/>
  <c r="M111" i="1"/>
  <c r="S111" i="1"/>
  <c r="T111" i="1"/>
  <c r="U111" i="1"/>
  <c r="X111" i="1"/>
  <c r="Y111" i="1"/>
  <c r="Z111" i="1"/>
  <c r="AA111" i="1"/>
  <c r="AB111" i="1"/>
  <c r="AC111" i="1"/>
  <c r="AD111" i="1"/>
  <c r="AE111" i="1"/>
  <c r="AG111" i="1"/>
  <c r="AI111" i="1"/>
  <c r="AK111" i="1"/>
  <c r="AM111" i="1"/>
  <c r="AN111" i="1"/>
  <c r="C112" i="1"/>
  <c r="E112" i="1"/>
  <c r="H112" i="1"/>
  <c r="I112" i="1"/>
  <c r="J112" i="1"/>
  <c r="K112" i="1"/>
  <c r="L112" i="1"/>
  <c r="M112" i="1"/>
  <c r="S112" i="1"/>
  <c r="T112" i="1"/>
  <c r="U112" i="1"/>
  <c r="X112" i="1"/>
  <c r="Y112" i="1"/>
  <c r="Z112" i="1"/>
  <c r="AA112" i="1"/>
  <c r="AB112" i="1"/>
  <c r="AC112" i="1"/>
  <c r="AD112" i="1"/>
  <c r="AE112" i="1"/>
  <c r="AG112" i="1"/>
  <c r="AI112" i="1"/>
  <c r="AK112" i="1"/>
  <c r="AM112" i="1"/>
  <c r="AN112" i="1"/>
  <c r="C113" i="1"/>
  <c r="E113" i="1"/>
  <c r="H113" i="1"/>
  <c r="I113" i="1"/>
  <c r="J113" i="1"/>
  <c r="K113" i="1"/>
  <c r="L113" i="1"/>
  <c r="M113" i="1"/>
  <c r="S113" i="1"/>
  <c r="T113" i="1"/>
  <c r="U113" i="1"/>
  <c r="X113" i="1"/>
  <c r="Y113" i="1"/>
  <c r="Z113" i="1"/>
  <c r="AA113" i="1"/>
  <c r="AB113" i="1"/>
  <c r="AC113" i="1"/>
  <c r="AD113" i="1"/>
  <c r="AE113" i="1"/>
  <c r="AG113" i="1"/>
  <c r="AI113" i="1"/>
  <c r="AK113" i="1"/>
  <c r="AM113" i="1"/>
  <c r="AN113" i="1"/>
  <c r="C114" i="1"/>
  <c r="E114" i="1"/>
  <c r="H114" i="1"/>
  <c r="I114" i="1"/>
  <c r="J114" i="1"/>
  <c r="K114" i="1"/>
  <c r="L114" i="1"/>
  <c r="M114" i="1"/>
  <c r="S114" i="1"/>
  <c r="T114" i="1"/>
  <c r="U114" i="1"/>
  <c r="X114" i="1"/>
  <c r="Y114" i="1"/>
  <c r="Z114" i="1"/>
  <c r="AA114" i="1"/>
  <c r="AB114" i="1"/>
  <c r="AC114" i="1"/>
  <c r="AD114" i="1"/>
  <c r="AE114" i="1"/>
  <c r="AG114" i="1"/>
  <c r="AI114" i="1"/>
  <c r="AK114" i="1"/>
  <c r="AM114" i="1"/>
  <c r="AN114" i="1"/>
  <c r="C115" i="1"/>
  <c r="E115" i="1"/>
  <c r="H115" i="1"/>
  <c r="I115" i="1"/>
  <c r="J115" i="1"/>
  <c r="K115" i="1"/>
  <c r="L115" i="1"/>
  <c r="M115" i="1"/>
  <c r="S115" i="1"/>
  <c r="T115" i="1"/>
  <c r="U115" i="1"/>
  <c r="X115" i="1"/>
  <c r="Y115" i="1"/>
  <c r="Z115" i="1"/>
  <c r="AA115" i="1"/>
  <c r="AB115" i="1"/>
  <c r="AC115" i="1"/>
  <c r="AD115" i="1"/>
  <c r="AE115" i="1"/>
  <c r="AG115" i="1"/>
  <c r="AI115" i="1"/>
  <c r="AK115" i="1"/>
  <c r="AM115" i="1"/>
  <c r="AN115" i="1"/>
  <c r="C116" i="1"/>
  <c r="E116" i="1"/>
  <c r="H116" i="1"/>
  <c r="I116" i="1"/>
  <c r="J116" i="1"/>
  <c r="K116" i="1"/>
  <c r="L116" i="1"/>
  <c r="M116" i="1"/>
  <c r="S116" i="1"/>
  <c r="T116" i="1"/>
  <c r="U116" i="1"/>
  <c r="X116" i="1"/>
  <c r="Y116" i="1"/>
  <c r="Z116" i="1"/>
  <c r="AA116" i="1"/>
  <c r="AB116" i="1"/>
  <c r="AC116" i="1"/>
  <c r="AD116" i="1"/>
  <c r="AE116" i="1"/>
  <c r="AG116" i="1"/>
  <c r="AI116" i="1"/>
  <c r="AK116" i="1"/>
  <c r="AM116" i="1"/>
  <c r="AN116" i="1"/>
  <c r="C117" i="1"/>
  <c r="E117" i="1"/>
  <c r="H117" i="1"/>
  <c r="I117" i="1"/>
  <c r="J117" i="1"/>
  <c r="K117" i="1"/>
  <c r="L117" i="1"/>
  <c r="M117" i="1"/>
  <c r="S117" i="1"/>
  <c r="T117" i="1"/>
  <c r="U117" i="1"/>
  <c r="X117" i="1"/>
  <c r="Y117" i="1"/>
  <c r="Z117" i="1"/>
  <c r="AA117" i="1"/>
  <c r="AB117" i="1"/>
  <c r="AC117" i="1"/>
  <c r="AD117" i="1"/>
  <c r="AE117" i="1"/>
  <c r="AG117" i="1"/>
  <c r="AI117" i="1"/>
  <c r="AK117" i="1"/>
  <c r="AM117" i="1"/>
  <c r="AN117" i="1"/>
  <c r="C118" i="1"/>
  <c r="E118" i="1"/>
  <c r="H118" i="1"/>
  <c r="I118" i="1"/>
  <c r="J118" i="1"/>
  <c r="K118" i="1"/>
  <c r="L118" i="1"/>
  <c r="M118" i="1"/>
  <c r="S118" i="1"/>
  <c r="T118" i="1"/>
  <c r="U118" i="1"/>
  <c r="X118" i="1"/>
  <c r="Y118" i="1"/>
  <c r="Z118" i="1"/>
  <c r="AA118" i="1"/>
  <c r="AB118" i="1"/>
  <c r="AC118" i="1"/>
  <c r="AD118" i="1"/>
  <c r="AE118" i="1"/>
  <c r="AG118" i="1"/>
  <c r="AI118" i="1"/>
  <c r="AK118" i="1"/>
  <c r="AM118" i="1"/>
  <c r="AN118" i="1"/>
  <c r="C119" i="1"/>
  <c r="E119" i="1"/>
  <c r="H119" i="1"/>
  <c r="I119" i="1"/>
  <c r="J119" i="1"/>
  <c r="K119" i="1"/>
  <c r="L119" i="1"/>
  <c r="M119" i="1"/>
  <c r="S119" i="1"/>
  <c r="T119" i="1"/>
  <c r="U119" i="1"/>
  <c r="X119" i="1"/>
  <c r="Y119" i="1"/>
  <c r="Z119" i="1"/>
  <c r="AA119" i="1"/>
  <c r="AB119" i="1"/>
  <c r="AC119" i="1"/>
  <c r="AD119" i="1"/>
  <c r="AE119" i="1"/>
  <c r="AG119" i="1"/>
  <c r="AI119" i="1"/>
  <c r="AK119" i="1"/>
  <c r="AM119" i="1"/>
  <c r="AN119" i="1"/>
  <c r="C120" i="1"/>
  <c r="E120" i="1"/>
  <c r="H120" i="1"/>
  <c r="I120" i="1"/>
  <c r="J120" i="1"/>
  <c r="K120" i="1"/>
  <c r="L120" i="1"/>
  <c r="M120" i="1"/>
  <c r="S120" i="1"/>
  <c r="T120" i="1"/>
  <c r="U120" i="1"/>
  <c r="X120" i="1"/>
  <c r="Y120" i="1"/>
  <c r="Z120" i="1"/>
  <c r="AA120" i="1"/>
  <c r="AB120" i="1"/>
  <c r="AC120" i="1"/>
  <c r="AD120" i="1"/>
  <c r="AE120" i="1"/>
  <c r="AG120" i="1"/>
  <c r="AI120" i="1"/>
  <c r="AK120" i="1"/>
  <c r="AM120" i="1"/>
  <c r="AN120" i="1"/>
  <c r="C121" i="1"/>
  <c r="E121" i="1"/>
  <c r="H121" i="1"/>
  <c r="I121" i="1"/>
  <c r="J121" i="1"/>
  <c r="K121" i="1"/>
  <c r="L121" i="1"/>
  <c r="M121" i="1"/>
  <c r="S121" i="1"/>
  <c r="T121" i="1"/>
  <c r="U121" i="1"/>
  <c r="X121" i="1"/>
  <c r="Y121" i="1"/>
  <c r="Z121" i="1"/>
  <c r="AA121" i="1"/>
  <c r="AB121" i="1"/>
  <c r="AC121" i="1"/>
  <c r="AD121" i="1"/>
  <c r="AE121" i="1"/>
  <c r="AG121" i="1"/>
  <c r="AI121" i="1"/>
  <c r="AK121" i="1"/>
  <c r="AM121" i="1"/>
  <c r="AN121" i="1"/>
  <c r="C122" i="1"/>
  <c r="E122" i="1"/>
  <c r="H122" i="1"/>
  <c r="I122" i="1"/>
  <c r="J122" i="1"/>
  <c r="K122" i="1"/>
  <c r="L122" i="1"/>
  <c r="M122" i="1"/>
  <c r="S122" i="1"/>
  <c r="T122" i="1"/>
  <c r="U122" i="1"/>
  <c r="X122" i="1"/>
  <c r="Y122" i="1"/>
  <c r="Z122" i="1"/>
  <c r="AA122" i="1"/>
  <c r="AB122" i="1"/>
  <c r="AC122" i="1"/>
  <c r="AD122" i="1"/>
  <c r="AE122" i="1"/>
  <c r="AG122" i="1"/>
  <c r="AI122" i="1"/>
  <c r="AK122" i="1"/>
  <c r="AM122" i="1"/>
  <c r="AN122" i="1"/>
  <c r="C123" i="1"/>
  <c r="E123" i="1"/>
  <c r="H123" i="1"/>
  <c r="I123" i="1"/>
  <c r="J123" i="1"/>
  <c r="K123" i="1"/>
  <c r="L123" i="1"/>
  <c r="M123" i="1"/>
  <c r="S123" i="1"/>
  <c r="T123" i="1"/>
  <c r="U123" i="1"/>
  <c r="X123" i="1"/>
  <c r="Y123" i="1"/>
  <c r="Z123" i="1"/>
  <c r="AA123" i="1"/>
  <c r="AB123" i="1"/>
  <c r="AC123" i="1"/>
  <c r="AD123" i="1"/>
  <c r="AE123" i="1"/>
  <c r="AG123" i="1"/>
  <c r="AI123" i="1"/>
  <c r="AK123" i="1"/>
  <c r="AM123" i="1"/>
  <c r="AN123" i="1"/>
  <c r="C124" i="1"/>
  <c r="E124" i="1"/>
  <c r="H124" i="1"/>
  <c r="I124" i="1"/>
  <c r="J124" i="1"/>
  <c r="K124" i="1"/>
  <c r="L124" i="1"/>
  <c r="M124" i="1"/>
  <c r="S124" i="1"/>
  <c r="T124" i="1"/>
  <c r="U124" i="1"/>
  <c r="X124" i="1"/>
  <c r="Y124" i="1"/>
  <c r="Z124" i="1"/>
  <c r="AA124" i="1"/>
  <c r="AB124" i="1"/>
  <c r="AC124" i="1"/>
  <c r="AD124" i="1"/>
  <c r="AE124" i="1"/>
  <c r="AG124" i="1"/>
  <c r="AI124" i="1"/>
  <c r="AK124" i="1"/>
  <c r="AM124" i="1"/>
  <c r="AN124" i="1"/>
  <c r="C125" i="1"/>
  <c r="E125" i="1"/>
  <c r="H125" i="1"/>
  <c r="I125" i="1"/>
  <c r="J125" i="1"/>
  <c r="K125" i="1"/>
  <c r="L125" i="1"/>
  <c r="M125" i="1"/>
  <c r="S125" i="1"/>
  <c r="T125" i="1"/>
  <c r="U125" i="1"/>
  <c r="X125" i="1"/>
  <c r="Y125" i="1"/>
  <c r="Z125" i="1"/>
  <c r="AA125" i="1"/>
  <c r="AB125" i="1"/>
  <c r="AC125" i="1"/>
  <c r="AD125" i="1"/>
  <c r="AE125" i="1"/>
  <c r="AG125" i="1"/>
  <c r="AI125" i="1"/>
  <c r="AK125" i="1"/>
  <c r="AM125" i="1"/>
  <c r="AN125" i="1"/>
  <c r="C126" i="1"/>
  <c r="E126" i="1"/>
  <c r="H126" i="1"/>
  <c r="I126" i="1"/>
  <c r="J126" i="1"/>
  <c r="K126" i="1"/>
  <c r="L126" i="1"/>
  <c r="M126" i="1"/>
  <c r="S126" i="1"/>
  <c r="T126" i="1"/>
  <c r="U126" i="1"/>
  <c r="X126" i="1"/>
  <c r="Y126" i="1"/>
  <c r="Z126" i="1"/>
  <c r="AA126" i="1"/>
  <c r="AB126" i="1"/>
  <c r="AC126" i="1"/>
  <c r="AD126" i="1"/>
  <c r="AE126" i="1"/>
  <c r="AG126" i="1"/>
  <c r="AI126" i="1"/>
  <c r="AK126" i="1"/>
  <c r="AM126" i="1"/>
  <c r="AN126" i="1"/>
  <c r="C127" i="1"/>
  <c r="E127" i="1"/>
  <c r="H127" i="1"/>
  <c r="I127" i="1"/>
  <c r="J127" i="1"/>
  <c r="K127" i="1"/>
  <c r="L127" i="1"/>
  <c r="M127" i="1"/>
  <c r="S127" i="1"/>
  <c r="T127" i="1"/>
  <c r="U127" i="1"/>
  <c r="X127" i="1"/>
  <c r="Y127" i="1"/>
  <c r="Z127" i="1"/>
  <c r="AA127" i="1"/>
  <c r="AB127" i="1"/>
  <c r="AC127" i="1"/>
  <c r="AD127" i="1"/>
  <c r="AE127" i="1"/>
  <c r="AG127" i="1"/>
  <c r="AI127" i="1"/>
  <c r="AK127" i="1"/>
  <c r="AM127" i="1"/>
  <c r="AN127" i="1"/>
  <c r="C128" i="1"/>
  <c r="E128" i="1"/>
  <c r="H128" i="1"/>
  <c r="I128" i="1"/>
  <c r="J128" i="1"/>
  <c r="K128" i="1"/>
  <c r="L128" i="1"/>
  <c r="M128" i="1"/>
  <c r="S128" i="1"/>
  <c r="T128" i="1"/>
  <c r="U128" i="1"/>
  <c r="X128" i="1"/>
  <c r="Y128" i="1"/>
  <c r="Z128" i="1"/>
  <c r="AA128" i="1"/>
  <c r="AB128" i="1"/>
  <c r="AC128" i="1"/>
  <c r="AD128" i="1"/>
  <c r="AE128" i="1"/>
  <c r="AG128" i="1"/>
  <c r="AI128" i="1"/>
  <c r="AK128" i="1"/>
  <c r="AM128" i="1"/>
  <c r="AN128" i="1"/>
  <c r="C129" i="1"/>
  <c r="E129" i="1"/>
  <c r="H129" i="1"/>
  <c r="I129" i="1"/>
  <c r="J129" i="1"/>
  <c r="K129" i="1"/>
  <c r="L129" i="1"/>
  <c r="M129" i="1"/>
  <c r="S129" i="1"/>
  <c r="T129" i="1"/>
  <c r="U129" i="1"/>
  <c r="X129" i="1"/>
  <c r="Y129" i="1"/>
  <c r="Z129" i="1"/>
  <c r="AA129" i="1"/>
  <c r="AB129" i="1"/>
  <c r="AC129" i="1"/>
  <c r="AD129" i="1"/>
  <c r="AE129" i="1"/>
  <c r="AG129" i="1"/>
  <c r="AI129" i="1"/>
  <c r="AK129" i="1"/>
  <c r="AM129" i="1"/>
  <c r="AN129" i="1"/>
  <c r="C130" i="1"/>
  <c r="E130" i="1"/>
  <c r="H130" i="1"/>
  <c r="I130" i="1"/>
  <c r="J130" i="1"/>
  <c r="K130" i="1"/>
  <c r="L130" i="1"/>
  <c r="M130" i="1"/>
  <c r="S130" i="1"/>
  <c r="T130" i="1"/>
  <c r="U130" i="1"/>
  <c r="X130" i="1"/>
  <c r="Y130" i="1"/>
  <c r="Z130" i="1"/>
  <c r="AA130" i="1"/>
  <c r="AB130" i="1"/>
  <c r="AC130" i="1"/>
  <c r="AD130" i="1"/>
  <c r="AE130" i="1"/>
  <c r="AG130" i="1"/>
  <c r="AI130" i="1"/>
  <c r="AK130" i="1"/>
  <c r="AM130" i="1"/>
  <c r="AN130" i="1"/>
  <c r="C131" i="1"/>
  <c r="E131" i="1"/>
  <c r="H131" i="1"/>
  <c r="I131" i="1"/>
  <c r="J131" i="1"/>
  <c r="K131" i="1"/>
  <c r="L131" i="1"/>
  <c r="M131" i="1"/>
  <c r="S131" i="1"/>
  <c r="T131" i="1"/>
  <c r="U131" i="1"/>
  <c r="X131" i="1"/>
  <c r="Y131" i="1"/>
  <c r="Z131" i="1"/>
  <c r="AA131" i="1"/>
  <c r="AB131" i="1"/>
  <c r="AC131" i="1"/>
  <c r="AD131" i="1"/>
  <c r="AE131" i="1"/>
  <c r="AG131" i="1"/>
  <c r="AI131" i="1"/>
  <c r="AK131" i="1"/>
  <c r="AM131" i="1"/>
  <c r="AN131" i="1"/>
  <c r="C132" i="1"/>
  <c r="E132" i="1"/>
  <c r="H132" i="1"/>
  <c r="I132" i="1"/>
  <c r="J132" i="1"/>
  <c r="K132" i="1"/>
  <c r="L132" i="1"/>
  <c r="M132" i="1"/>
  <c r="S132" i="1"/>
  <c r="T132" i="1"/>
  <c r="U132" i="1"/>
  <c r="X132" i="1"/>
  <c r="Y132" i="1"/>
  <c r="Z132" i="1"/>
  <c r="AA132" i="1"/>
  <c r="AB132" i="1"/>
  <c r="AC132" i="1"/>
  <c r="AD132" i="1"/>
  <c r="AE132" i="1"/>
  <c r="AG132" i="1"/>
  <c r="AI132" i="1"/>
  <c r="AK132" i="1"/>
  <c r="AM132" i="1"/>
  <c r="AN132" i="1"/>
  <c r="C133" i="1"/>
  <c r="E133" i="1"/>
  <c r="H133" i="1"/>
  <c r="I133" i="1"/>
  <c r="J133" i="1"/>
  <c r="K133" i="1"/>
  <c r="L133" i="1"/>
  <c r="M133" i="1"/>
  <c r="S133" i="1"/>
  <c r="T133" i="1"/>
  <c r="U133" i="1"/>
  <c r="X133" i="1"/>
  <c r="Y133" i="1"/>
  <c r="Z133" i="1"/>
  <c r="AA133" i="1"/>
  <c r="AB133" i="1"/>
  <c r="AC133" i="1"/>
  <c r="AD133" i="1"/>
  <c r="AE133" i="1"/>
  <c r="AG133" i="1"/>
  <c r="AI133" i="1"/>
  <c r="AK133" i="1"/>
  <c r="AM133" i="1"/>
  <c r="AN133" i="1"/>
  <c r="C134" i="1"/>
  <c r="E134" i="1"/>
  <c r="H134" i="1"/>
  <c r="I134" i="1"/>
  <c r="J134" i="1"/>
  <c r="K134" i="1"/>
  <c r="L134" i="1"/>
  <c r="M134" i="1"/>
  <c r="S134" i="1"/>
  <c r="T134" i="1"/>
  <c r="U134" i="1"/>
  <c r="X134" i="1"/>
  <c r="Y134" i="1"/>
  <c r="Z134" i="1"/>
  <c r="AA134" i="1"/>
  <c r="AB134" i="1"/>
  <c r="AC134" i="1"/>
  <c r="AD134" i="1"/>
  <c r="AE134" i="1"/>
  <c r="AG134" i="1"/>
  <c r="AI134" i="1"/>
  <c r="AK134" i="1"/>
  <c r="AM134" i="1"/>
  <c r="AN134" i="1"/>
  <c r="C135" i="1"/>
  <c r="E135" i="1"/>
  <c r="H135" i="1"/>
  <c r="I135" i="1"/>
  <c r="J135" i="1"/>
  <c r="K135" i="1"/>
  <c r="L135" i="1"/>
  <c r="M135" i="1"/>
  <c r="S135" i="1"/>
  <c r="T135" i="1"/>
  <c r="U135" i="1"/>
  <c r="X135" i="1"/>
  <c r="Y135" i="1"/>
  <c r="Z135" i="1"/>
  <c r="AA135" i="1"/>
  <c r="AB135" i="1"/>
  <c r="AC135" i="1"/>
  <c r="AD135" i="1"/>
  <c r="AE135" i="1"/>
  <c r="AG135" i="1"/>
  <c r="AI135" i="1"/>
  <c r="AK135" i="1"/>
  <c r="AM135" i="1"/>
  <c r="AN135" i="1"/>
  <c r="C136" i="1"/>
  <c r="E136" i="1"/>
  <c r="H136" i="1"/>
  <c r="I136" i="1"/>
  <c r="J136" i="1"/>
  <c r="K136" i="1"/>
  <c r="L136" i="1"/>
  <c r="M136" i="1"/>
  <c r="S136" i="1"/>
  <c r="T136" i="1"/>
  <c r="U136" i="1"/>
  <c r="X136" i="1"/>
  <c r="Y136" i="1"/>
  <c r="Z136" i="1"/>
  <c r="AA136" i="1"/>
  <c r="AB136" i="1"/>
  <c r="AC136" i="1"/>
  <c r="AD136" i="1"/>
  <c r="AE136" i="1"/>
  <c r="AG136" i="1"/>
  <c r="AI136" i="1"/>
  <c r="AK136" i="1"/>
  <c r="AM136" i="1"/>
  <c r="AN136" i="1"/>
  <c r="C137" i="1"/>
  <c r="E137" i="1"/>
  <c r="H137" i="1"/>
  <c r="I137" i="1"/>
  <c r="J137" i="1"/>
  <c r="K137" i="1"/>
  <c r="L137" i="1"/>
  <c r="M137" i="1"/>
  <c r="S137" i="1"/>
  <c r="T137" i="1"/>
  <c r="U137" i="1"/>
  <c r="X137" i="1"/>
  <c r="Y137" i="1"/>
  <c r="Z137" i="1"/>
  <c r="AA137" i="1"/>
  <c r="AB137" i="1"/>
  <c r="AC137" i="1"/>
  <c r="AD137" i="1"/>
  <c r="AE137" i="1"/>
  <c r="AG137" i="1"/>
  <c r="AI137" i="1"/>
  <c r="AK137" i="1"/>
  <c r="AM137" i="1"/>
  <c r="AN137" i="1"/>
  <c r="C138" i="1"/>
  <c r="E138" i="1"/>
  <c r="H138" i="1"/>
  <c r="I138" i="1"/>
  <c r="J138" i="1"/>
  <c r="K138" i="1"/>
  <c r="L138" i="1"/>
  <c r="M138" i="1"/>
  <c r="S138" i="1"/>
  <c r="T138" i="1"/>
  <c r="U138" i="1"/>
  <c r="X138" i="1"/>
  <c r="Y138" i="1"/>
  <c r="Z138" i="1"/>
  <c r="AA138" i="1"/>
  <c r="AB138" i="1"/>
  <c r="AC138" i="1"/>
  <c r="AD138" i="1"/>
  <c r="AE138" i="1"/>
  <c r="AG138" i="1"/>
  <c r="AI138" i="1"/>
  <c r="AK138" i="1"/>
  <c r="AM138" i="1"/>
  <c r="AN138" i="1"/>
  <c r="C139" i="1"/>
  <c r="E139" i="1"/>
  <c r="H139" i="1"/>
  <c r="I139" i="1"/>
  <c r="J139" i="1"/>
  <c r="K139" i="1"/>
  <c r="L139" i="1"/>
  <c r="M139" i="1"/>
  <c r="S139" i="1"/>
  <c r="T139" i="1"/>
  <c r="U139" i="1"/>
  <c r="X139" i="1"/>
  <c r="Y139" i="1"/>
  <c r="Z139" i="1"/>
  <c r="AA139" i="1"/>
  <c r="AB139" i="1"/>
  <c r="AC139" i="1"/>
  <c r="AD139" i="1"/>
  <c r="AE139" i="1"/>
  <c r="AG139" i="1"/>
  <c r="AI139" i="1"/>
  <c r="AK139" i="1"/>
  <c r="AM139" i="1"/>
  <c r="AN139" i="1"/>
  <c r="C140" i="1"/>
  <c r="E140" i="1"/>
  <c r="H140" i="1"/>
  <c r="I140" i="1"/>
  <c r="J140" i="1"/>
  <c r="K140" i="1"/>
  <c r="L140" i="1"/>
  <c r="M140" i="1"/>
  <c r="S140" i="1"/>
  <c r="T140" i="1"/>
  <c r="U140" i="1"/>
  <c r="X140" i="1"/>
  <c r="Y140" i="1"/>
  <c r="Z140" i="1"/>
  <c r="AA140" i="1"/>
  <c r="AB140" i="1"/>
  <c r="AC140" i="1"/>
  <c r="AD140" i="1"/>
  <c r="AE140" i="1"/>
  <c r="AG140" i="1"/>
  <c r="AI140" i="1"/>
  <c r="AK140" i="1"/>
  <c r="AM140" i="1"/>
  <c r="AN140" i="1"/>
  <c r="C141" i="1"/>
  <c r="E141" i="1"/>
  <c r="H141" i="1"/>
  <c r="I141" i="1"/>
  <c r="J141" i="1"/>
  <c r="K141" i="1"/>
  <c r="L141" i="1"/>
  <c r="M141" i="1"/>
  <c r="S141" i="1"/>
  <c r="T141" i="1"/>
  <c r="U141" i="1"/>
  <c r="X141" i="1"/>
  <c r="Y141" i="1"/>
  <c r="Z141" i="1"/>
  <c r="AA141" i="1"/>
  <c r="AB141" i="1"/>
  <c r="AC141" i="1"/>
  <c r="AD141" i="1"/>
  <c r="AE141" i="1"/>
  <c r="AG141" i="1"/>
  <c r="AI141" i="1"/>
  <c r="AK141" i="1"/>
  <c r="AM141" i="1"/>
  <c r="AN141" i="1"/>
  <c r="C142" i="1"/>
  <c r="E142" i="1"/>
  <c r="H142" i="1"/>
  <c r="I142" i="1"/>
  <c r="J142" i="1"/>
  <c r="K142" i="1"/>
  <c r="L142" i="1"/>
  <c r="M142" i="1"/>
  <c r="S142" i="1"/>
  <c r="T142" i="1"/>
  <c r="U142" i="1"/>
  <c r="X142" i="1"/>
  <c r="Y142" i="1"/>
  <c r="Z142" i="1"/>
  <c r="AA142" i="1"/>
  <c r="AB142" i="1"/>
  <c r="AC142" i="1"/>
  <c r="AD142" i="1"/>
  <c r="AE142" i="1"/>
  <c r="AG142" i="1"/>
  <c r="AI142" i="1"/>
  <c r="AK142" i="1"/>
  <c r="AM142" i="1"/>
  <c r="AN142" i="1"/>
  <c r="C143" i="1"/>
  <c r="E143" i="1"/>
  <c r="H143" i="1"/>
  <c r="I143" i="1"/>
  <c r="J143" i="1"/>
  <c r="K143" i="1"/>
  <c r="L143" i="1"/>
  <c r="M143" i="1"/>
  <c r="S143" i="1"/>
  <c r="T143" i="1"/>
  <c r="U143" i="1"/>
  <c r="X143" i="1"/>
  <c r="Y143" i="1"/>
  <c r="Z143" i="1"/>
  <c r="AA143" i="1"/>
  <c r="AB143" i="1"/>
  <c r="AC143" i="1"/>
  <c r="AD143" i="1"/>
  <c r="AE143" i="1"/>
  <c r="AG143" i="1"/>
  <c r="AI143" i="1"/>
  <c r="AK143" i="1"/>
  <c r="AM143" i="1"/>
  <c r="AN143" i="1"/>
  <c r="C144" i="1"/>
  <c r="E144" i="1"/>
  <c r="H144" i="1"/>
  <c r="I144" i="1"/>
  <c r="J144" i="1"/>
  <c r="K144" i="1"/>
  <c r="L144" i="1"/>
  <c r="M144" i="1"/>
  <c r="S144" i="1"/>
  <c r="T144" i="1"/>
  <c r="U144" i="1"/>
  <c r="X144" i="1"/>
  <c r="Y144" i="1"/>
  <c r="Z144" i="1"/>
  <c r="AA144" i="1"/>
  <c r="AB144" i="1"/>
  <c r="AC144" i="1"/>
  <c r="AD144" i="1"/>
  <c r="AE144" i="1"/>
  <c r="AG144" i="1"/>
  <c r="AI144" i="1"/>
  <c r="AK144" i="1"/>
  <c r="AM144" i="1"/>
  <c r="AN144" i="1"/>
  <c r="C145" i="1"/>
  <c r="E145" i="1"/>
  <c r="H145" i="1"/>
  <c r="I145" i="1"/>
  <c r="J145" i="1"/>
  <c r="K145" i="1"/>
  <c r="L145" i="1"/>
  <c r="M145" i="1"/>
  <c r="S145" i="1"/>
  <c r="T145" i="1"/>
  <c r="U145" i="1"/>
  <c r="X145" i="1"/>
  <c r="Y145" i="1"/>
  <c r="Z145" i="1"/>
  <c r="AA145" i="1"/>
  <c r="AB145" i="1"/>
  <c r="AC145" i="1"/>
  <c r="AD145" i="1"/>
  <c r="AE145" i="1"/>
  <c r="AG145" i="1"/>
  <c r="AI145" i="1"/>
  <c r="AK145" i="1"/>
  <c r="AM145" i="1"/>
  <c r="AN145" i="1"/>
  <c r="C146" i="1"/>
  <c r="E146" i="1"/>
  <c r="H146" i="1"/>
  <c r="I146" i="1"/>
  <c r="J146" i="1"/>
  <c r="K146" i="1"/>
  <c r="L146" i="1"/>
  <c r="M146" i="1"/>
  <c r="S146" i="1"/>
  <c r="T146" i="1"/>
  <c r="U146" i="1"/>
  <c r="X146" i="1"/>
  <c r="Y146" i="1"/>
  <c r="Z146" i="1"/>
  <c r="AA146" i="1"/>
  <c r="AB146" i="1"/>
  <c r="AC146" i="1"/>
  <c r="AD146" i="1"/>
  <c r="AE146" i="1"/>
  <c r="AG146" i="1"/>
  <c r="AI146" i="1"/>
  <c r="AK146" i="1"/>
  <c r="AM146" i="1"/>
  <c r="AN146" i="1"/>
  <c r="C147" i="1"/>
  <c r="E147" i="1"/>
  <c r="H147" i="1"/>
  <c r="I147" i="1"/>
  <c r="J147" i="1"/>
  <c r="K147" i="1"/>
  <c r="L147" i="1"/>
  <c r="M147" i="1"/>
  <c r="S147" i="1"/>
  <c r="T147" i="1"/>
  <c r="U147" i="1"/>
  <c r="X147" i="1"/>
  <c r="Y147" i="1"/>
  <c r="Z147" i="1"/>
  <c r="AA147" i="1"/>
  <c r="AB147" i="1"/>
  <c r="AC147" i="1"/>
  <c r="AD147" i="1"/>
  <c r="AE147" i="1"/>
  <c r="AG147" i="1"/>
  <c r="AI147" i="1"/>
  <c r="AK147" i="1"/>
  <c r="AM147" i="1"/>
  <c r="AN147" i="1"/>
  <c r="C148" i="1"/>
  <c r="E148" i="1"/>
  <c r="H148" i="1"/>
  <c r="I148" i="1"/>
  <c r="J148" i="1"/>
  <c r="K148" i="1"/>
  <c r="L148" i="1"/>
  <c r="M148" i="1"/>
  <c r="S148" i="1"/>
  <c r="T148" i="1"/>
  <c r="U148" i="1"/>
  <c r="X148" i="1"/>
  <c r="Y148" i="1"/>
  <c r="Z148" i="1"/>
  <c r="AA148" i="1"/>
  <c r="AB148" i="1"/>
  <c r="AC148" i="1"/>
  <c r="AD148" i="1"/>
  <c r="AE148" i="1"/>
  <c r="AG148" i="1"/>
  <c r="AI148" i="1"/>
  <c r="AK148" i="1"/>
  <c r="AM148" i="1"/>
  <c r="AN148" i="1"/>
  <c r="C149" i="1"/>
  <c r="E149" i="1"/>
  <c r="H149" i="1"/>
  <c r="I149" i="1"/>
  <c r="J149" i="1"/>
  <c r="K149" i="1"/>
  <c r="L149" i="1"/>
  <c r="M149" i="1"/>
  <c r="S149" i="1"/>
  <c r="T149" i="1"/>
  <c r="U149" i="1"/>
  <c r="X149" i="1"/>
  <c r="Y149" i="1"/>
  <c r="Z149" i="1"/>
  <c r="AA149" i="1"/>
  <c r="AB149" i="1"/>
  <c r="AC149" i="1"/>
  <c r="AD149" i="1"/>
  <c r="AE149" i="1"/>
  <c r="AG149" i="1"/>
  <c r="AI149" i="1"/>
  <c r="AK149" i="1"/>
  <c r="AM149" i="1"/>
  <c r="AN149" i="1"/>
  <c r="C150" i="1"/>
  <c r="E150" i="1"/>
  <c r="H150" i="1"/>
  <c r="I150" i="1"/>
  <c r="J150" i="1"/>
  <c r="K150" i="1"/>
  <c r="L150" i="1"/>
  <c r="M150" i="1"/>
  <c r="S150" i="1"/>
  <c r="T150" i="1"/>
  <c r="U150" i="1"/>
  <c r="X150" i="1"/>
  <c r="Y150" i="1"/>
  <c r="Z150" i="1"/>
  <c r="AA150" i="1"/>
  <c r="AB150" i="1"/>
  <c r="AC150" i="1"/>
  <c r="AD150" i="1"/>
  <c r="AE150" i="1"/>
  <c r="AG150" i="1"/>
  <c r="AI150" i="1"/>
  <c r="AK150" i="1"/>
  <c r="AM150" i="1"/>
  <c r="AN150" i="1"/>
  <c r="C151" i="1"/>
  <c r="E151" i="1"/>
  <c r="H151" i="1"/>
  <c r="I151" i="1"/>
  <c r="J151" i="1"/>
  <c r="K151" i="1"/>
  <c r="L151" i="1"/>
  <c r="M151" i="1"/>
  <c r="S151" i="1"/>
  <c r="T151" i="1"/>
  <c r="U151" i="1"/>
  <c r="X151" i="1"/>
  <c r="Y151" i="1"/>
  <c r="Z151" i="1"/>
  <c r="AA151" i="1"/>
  <c r="AB151" i="1"/>
  <c r="AC151" i="1"/>
  <c r="AD151" i="1"/>
  <c r="AE151" i="1"/>
  <c r="AG151" i="1"/>
  <c r="AI151" i="1"/>
  <c r="AK151" i="1"/>
  <c r="AM151" i="1"/>
  <c r="AN151" i="1"/>
  <c r="C152" i="1"/>
  <c r="E152" i="1"/>
  <c r="H152" i="1"/>
  <c r="I152" i="1"/>
  <c r="J152" i="1"/>
  <c r="K152" i="1"/>
  <c r="L152" i="1"/>
  <c r="M152" i="1"/>
  <c r="S152" i="1"/>
  <c r="T152" i="1"/>
  <c r="U152" i="1"/>
  <c r="X152" i="1"/>
  <c r="Y152" i="1"/>
  <c r="Z152" i="1"/>
  <c r="AA152" i="1"/>
  <c r="AB152" i="1"/>
  <c r="AC152" i="1"/>
  <c r="AD152" i="1"/>
  <c r="AE152" i="1"/>
  <c r="AG152" i="1"/>
  <c r="AI152" i="1"/>
  <c r="AK152" i="1"/>
  <c r="AM152" i="1"/>
  <c r="AN152" i="1"/>
  <c r="C153" i="1"/>
  <c r="E153" i="1"/>
  <c r="H153" i="1"/>
  <c r="I153" i="1"/>
  <c r="J153" i="1"/>
  <c r="K153" i="1"/>
  <c r="L153" i="1"/>
  <c r="M153" i="1"/>
  <c r="S153" i="1"/>
  <c r="T153" i="1"/>
  <c r="U153" i="1"/>
  <c r="X153" i="1"/>
  <c r="Y153" i="1"/>
  <c r="Z153" i="1"/>
  <c r="AA153" i="1"/>
  <c r="AB153" i="1"/>
  <c r="AC153" i="1"/>
  <c r="AD153" i="1"/>
  <c r="AE153" i="1"/>
  <c r="AG153" i="1"/>
  <c r="AI153" i="1"/>
  <c r="AK153" i="1"/>
  <c r="AM153" i="1"/>
  <c r="AN153" i="1"/>
  <c r="C154" i="1"/>
  <c r="E154" i="1"/>
  <c r="H154" i="1"/>
  <c r="I154" i="1"/>
  <c r="J154" i="1"/>
  <c r="K154" i="1"/>
  <c r="L154" i="1"/>
  <c r="M154" i="1"/>
  <c r="S154" i="1"/>
  <c r="T154" i="1"/>
  <c r="U154" i="1"/>
  <c r="X154" i="1"/>
  <c r="Y154" i="1"/>
  <c r="Z154" i="1"/>
  <c r="AA154" i="1"/>
  <c r="AB154" i="1"/>
  <c r="AC154" i="1"/>
  <c r="AD154" i="1"/>
  <c r="AE154" i="1"/>
  <c r="AG154" i="1"/>
  <c r="AI154" i="1"/>
  <c r="AK154" i="1"/>
  <c r="AM154" i="1"/>
  <c r="AN154" i="1"/>
  <c r="C155" i="1"/>
  <c r="E155" i="1"/>
  <c r="H155" i="1"/>
  <c r="I155" i="1"/>
  <c r="J155" i="1"/>
  <c r="K155" i="1"/>
  <c r="L155" i="1"/>
  <c r="M155" i="1"/>
  <c r="S155" i="1"/>
  <c r="T155" i="1"/>
  <c r="U155" i="1"/>
  <c r="X155" i="1"/>
  <c r="Y155" i="1"/>
  <c r="Z155" i="1"/>
  <c r="AA155" i="1"/>
  <c r="AB155" i="1"/>
  <c r="AC155" i="1"/>
  <c r="AD155" i="1"/>
  <c r="AE155" i="1"/>
  <c r="AG155" i="1"/>
  <c r="AI155" i="1"/>
  <c r="AK155" i="1"/>
  <c r="AM155" i="1"/>
  <c r="AN155" i="1"/>
  <c r="C156" i="1"/>
  <c r="E156" i="1"/>
  <c r="H156" i="1"/>
  <c r="I156" i="1"/>
  <c r="J156" i="1"/>
  <c r="K156" i="1"/>
  <c r="L156" i="1"/>
  <c r="M156" i="1"/>
  <c r="S156" i="1"/>
  <c r="T156" i="1"/>
  <c r="U156" i="1"/>
  <c r="X156" i="1"/>
  <c r="Y156" i="1"/>
  <c r="Z156" i="1"/>
  <c r="AA156" i="1"/>
  <c r="AB156" i="1"/>
  <c r="AC156" i="1"/>
  <c r="AD156" i="1"/>
  <c r="AE156" i="1"/>
  <c r="AG156" i="1"/>
  <c r="AI156" i="1"/>
  <c r="AK156" i="1"/>
  <c r="AM156" i="1"/>
  <c r="AN156" i="1"/>
  <c r="C157" i="1"/>
  <c r="E157" i="1"/>
  <c r="H157" i="1"/>
  <c r="I157" i="1"/>
  <c r="J157" i="1"/>
  <c r="K157" i="1"/>
  <c r="L157" i="1"/>
  <c r="M157" i="1"/>
  <c r="S157" i="1"/>
  <c r="T157" i="1"/>
  <c r="U157" i="1"/>
  <c r="X157" i="1"/>
  <c r="Y157" i="1"/>
  <c r="Z157" i="1"/>
  <c r="AA157" i="1"/>
  <c r="AB157" i="1"/>
  <c r="AC157" i="1"/>
  <c r="AD157" i="1"/>
  <c r="AE157" i="1"/>
  <c r="AG157" i="1"/>
  <c r="AI157" i="1"/>
  <c r="AK157" i="1"/>
  <c r="AM157" i="1"/>
  <c r="AN157" i="1"/>
  <c r="C158" i="1"/>
  <c r="E158" i="1"/>
  <c r="H158" i="1"/>
  <c r="I158" i="1"/>
  <c r="J158" i="1"/>
  <c r="K158" i="1"/>
  <c r="L158" i="1"/>
  <c r="M158" i="1"/>
  <c r="S158" i="1"/>
  <c r="T158" i="1"/>
  <c r="U158" i="1"/>
  <c r="X158" i="1"/>
  <c r="Y158" i="1"/>
  <c r="Z158" i="1"/>
  <c r="AA158" i="1"/>
  <c r="AB158" i="1"/>
  <c r="AC158" i="1"/>
  <c r="AD158" i="1"/>
  <c r="AE158" i="1"/>
  <c r="AG158" i="1"/>
  <c r="AI158" i="1"/>
  <c r="AK158" i="1"/>
  <c r="AM158" i="1"/>
  <c r="AN158" i="1"/>
  <c r="C159" i="1"/>
  <c r="E159" i="1"/>
  <c r="H159" i="1"/>
  <c r="I159" i="1"/>
  <c r="J159" i="1"/>
  <c r="K159" i="1"/>
  <c r="L159" i="1"/>
  <c r="M159" i="1"/>
  <c r="S159" i="1"/>
  <c r="T159" i="1"/>
  <c r="U159" i="1"/>
  <c r="X159" i="1"/>
  <c r="Y159" i="1"/>
  <c r="Z159" i="1"/>
  <c r="AA159" i="1"/>
  <c r="AB159" i="1"/>
  <c r="AC159" i="1"/>
  <c r="AD159" i="1"/>
  <c r="AE159" i="1"/>
  <c r="AG159" i="1"/>
  <c r="AI159" i="1"/>
  <c r="AK159" i="1"/>
  <c r="AM159" i="1"/>
  <c r="AN159" i="1"/>
  <c r="C160" i="1"/>
  <c r="E160" i="1"/>
  <c r="H160" i="1"/>
  <c r="I160" i="1"/>
  <c r="J160" i="1"/>
  <c r="K160" i="1"/>
  <c r="L160" i="1"/>
  <c r="M160" i="1"/>
  <c r="S160" i="1"/>
  <c r="T160" i="1"/>
  <c r="U160" i="1"/>
  <c r="X160" i="1"/>
  <c r="Y160" i="1"/>
  <c r="Z160" i="1"/>
  <c r="AA160" i="1"/>
  <c r="AB160" i="1"/>
  <c r="AC160" i="1"/>
  <c r="AD160" i="1"/>
  <c r="AE160" i="1"/>
  <c r="AG160" i="1"/>
  <c r="AI160" i="1"/>
  <c r="AK160" i="1"/>
  <c r="AM160" i="1"/>
  <c r="AN160" i="1"/>
  <c r="C161" i="1"/>
  <c r="E161" i="1"/>
  <c r="H161" i="1"/>
  <c r="I161" i="1"/>
  <c r="J161" i="1"/>
  <c r="K161" i="1"/>
  <c r="L161" i="1"/>
  <c r="M161" i="1"/>
  <c r="S161" i="1"/>
  <c r="T161" i="1"/>
  <c r="U161" i="1"/>
  <c r="X161" i="1"/>
  <c r="Y161" i="1"/>
  <c r="Z161" i="1"/>
  <c r="AA161" i="1"/>
  <c r="AB161" i="1"/>
  <c r="AC161" i="1"/>
  <c r="AD161" i="1"/>
  <c r="AE161" i="1"/>
  <c r="AG161" i="1"/>
  <c r="AI161" i="1"/>
  <c r="AK161" i="1"/>
  <c r="AM161" i="1"/>
  <c r="AN161" i="1"/>
  <c r="C162" i="1"/>
  <c r="E162" i="1"/>
  <c r="H162" i="1"/>
  <c r="I162" i="1"/>
  <c r="J162" i="1"/>
  <c r="K162" i="1"/>
  <c r="L162" i="1"/>
  <c r="M162" i="1"/>
  <c r="S162" i="1"/>
  <c r="T162" i="1"/>
  <c r="U162" i="1"/>
  <c r="X162" i="1"/>
  <c r="Y162" i="1"/>
  <c r="Z162" i="1"/>
  <c r="AA162" i="1"/>
  <c r="AB162" i="1"/>
  <c r="AC162" i="1"/>
  <c r="AD162" i="1"/>
  <c r="AE162" i="1"/>
  <c r="AG162" i="1"/>
  <c r="AI162" i="1"/>
  <c r="AK162" i="1"/>
  <c r="AM162" i="1"/>
  <c r="AN162" i="1"/>
  <c r="C163" i="1"/>
  <c r="E163" i="1"/>
  <c r="H163" i="1"/>
  <c r="I163" i="1"/>
  <c r="J163" i="1"/>
  <c r="K163" i="1"/>
  <c r="L163" i="1"/>
  <c r="M163" i="1"/>
  <c r="S163" i="1"/>
  <c r="T163" i="1"/>
  <c r="U163" i="1"/>
  <c r="X163" i="1"/>
  <c r="Y163" i="1"/>
  <c r="Z163" i="1"/>
  <c r="AA163" i="1"/>
  <c r="AB163" i="1"/>
  <c r="AC163" i="1"/>
  <c r="AD163" i="1"/>
  <c r="AE163" i="1"/>
  <c r="AG163" i="1"/>
  <c r="AI163" i="1"/>
  <c r="AK163" i="1"/>
  <c r="AM163" i="1"/>
  <c r="AN163" i="1"/>
  <c r="C164" i="1"/>
  <c r="E164" i="1"/>
  <c r="H164" i="1"/>
  <c r="I164" i="1"/>
  <c r="J164" i="1"/>
  <c r="K164" i="1"/>
  <c r="L164" i="1"/>
  <c r="M164" i="1"/>
  <c r="S164" i="1"/>
  <c r="T164" i="1"/>
  <c r="U164" i="1"/>
  <c r="X164" i="1"/>
  <c r="Y164" i="1"/>
  <c r="Z164" i="1"/>
  <c r="AA164" i="1"/>
  <c r="AB164" i="1"/>
  <c r="AC164" i="1"/>
  <c r="AD164" i="1"/>
  <c r="AE164" i="1"/>
  <c r="AG164" i="1"/>
  <c r="AI164" i="1"/>
  <c r="AK164" i="1"/>
  <c r="AM164" i="1"/>
  <c r="AN164" i="1"/>
  <c r="C165" i="1"/>
  <c r="E165" i="1"/>
  <c r="H165" i="1"/>
  <c r="I165" i="1"/>
  <c r="J165" i="1"/>
  <c r="K165" i="1"/>
  <c r="L165" i="1"/>
  <c r="M165" i="1"/>
  <c r="S165" i="1"/>
  <c r="T165" i="1"/>
  <c r="U165" i="1"/>
  <c r="X165" i="1"/>
  <c r="Y165" i="1"/>
  <c r="Z165" i="1"/>
  <c r="AA165" i="1"/>
  <c r="AB165" i="1"/>
  <c r="AC165" i="1"/>
  <c r="AD165" i="1"/>
  <c r="AE165" i="1"/>
  <c r="AG165" i="1"/>
  <c r="AI165" i="1"/>
  <c r="AK165" i="1"/>
  <c r="AM165" i="1"/>
  <c r="AN165" i="1"/>
  <c r="C166" i="1"/>
  <c r="E166" i="1"/>
  <c r="H166" i="1"/>
  <c r="I166" i="1"/>
  <c r="J166" i="1"/>
  <c r="K166" i="1"/>
  <c r="L166" i="1"/>
  <c r="M166" i="1"/>
  <c r="S166" i="1"/>
  <c r="T166" i="1"/>
  <c r="U166" i="1"/>
  <c r="X166" i="1"/>
  <c r="Y166" i="1"/>
  <c r="Z166" i="1"/>
  <c r="AA166" i="1"/>
  <c r="AB166" i="1"/>
  <c r="AC166" i="1"/>
  <c r="AD166" i="1"/>
  <c r="AE166" i="1"/>
  <c r="AG166" i="1"/>
  <c r="AI166" i="1"/>
  <c r="AK166" i="1"/>
  <c r="AM166" i="1"/>
  <c r="AN166" i="1"/>
  <c r="C167" i="1"/>
  <c r="E167" i="1"/>
  <c r="H167" i="1"/>
  <c r="I167" i="1"/>
  <c r="J167" i="1"/>
  <c r="K167" i="1"/>
  <c r="L167" i="1"/>
  <c r="M167" i="1"/>
  <c r="S167" i="1"/>
  <c r="T167" i="1"/>
  <c r="U167" i="1"/>
  <c r="X167" i="1"/>
  <c r="Y167" i="1"/>
  <c r="Z167" i="1"/>
  <c r="AA167" i="1"/>
  <c r="AB167" i="1"/>
  <c r="AC167" i="1"/>
  <c r="AD167" i="1"/>
  <c r="AE167" i="1"/>
  <c r="AG167" i="1"/>
  <c r="AI167" i="1"/>
  <c r="AK167" i="1"/>
  <c r="AM167" i="1"/>
  <c r="AN167" i="1"/>
  <c r="C168" i="1"/>
  <c r="E168" i="1"/>
  <c r="H168" i="1"/>
  <c r="I168" i="1"/>
  <c r="J168" i="1"/>
  <c r="K168" i="1"/>
  <c r="L168" i="1"/>
  <c r="M168" i="1"/>
  <c r="S168" i="1"/>
  <c r="T168" i="1"/>
  <c r="U168" i="1"/>
  <c r="X168" i="1"/>
  <c r="Y168" i="1"/>
  <c r="Z168" i="1"/>
  <c r="AA168" i="1"/>
  <c r="AB168" i="1"/>
  <c r="AC168" i="1"/>
  <c r="AD168" i="1"/>
  <c r="AE168" i="1"/>
  <c r="AG168" i="1"/>
  <c r="AI168" i="1"/>
  <c r="AK168" i="1"/>
  <c r="AM168" i="1"/>
  <c r="AN168" i="1"/>
  <c r="C169" i="1"/>
  <c r="E169" i="1"/>
  <c r="H169" i="1"/>
  <c r="I169" i="1"/>
  <c r="J169" i="1"/>
  <c r="K169" i="1"/>
  <c r="L169" i="1"/>
  <c r="M169" i="1"/>
  <c r="S169" i="1"/>
  <c r="T169" i="1"/>
  <c r="U169" i="1"/>
  <c r="X169" i="1"/>
  <c r="Y169" i="1"/>
  <c r="Z169" i="1"/>
  <c r="AA169" i="1"/>
  <c r="AB169" i="1"/>
  <c r="AC169" i="1"/>
  <c r="AD169" i="1"/>
  <c r="AE169" i="1"/>
  <c r="AG169" i="1"/>
  <c r="AI169" i="1"/>
  <c r="AK169" i="1"/>
  <c r="AM169" i="1"/>
  <c r="AN169" i="1"/>
  <c r="C170" i="1"/>
  <c r="E170" i="1"/>
  <c r="H170" i="1"/>
  <c r="I170" i="1"/>
  <c r="J170" i="1"/>
  <c r="K170" i="1"/>
  <c r="L170" i="1"/>
  <c r="M170" i="1"/>
  <c r="S170" i="1"/>
  <c r="T170" i="1"/>
  <c r="U170" i="1"/>
  <c r="X170" i="1"/>
  <c r="Y170" i="1"/>
  <c r="Z170" i="1"/>
  <c r="AA170" i="1"/>
  <c r="AB170" i="1"/>
  <c r="AC170" i="1"/>
  <c r="AD170" i="1"/>
  <c r="AE170" i="1"/>
  <c r="AG170" i="1"/>
  <c r="AI170" i="1"/>
  <c r="AK170" i="1"/>
  <c r="AM170" i="1"/>
  <c r="AN170" i="1"/>
  <c r="C171" i="1"/>
  <c r="E171" i="1"/>
  <c r="H171" i="1"/>
  <c r="I171" i="1"/>
  <c r="J171" i="1"/>
  <c r="K171" i="1"/>
  <c r="L171" i="1"/>
  <c r="M171" i="1"/>
  <c r="S171" i="1"/>
  <c r="T171" i="1"/>
  <c r="U171" i="1"/>
  <c r="X171" i="1"/>
  <c r="Y171" i="1"/>
  <c r="Z171" i="1"/>
  <c r="AA171" i="1"/>
  <c r="AB171" i="1"/>
  <c r="AC171" i="1"/>
  <c r="AD171" i="1"/>
  <c r="AE171" i="1"/>
  <c r="AG171" i="1"/>
  <c r="AI171" i="1"/>
  <c r="AK171" i="1"/>
  <c r="AM171" i="1"/>
  <c r="AN171" i="1"/>
  <c r="C172" i="1"/>
  <c r="E172" i="1"/>
  <c r="H172" i="1"/>
  <c r="I172" i="1"/>
  <c r="J172" i="1"/>
  <c r="K172" i="1"/>
  <c r="L172" i="1"/>
  <c r="M172" i="1"/>
  <c r="S172" i="1"/>
  <c r="T172" i="1"/>
  <c r="U172" i="1"/>
  <c r="X172" i="1"/>
  <c r="Y172" i="1"/>
  <c r="Z172" i="1"/>
  <c r="AA172" i="1"/>
  <c r="AB172" i="1"/>
  <c r="AC172" i="1"/>
  <c r="AD172" i="1"/>
  <c r="AE172" i="1"/>
  <c r="AG172" i="1"/>
  <c r="AI172" i="1"/>
  <c r="AK172" i="1"/>
  <c r="AM172" i="1"/>
  <c r="AN172" i="1"/>
  <c r="C173" i="1"/>
  <c r="E173" i="1"/>
  <c r="H173" i="1"/>
  <c r="I173" i="1"/>
  <c r="J173" i="1"/>
  <c r="K173" i="1"/>
  <c r="L173" i="1"/>
  <c r="M173" i="1"/>
  <c r="S173" i="1"/>
  <c r="T173" i="1"/>
  <c r="U173" i="1"/>
  <c r="X173" i="1"/>
  <c r="Y173" i="1"/>
  <c r="Z173" i="1"/>
  <c r="AA173" i="1"/>
  <c r="AB173" i="1"/>
  <c r="AC173" i="1"/>
  <c r="AD173" i="1"/>
  <c r="AE173" i="1"/>
  <c r="AG173" i="1"/>
  <c r="AI173" i="1"/>
  <c r="AK173" i="1"/>
  <c r="AM173" i="1"/>
  <c r="AN173" i="1"/>
  <c r="C174" i="1"/>
  <c r="E174" i="1"/>
  <c r="H174" i="1"/>
  <c r="I174" i="1"/>
  <c r="J174" i="1"/>
  <c r="K174" i="1"/>
  <c r="L174" i="1"/>
  <c r="M174" i="1"/>
  <c r="S174" i="1"/>
  <c r="T174" i="1"/>
  <c r="U174" i="1"/>
  <c r="X174" i="1"/>
  <c r="Y174" i="1"/>
  <c r="Z174" i="1"/>
  <c r="AA174" i="1"/>
  <c r="AB174" i="1"/>
  <c r="AC174" i="1"/>
  <c r="AD174" i="1"/>
  <c r="AE174" i="1"/>
  <c r="AG174" i="1"/>
  <c r="AI174" i="1"/>
  <c r="AK174" i="1"/>
  <c r="AM174" i="1"/>
  <c r="AN174" i="1"/>
  <c r="C175" i="1"/>
  <c r="E175" i="1"/>
  <c r="H175" i="1"/>
  <c r="I175" i="1"/>
  <c r="J175" i="1"/>
  <c r="K175" i="1"/>
  <c r="L175" i="1"/>
  <c r="M175" i="1"/>
  <c r="S175" i="1"/>
  <c r="T175" i="1"/>
  <c r="U175" i="1"/>
  <c r="X175" i="1"/>
  <c r="Y175" i="1"/>
  <c r="Z175" i="1"/>
  <c r="AA175" i="1"/>
  <c r="AB175" i="1"/>
  <c r="AC175" i="1"/>
  <c r="AD175" i="1"/>
  <c r="AE175" i="1"/>
  <c r="AG175" i="1"/>
  <c r="AI175" i="1"/>
  <c r="AK175" i="1"/>
  <c r="AM175" i="1"/>
  <c r="AN175" i="1"/>
  <c r="C176" i="1"/>
  <c r="E176" i="1"/>
  <c r="H176" i="1"/>
  <c r="I176" i="1"/>
  <c r="J176" i="1"/>
  <c r="K176" i="1"/>
  <c r="L176" i="1"/>
  <c r="M176" i="1"/>
  <c r="S176" i="1"/>
  <c r="T176" i="1"/>
  <c r="U176" i="1"/>
  <c r="X176" i="1"/>
  <c r="Y176" i="1"/>
  <c r="Z176" i="1"/>
  <c r="AA176" i="1"/>
  <c r="AB176" i="1"/>
  <c r="AC176" i="1"/>
  <c r="AD176" i="1"/>
  <c r="AE176" i="1"/>
  <c r="AG176" i="1"/>
  <c r="AI176" i="1"/>
  <c r="AK176" i="1"/>
  <c r="AM176" i="1"/>
  <c r="AN176" i="1"/>
  <c r="C177" i="1"/>
  <c r="E177" i="1"/>
  <c r="H177" i="1"/>
  <c r="I177" i="1"/>
  <c r="J177" i="1"/>
  <c r="K177" i="1"/>
  <c r="L177" i="1"/>
  <c r="M177" i="1"/>
  <c r="S177" i="1"/>
  <c r="T177" i="1"/>
  <c r="U177" i="1"/>
  <c r="X177" i="1"/>
  <c r="Y177" i="1"/>
  <c r="Z177" i="1"/>
  <c r="AA177" i="1"/>
  <c r="AB177" i="1"/>
  <c r="AC177" i="1"/>
  <c r="AD177" i="1"/>
  <c r="AE177" i="1"/>
  <c r="AG177" i="1"/>
  <c r="AI177" i="1"/>
  <c r="AK177" i="1"/>
  <c r="AM177" i="1"/>
  <c r="AN177" i="1"/>
  <c r="C178" i="1"/>
  <c r="E178" i="1"/>
  <c r="H178" i="1"/>
  <c r="I178" i="1"/>
  <c r="J178" i="1"/>
  <c r="K178" i="1"/>
  <c r="L178" i="1"/>
  <c r="M178" i="1"/>
  <c r="S178" i="1"/>
  <c r="T178" i="1"/>
  <c r="U178" i="1"/>
  <c r="X178" i="1"/>
  <c r="Y178" i="1"/>
  <c r="Z178" i="1"/>
  <c r="AA178" i="1"/>
  <c r="AB178" i="1"/>
  <c r="AC178" i="1"/>
  <c r="AD178" i="1"/>
  <c r="AE178" i="1"/>
  <c r="AG178" i="1"/>
  <c r="AI178" i="1"/>
  <c r="AK178" i="1"/>
  <c r="AM178" i="1"/>
  <c r="AN178" i="1"/>
  <c r="C179" i="1"/>
  <c r="E179" i="1"/>
  <c r="H179" i="1"/>
  <c r="I179" i="1"/>
  <c r="J179" i="1"/>
  <c r="K179" i="1"/>
  <c r="L179" i="1"/>
  <c r="M179" i="1"/>
  <c r="S179" i="1"/>
  <c r="T179" i="1"/>
  <c r="U179" i="1"/>
  <c r="X179" i="1"/>
  <c r="Y179" i="1"/>
  <c r="Z179" i="1"/>
  <c r="AA179" i="1"/>
  <c r="AB179" i="1"/>
  <c r="AC179" i="1"/>
  <c r="AD179" i="1"/>
  <c r="AE179" i="1"/>
  <c r="AG179" i="1"/>
  <c r="AI179" i="1"/>
  <c r="AK179" i="1"/>
  <c r="AM179" i="1"/>
  <c r="AN179" i="1"/>
  <c r="C180" i="1"/>
  <c r="E180" i="1"/>
  <c r="H180" i="1"/>
  <c r="I180" i="1"/>
  <c r="J180" i="1"/>
  <c r="K180" i="1"/>
  <c r="L180" i="1"/>
  <c r="M180" i="1"/>
  <c r="S180" i="1"/>
  <c r="T180" i="1"/>
  <c r="U180" i="1"/>
  <c r="X180" i="1"/>
  <c r="Y180" i="1"/>
  <c r="Z180" i="1"/>
  <c r="AA180" i="1"/>
  <c r="AB180" i="1"/>
  <c r="AC180" i="1"/>
  <c r="AD180" i="1"/>
  <c r="AE180" i="1"/>
  <c r="AG180" i="1"/>
  <c r="AI180" i="1"/>
  <c r="AK180" i="1"/>
  <c r="AM180" i="1"/>
  <c r="AN180" i="1"/>
  <c r="C181" i="1"/>
  <c r="E181" i="1"/>
  <c r="H181" i="1"/>
  <c r="I181" i="1"/>
  <c r="J181" i="1"/>
  <c r="K181" i="1"/>
  <c r="L181" i="1"/>
  <c r="M181" i="1"/>
  <c r="S181" i="1"/>
  <c r="T181" i="1"/>
  <c r="U181" i="1"/>
  <c r="X181" i="1"/>
  <c r="Y181" i="1"/>
  <c r="Z181" i="1"/>
  <c r="AA181" i="1"/>
  <c r="AB181" i="1"/>
  <c r="AC181" i="1"/>
  <c r="AD181" i="1"/>
  <c r="AE181" i="1"/>
  <c r="AG181" i="1"/>
  <c r="AI181" i="1"/>
  <c r="AK181" i="1"/>
  <c r="AM181" i="1"/>
  <c r="AN181" i="1"/>
  <c r="C182" i="1"/>
  <c r="E182" i="1"/>
  <c r="H182" i="1"/>
  <c r="I182" i="1"/>
  <c r="J182" i="1"/>
  <c r="K182" i="1"/>
  <c r="L182" i="1"/>
  <c r="M182" i="1"/>
  <c r="S182" i="1"/>
  <c r="T182" i="1"/>
  <c r="U182" i="1"/>
  <c r="X182" i="1"/>
  <c r="Y182" i="1"/>
  <c r="Z182" i="1"/>
  <c r="AA182" i="1"/>
  <c r="AB182" i="1"/>
  <c r="AC182" i="1"/>
  <c r="AD182" i="1"/>
  <c r="AE182" i="1"/>
  <c r="AG182" i="1"/>
  <c r="AI182" i="1"/>
  <c r="AK182" i="1"/>
  <c r="AM182" i="1"/>
  <c r="AN182" i="1"/>
  <c r="C183" i="1"/>
  <c r="E183" i="1"/>
  <c r="H183" i="1"/>
  <c r="I183" i="1"/>
  <c r="J183" i="1"/>
  <c r="K183" i="1"/>
  <c r="L183" i="1"/>
  <c r="M183" i="1"/>
  <c r="S183" i="1"/>
  <c r="T183" i="1"/>
  <c r="U183" i="1"/>
  <c r="X183" i="1"/>
  <c r="Y183" i="1"/>
  <c r="Z183" i="1"/>
  <c r="AA183" i="1"/>
  <c r="AB183" i="1"/>
  <c r="AC183" i="1"/>
  <c r="AD183" i="1"/>
  <c r="AE183" i="1"/>
  <c r="AG183" i="1"/>
  <c r="AI183" i="1"/>
  <c r="AK183" i="1"/>
  <c r="AM183" i="1"/>
  <c r="AN183" i="1"/>
  <c r="C184" i="1"/>
  <c r="E184" i="1"/>
  <c r="H184" i="1"/>
  <c r="I184" i="1"/>
  <c r="J184" i="1"/>
  <c r="K184" i="1"/>
  <c r="L184" i="1"/>
  <c r="M184" i="1"/>
  <c r="S184" i="1"/>
  <c r="T184" i="1"/>
  <c r="U184" i="1"/>
  <c r="X184" i="1"/>
  <c r="Y184" i="1"/>
  <c r="Z184" i="1"/>
  <c r="AA184" i="1"/>
  <c r="AB184" i="1"/>
  <c r="AC184" i="1"/>
  <c r="AD184" i="1"/>
  <c r="AE184" i="1"/>
  <c r="AG184" i="1"/>
  <c r="AI184" i="1"/>
  <c r="AK184" i="1"/>
  <c r="AM184" i="1"/>
  <c r="AN184" i="1"/>
  <c r="C185" i="1"/>
  <c r="E185" i="1"/>
  <c r="H185" i="1"/>
  <c r="I185" i="1"/>
  <c r="J185" i="1"/>
  <c r="K185" i="1"/>
  <c r="L185" i="1"/>
  <c r="M185" i="1"/>
  <c r="S185" i="1"/>
  <c r="T185" i="1"/>
  <c r="U185" i="1"/>
  <c r="X185" i="1"/>
  <c r="Y185" i="1"/>
  <c r="Z185" i="1"/>
  <c r="AA185" i="1"/>
  <c r="AB185" i="1"/>
  <c r="AC185" i="1"/>
  <c r="AD185" i="1"/>
  <c r="AE185" i="1"/>
  <c r="AG185" i="1"/>
  <c r="AI185" i="1"/>
  <c r="AK185" i="1"/>
  <c r="AM185" i="1"/>
  <c r="AN185" i="1"/>
  <c r="C186" i="1"/>
  <c r="E186" i="1"/>
  <c r="H186" i="1"/>
  <c r="I186" i="1"/>
  <c r="J186" i="1"/>
  <c r="K186" i="1"/>
  <c r="L186" i="1"/>
  <c r="M186" i="1"/>
  <c r="S186" i="1"/>
  <c r="T186" i="1"/>
  <c r="U186" i="1"/>
  <c r="X186" i="1"/>
  <c r="Y186" i="1"/>
  <c r="Z186" i="1"/>
  <c r="AA186" i="1"/>
  <c r="AB186" i="1"/>
  <c r="AC186" i="1"/>
  <c r="AD186" i="1"/>
  <c r="AE186" i="1"/>
  <c r="AG186" i="1"/>
  <c r="AI186" i="1"/>
  <c r="AK186" i="1"/>
  <c r="AM186" i="1"/>
  <c r="AN186" i="1"/>
  <c r="C187" i="1"/>
  <c r="E187" i="1"/>
  <c r="H187" i="1"/>
  <c r="I187" i="1"/>
  <c r="J187" i="1"/>
  <c r="K187" i="1"/>
  <c r="L187" i="1"/>
  <c r="M187" i="1"/>
  <c r="S187" i="1"/>
  <c r="T187" i="1"/>
  <c r="U187" i="1"/>
  <c r="X187" i="1"/>
  <c r="Y187" i="1"/>
  <c r="Z187" i="1"/>
  <c r="AA187" i="1"/>
  <c r="AB187" i="1"/>
  <c r="AC187" i="1"/>
  <c r="AD187" i="1"/>
  <c r="AE187" i="1"/>
  <c r="AG187" i="1"/>
  <c r="AI187" i="1"/>
  <c r="AK187" i="1"/>
  <c r="AM187" i="1"/>
  <c r="AN187" i="1"/>
  <c r="C188" i="1"/>
  <c r="E188" i="1"/>
  <c r="H188" i="1"/>
  <c r="I188" i="1"/>
  <c r="J188" i="1"/>
  <c r="K188" i="1"/>
  <c r="L188" i="1"/>
  <c r="M188" i="1"/>
  <c r="S188" i="1"/>
  <c r="T188" i="1"/>
  <c r="U188" i="1"/>
  <c r="X188" i="1"/>
  <c r="Y188" i="1"/>
  <c r="Z188" i="1"/>
  <c r="AA188" i="1"/>
  <c r="AB188" i="1"/>
  <c r="AC188" i="1"/>
  <c r="AD188" i="1"/>
  <c r="AE188" i="1"/>
  <c r="AG188" i="1"/>
  <c r="AI188" i="1"/>
  <c r="AK188" i="1"/>
  <c r="AM188" i="1"/>
  <c r="AN188" i="1"/>
  <c r="C189" i="1"/>
  <c r="E189" i="1"/>
  <c r="H189" i="1"/>
  <c r="I189" i="1"/>
  <c r="J189" i="1"/>
  <c r="K189" i="1"/>
  <c r="L189" i="1"/>
  <c r="M189" i="1"/>
  <c r="S189" i="1"/>
  <c r="T189" i="1"/>
  <c r="U189" i="1"/>
  <c r="X189" i="1"/>
  <c r="Y189" i="1"/>
  <c r="Z189" i="1"/>
  <c r="AA189" i="1"/>
  <c r="AB189" i="1"/>
  <c r="AC189" i="1"/>
  <c r="AD189" i="1"/>
  <c r="AE189" i="1"/>
  <c r="AG189" i="1"/>
  <c r="AI189" i="1"/>
  <c r="AK189" i="1"/>
  <c r="AM189" i="1"/>
  <c r="AN189" i="1"/>
  <c r="C190" i="1"/>
  <c r="E190" i="1"/>
  <c r="H190" i="1"/>
  <c r="I190" i="1"/>
  <c r="J190" i="1"/>
  <c r="K190" i="1"/>
  <c r="L190" i="1"/>
  <c r="M190" i="1"/>
  <c r="S190" i="1"/>
  <c r="T190" i="1"/>
  <c r="U190" i="1"/>
  <c r="X190" i="1"/>
  <c r="Y190" i="1"/>
  <c r="Z190" i="1"/>
  <c r="AA190" i="1"/>
  <c r="AB190" i="1"/>
  <c r="AC190" i="1"/>
  <c r="AD190" i="1"/>
  <c r="AE190" i="1"/>
  <c r="AG190" i="1"/>
  <c r="AI190" i="1"/>
  <c r="AK190" i="1"/>
  <c r="AM190" i="1"/>
  <c r="AN190" i="1"/>
  <c r="C191" i="1"/>
  <c r="E191" i="1"/>
  <c r="H191" i="1"/>
  <c r="I191" i="1"/>
  <c r="J191" i="1"/>
  <c r="K191" i="1"/>
  <c r="L191" i="1"/>
  <c r="M191" i="1"/>
  <c r="S191" i="1"/>
  <c r="T191" i="1"/>
  <c r="U191" i="1"/>
  <c r="X191" i="1"/>
  <c r="Y191" i="1"/>
  <c r="Z191" i="1"/>
  <c r="AA191" i="1"/>
  <c r="AB191" i="1"/>
  <c r="AC191" i="1"/>
  <c r="AD191" i="1"/>
  <c r="AE191" i="1"/>
  <c r="AG191" i="1"/>
  <c r="AI191" i="1"/>
  <c r="AK191" i="1"/>
  <c r="AM191" i="1"/>
  <c r="AN191" i="1"/>
  <c r="C192" i="1"/>
  <c r="E192" i="1"/>
  <c r="H192" i="1"/>
  <c r="I192" i="1"/>
  <c r="J192" i="1"/>
  <c r="K192" i="1"/>
  <c r="L192" i="1"/>
  <c r="M192" i="1"/>
  <c r="S192" i="1"/>
  <c r="T192" i="1"/>
  <c r="U192" i="1"/>
  <c r="X192" i="1"/>
  <c r="Y192" i="1"/>
  <c r="Z192" i="1"/>
  <c r="AA192" i="1"/>
  <c r="AB192" i="1"/>
  <c r="AC192" i="1"/>
  <c r="AD192" i="1"/>
  <c r="AE192" i="1"/>
  <c r="AG192" i="1"/>
  <c r="AI192" i="1"/>
  <c r="AK192" i="1"/>
  <c r="AM192" i="1"/>
  <c r="AN192" i="1"/>
  <c r="C193" i="1"/>
  <c r="E193" i="1"/>
  <c r="H193" i="1"/>
  <c r="I193" i="1"/>
  <c r="J193" i="1"/>
  <c r="K193" i="1"/>
  <c r="L193" i="1"/>
  <c r="M193" i="1"/>
  <c r="S193" i="1"/>
  <c r="T193" i="1"/>
  <c r="U193" i="1"/>
  <c r="X193" i="1"/>
  <c r="Y193" i="1"/>
  <c r="Z193" i="1"/>
  <c r="AA193" i="1"/>
  <c r="AB193" i="1"/>
  <c r="AC193" i="1"/>
  <c r="AD193" i="1"/>
  <c r="AE193" i="1"/>
  <c r="AG193" i="1"/>
  <c r="AI193" i="1"/>
  <c r="AK193" i="1"/>
  <c r="AM193" i="1"/>
  <c r="AN193" i="1"/>
  <c r="C194" i="1"/>
  <c r="E194" i="1"/>
  <c r="H194" i="1"/>
  <c r="I194" i="1"/>
  <c r="J194" i="1"/>
  <c r="K194" i="1"/>
  <c r="L194" i="1"/>
  <c r="M194" i="1"/>
  <c r="S194" i="1"/>
  <c r="T194" i="1"/>
  <c r="U194" i="1"/>
  <c r="X194" i="1"/>
  <c r="Y194" i="1"/>
  <c r="Z194" i="1"/>
  <c r="AA194" i="1"/>
  <c r="AB194" i="1"/>
  <c r="AC194" i="1"/>
  <c r="AD194" i="1"/>
  <c r="AE194" i="1"/>
  <c r="AG194" i="1"/>
  <c r="AI194" i="1"/>
  <c r="AK194" i="1"/>
  <c r="AM194" i="1"/>
  <c r="AN194" i="1"/>
  <c r="C195" i="1"/>
  <c r="E195" i="1"/>
  <c r="H195" i="1"/>
  <c r="I195" i="1"/>
  <c r="J195" i="1"/>
  <c r="K195" i="1"/>
  <c r="L195" i="1"/>
  <c r="M195" i="1"/>
  <c r="S195" i="1"/>
  <c r="T195" i="1"/>
  <c r="U195" i="1"/>
  <c r="X195" i="1"/>
  <c r="Y195" i="1"/>
  <c r="Z195" i="1"/>
  <c r="AA195" i="1"/>
  <c r="AB195" i="1"/>
  <c r="AC195" i="1"/>
  <c r="AD195" i="1"/>
  <c r="AE195" i="1"/>
  <c r="AG195" i="1"/>
  <c r="AI195" i="1"/>
  <c r="AK195" i="1"/>
  <c r="AM195" i="1"/>
  <c r="AN195" i="1"/>
  <c r="C196" i="1"/>
  <c r="E196" i="1"/>
  <c r="H196" i="1"/>
  <c r="I196" i="1"/>
  <c r="J196" i="1"/>
  <c r="K196" i="1"/>
  <c r="L196" i="1"/>
  <c r="M196" i="1"/>
  <c r="S196" i="1"/>
  <c r="T196" i="1"/>
  <c r="U196" i="1"/>
  <c r="X196" i="1"/>
  <c r="Y196" i="1"/>
  <c r="Z196" i="1"/>
  <c r="AA196" i="1"/>
  <c r="AB196" i="1"/>
  <c r="AC196" i="1"/>
  <c r="AD196" i="1"/>
  <c r="AE196" i="1"/>
  <c r="AG196" i="1"/>
  <c r="AI196" i="1"/>
  <c r="AK196" i="1"/>
  <c r="AM196" i="1"/>
  <c r="AN196" i="1"/>
  <c r="C197" i="1"/>
  <c r="E197" i="1"/>
  <c r="H197" i="1"/>
  <c r="I197" i="1"/>
  <c r="J197" i="1"/>
  <c r="K197" i="1"/>
  <c r="L197" i="1"/>
  <c r="M197" i="1"/>
  <c r="S197" i="1"/>
  <c r="T197" i="1"/>
  <c r="U197" i="1"/>
  <c r="X197" i="1"/>
  <c r="Y197" i="1"/>
  <c r="Z197" i="1"/>
  <c r="AA197" i="1"/>
  <c r="AB197" i="1"/>
  <c r="AC197" i="1"/>
  <c r="AD197" i="1"/>
  <c r="AE197" i="1"/>
  <c r="AG197" i="1"/>
  <c r="AI197" i="1"/>
  <c r="AK197" i="1"/>
  <c r="AM197" i="1"/>
  <c r="AN197" i="1"/>
  <c r="C198" i="1"/>
  <c r="E198" i="1"/>
  <c r="H198" i="1"/>
  <c r="I198" i="1"/>
  <c r="J198" i="1"/>
  <c r="K198" i="1"/>
  <c r="L198" i="1"/>
  <c r="M198" i="1"/>
  <c r="S198" i="1"/>
  <c r="T198" i="1"/>
  <c r="U198" i="1"/>
  <c r="X198" i="1"/>
  <c r="Y198" i="1"/>
  <c r="Z198" i="1"/>
  <c r="AA198" i="1"/>
  <c r="AB198" i="1"/>
  <c r="AC198" i="1"/>
  <c r="AD198" i="1"/>
  <c r="AE198" i="1"/>
  <c r="AG198" i="1"/>
  <c r="AI198" i="1"/>
  <c r="AK198" i="1"/>
  <c r="AM198" i="1"/>
  <c r="AN198" i="1"/>
  <c r="C199" i="1"/>
  <c r="E199" i="1"/>
  <c r="H199" i="1"/>
  <c r="I199" i="1"/>
  <c r="J199" i="1"/>
  <c r="K199" i="1"/>
  <c r="L199" i="1"/>
  <c r="M199" i="1"/>
  <c r="S199" i="1"/>
  <c r="T199" i="1"/>
  <c r="U199" i="1"/>
  <c r="X199" i="1"/>
  <c r="Y199" i="1"/>
  <c r="Z199" i="1"/>
  <c r="AA199" i="1"/>
  <c r="AB199" i="1"/>
  <c r="AC199" i="1"/>
  <c r="AD199" i="1"/>
  <c r="AE199" i="1"/>
  <c r="AG199" i="1"/>
  <c r="AI199" i="1"/>
  <c r="AK199" i="1"/>
  <c r="AM199" i="1"/>
  <c r="AN199" i="1"/>
  <c r="C200" i="1"/>
  <c r="E200" i="1"/>
  <c r="H200" i="1"/>
  <c r="I200" i="1"/>
  <c r="J200" i="1"/>
  <c r="K200" i="1"/>
  <c r="L200" i="1"/>
  <c r="M200" i="1"/>
  <c r="S200" i="1"/>
  <c r="T200" i="1"/>
  <c r="U200" i="1"/>
  <c r="X200" i="1"/>
  <c r="Y200" i="1"/>
  <c r="Z200" i="1"/>
  <c r="AA200" i="1"/>
  <c r="AB200" i="1"/>
  <c r="AC200" i="1"/>
  <c r="AD200" i="1"/>
  <c r="AE200" i="1"/>
  <c r="AG200" i="1"/>
  <c r="AI200" i="1"/>
  <c r="AK200" i="1"/>
  <c r="AM200" i="1"/>
  <c r="AN200" i="1"/>
  <c r="C201" i="1"/>
  <c r="E201" i="1"/>
  <c r="H201" i="1"/>
  <c r="I201" i="1"/>
  <c r="J201" i="1"/>
  <c r="K201" i="1"/>
  <c r="L201" i="1"/>
  <c r="M201" i="1"/>
  <c r="S201" i="1"/>
  <c r="T201" i="1"/>
  <c r="U201" i="1"/>
  <c r="X201" i="1"/>
  <c r="Y201" i="1"/>
  <c r="Z201" i="1"/>
  <c r="AA201" i="1"/>
  <c r="AB201" i="1"/>
  <c r="AC201" i="1"/>
  <c r="AD201" i="1"/>
  <c r="AE201" i="1"/>
  <c r="AG201" i="1"/>
  <c r="AI201" i="1"/>
  <c r="AK201" i="1"/>
  <c r="AM201" i="1"/>
  <c r="AN201" i="1"/>
  <c r="C202" i="1"/>
  <c r="E202" i="1"/>
  <c r="H202" i="1"/>
  <c r="I202" i="1"/>
  <c r="J202" i="1"/>
  <c r="K202" i="1"/>
  <c r="L202" i="1"/>
  <c r="M202" i="1"/>
  <c r="S202" i="1"/>
  <c r="T202" i="1"/>
  <c r="U202" i="1"/>
  <c r="X202" i="1"/>
  <c r="Y202" i="1"/>
  <c r="Z202" i="1"/>
  <c r="AA202" i="1"/>
  <c r="AB202" i="1"/>
  <c r="AC202" i="1"/>
  <c r="AD202" i="1"/>
  <c r="AE202" i="1"/>
  <c r="AG202" i="1"/>
  <c r="AI202" i="1"/>
  <c r="AK202" i="1"/>
  <c r="AM202" i="1"/>
  <c r="AN202" i="1"/>
  <c r="C203" i="1"/>
  <c r="E203" i="1"/>
  <c r="H203" i="1"/>
  <c r="I203" i="1"/>
  <c r="J203" i="1"/>
  <c r="K203" i="1"/>
  <c r="L203" i="1"/>
  <c r="M203" i="1"/>
  <c r="S203" i="1"/>
  <c r="T203" i="1"/>
  <c r="U203" i="1"/>
  <c r="X203" i="1"/>
  <c r="Y203" i="1"/>
  <c r="Z203" i="1"/>
  <c r="AA203" i="1"/>
  <c r="AB203" i="1"/>
  <c r="AC203" i="1"/>
  <c r="AD203" i="1"/>
  <c r="AE203" i="1"/>
  <c r="AG203" i="1"/>
  <c r="AI203" i="1"/>
  <c r="AK203" i="1"/>
  <c r="AM203" i="1"/>
  <c r="AN203" i="1"/>
  <c r="C204" i="1"/>
  <c r="E204" i="1"/>
  <c r="H204" i="1"/>
  <c r="I204" i="1"/>
  <c r="J204" i="1"/>
  <c r="K204" i="1"/>
  <c r="L204" i="1"/>
  <c r="M204" i="1"/>
  <c r="S204" i="1"/>
  <c r="T204" i="1"/>
  <c r="U204" i="1"/>
  <c r="X204" i="1"/>
  <c r="Y204" i="1"/>
  <c r="Z204" i="1"/>
  <c r="AA204" i="1"/>
  <c r="AB204" i="1"/>
  <c r="AC204" i="1"/>
  <c r="AD204" i="1"/>
  <c r="AE204" i="1"/>
  <c r="AG204" i="1"/>
  <c r="AI204" i="1"/>
  <c r="AK204" i="1"/>
  <c r="AM204" i="1"/>
  <c r="AN204" i="1"/>
  <c r="C205" i="1"/>
  <c r="E205" i="1"/>
  <c r="H205" i="1"/>
  <c r="I205" i="1"/>
  <c r="J205" i="1"/>
  <c r="K205" i="1"/>
  <c r="L205" i="1"/>
  <c r="M205" i="1"/>
  <c r="S205" i="1"/>
  <c r="T205" i="1"/>
  <c r="U205" i="1"/>
  <c r="X205" i="1"/>
  <c r="Y205" i="1"/>
  <c r="Z205" i="1"/>
  <c r="AA205" i="1"/>
  <c r="AB205" i="1"/>
  <c r="AC205" i="1"/>
  <c r="AD205" i="1"/>
  <c r="AE205" i="1"/>
  <c r="AG205" i="1"/>
  <c r="AI205" i="1"/>
  <c r="AK205" i="1"/>
  <c r="AM205" i="1"/>
  <c r="AN205" i="1"/>
  <c r="C206" i="1"/>
  <c r="E206" i="1"/>
  <c r="H206" i="1"/>
  <c r="I206" i="1"/>
  <c r="J206" i="1"/>
  <c r="K206" i="1"/>
  <c r="L206" i="1"/>
  <c r="M206" i="1"/>
  <c r="S206" i="1"/>
  <c r="T206" i="1"/>
  <c r="U206" i="1"/>
  <c r="X206" i="1"/>
  <c r="Y206" i="1"/>
  <c r="Z206" i="1"/>
  <c r="AA206" i="1"/>
  <c r="AB206" i="1"/>
  <c r="AC206" i="1"/>
  <c r="AD206" i="1"/>
  <c r="AE206" i="1"/>
  <c r="AG206" i="1"/>
  <c r="AI206" i="1"/>
  <c r="AK206" i="1"/>
  <c r="AM206" i="1"/>
  <c r="AN206" i="1"/>
  <c r="C207" i="1"/>
  <c r="E207" i="1"/>
  <c r="H207" i="1"/>
  <c r="I207" i="1"/>
  <c r="J207" i="1"/>
  <c r="K207" i="1"/>
  <c r="L207" i="1"/>
  <c r="M207" i="1"/>
  <c r="S207" i="1"/>
  <c r="T207" i="1"/>
  <c r="U207" i="1"/>
  <c r="X207" i="1"/>
  <c r="Y207" i="1"/>
  <c r="Z207" i="1"/>
  <c r="AA207" i="1"/>
  <c r="AB207" i="1"/>
  <c r="AC207" i="1"/>
  <c r="AD207" i="1"/>
  <c r="AE207" i="1"/>
  <c r="AG207" i="1"/>
  <c r="AI207" i="1"/>
  <c r="AK207" i="1"/>
  <c r="AM207" i="1"/>
  <c r="AN207" i="1"/>
  <c r="C208" i="1"/>
  <c r="E208" i="1"/>
  <c r="H208" i="1"/>
  <c r="I208" i="1"/>
  <c r="J208" i="1"/>
  <c r="K208" i="1"/>
  <c r="L208" i="1"/>
  <c r="M208" i="1"/>
  <c r="S208" i="1"/>
  <c r="T208" i="1"/>
  <c r="U208" i="1"/>
  <c r="X208" i="1"/>
  <c r="Y208" i="1"/>
  <c r="Z208" i="1"/>
  <c r="AA208" i="1"/>
  <c r="AB208" i="1"/>
  <c r="AC208" i="1"/>
  <c r="AD208" i="1"/>
  <c r="AE208" i="1"/>
  <c r="AG208" i="1"/>
  <c r="AI208" i="1"/>
  <c r="AK208" i="1"/>
  <c r="AM208" i="1"/>
  <c r="AN208" i="1"/>
  <c r="C209" i="1"/>
  <c r="E209" i="1"/>
  <c r="H209" i="1"/>
  <c r="I209" i="1"/>
  <c r="J209" i="1"/>
  <c r="K209" i="1"/>
  <c r="L209" i="1"/>
  <c r="M209" i="1"/>
  <c r="S209" i="1"/>
  <c r="T209" i="1"/>
  <c r="U209" i="1"/>
  <c r="X209" i="1"/>
  <c r="Y209" i="1"/>
  <c r="Z209" i="1"/>
  <c r="AA209" i="1"/>
  <c r="AB209" i="1"/>
  <c r="AC209" i="1"/>
  <c r="AD209" i="1"/>
  <c r="AE209" i="1"/>
  <c r="AG209" i="1"/>
  <c r="AI209" i="1"/>
  <c r="AK209" i="1"/>
  <c r="AM209" i="1"/>
  <c r="AN209" i="1"/>
  <c r="C210" i="1"/>
  <c r="E210" i="1"/>
  <c r="H210" i="1"/>
  <c r="I210" i="1"/>
  <c r="J210" i="1"/>
  <c r="K210" i="1"/>
  <c r="L210" i="1"/>
  <c r="M210" i="1"/>
  <c r="S210" i="1"/>
  <c r="T210" i="1"/>
  <c r="U210" i="1"/>
  <c r="X210" i="1"/>
  <c r="Y210" i="1"/>
  <c r="Z210" i="1"/>
  <c r="AA210" i="1"/>
  <c r="AB210" i="1"/>
  <c r="AC210" i="1"/>
  <c r="AD210" i="1"/>
  <c r="AE210" i="1"/>
  <c r="AG210" i="1"/>
  <c r="AI210" i="1"/>
  <c r="AK210" i="1"/>
  <c r="AM210" i="1"/>
  <c r="AN210" i="1"/>
  <c r="C211" i="1"/>
  <c r="E211" i="1"/>
  <c r="H211" i="1"/>
  <c r="I211" i="1"/>
  <c r="J211" i="1"/>
  <c r="K211" i="1"/>
  <c r="L211" i="1"/>
  <c r="M211" i="1"/>
  <c r="S211" i="1"/>
  <c r="T211" i="1"/>
  <c r="U211" i="1"/>
  <c r="X211" i="1"/>
  <c r="Y211" i="1"/>
  <c r="Z211" i="1"/>
  <c r="AA211" i="1"/>
  <c r="AB211" i="1"/>
  <c r="AC211" i="1"/>
  <c r="AD211" i="1"/>
  <c r="AE211" i="1"/>
  <c r="AG211" i="1"/>
  <c r="AI211" i="1"/>
  <c r="AK211" i="1"/>
  <c r="AM211" i="1"/>
  <c r="AN211" i="1"/>
  <c r="C212" i="1"/>
  <c r="E212" i="1"/>
  <c r="H212" i="1"/>
  <c r="I212" i="1"/>
  <c r="J212" i="1"/>
  <c r="K212" i="1"/>
  <c r="L212" i="1"/>
  <c r="M212" i="1"/>
  <c r="S212" i="1"/>
  <c r="T212" i="1"/>
  <c r="U212" i="1"/>
  <c r="X212" i="1"/>
  <c r="Y212" i="1"/>
  <c r="Z212" i="1"/>
  <c r="AA212" i="1"/>
  <c r="AB212" i="1"/>
  <c r="AC212" i="1"/>
  <c r="AD212" i="1"/>
  <c r="AE212" i="1"/>
  <c r="AG212" i="1"/>
  <c r="AI212" i="1"/>
  <c r="AK212" i="1"/>
  <c r="AM212" i="1"/>
  <c r="AN212" i="1"/>
  <c r="C213" i="1"/>
  <c r="E213" i="1"/>
  <c r="H213" i="1"/>
  <c r="I213" i="1"/>
  <c r="J213" i="1"/>
  <c r="K213" i="1"/>
  <c r="L213" i="1"/>
  <c r="M213" i="1"/>
  <c r="S213" i="1"/>
  <c r="T213" i="1"/>
  <c r="U213" i="1"/>
  <c r="X213" i="1"/>
  <c r="Y213" i="1"/>
  <c r="Z213" i="1"/>
  <c r="AA213" i="1"/>
  <c r="AB213" i="1"/>
  <c r="AC213" i="1"/>
  <c r="AD213" i="1"/>
  <c r="AE213" i="1"/>
  <c r="AG213" i="1"/>
  <c r="AI213" i="1"/>
  <c r="AK213" i="1"/>
  <c r="AM213" i="1"/>
  <c r="AN213" i="1"/>
  <c r="C214" i="1"/>
  <c r="E214" i="1"/>
  <c r="H214" i="1"/>
  <c r="I214" i="1"/>
  <c r="J214" i="1"/>
  <c r="K214" i="1"/>
  <c r="L214" i="1"/>
  <c r="M214" i="1"/>
  <c r="S214" i="1"/>
  <c r="T214" i="1"/>
  <c r="U214" i="1"/>
  <c r="X214" i="1"/>
  <c r="Y214" i="1"/>
  <c r="Z214" i="1"/>
  <c r="AA214" i="1"/>
  <c r="AB214" i="1"/>
  <c r="AC214" i="1"/>
  <c r="AD214" i="1"/>
  <c r="AE214" i="1"/>
  <c r="AG214" i="1"/>
  <c r="AI214" i="1"/>
  <c r="AK214" i="1"/>
  <c r="AM214" i="1"/>
  <c r="AN214" i="1"/>
  <c r="C215" i="1"/>
  <c r="E215" i="1"/>
  <c r="H215" i="1"/>
  <c r="I215" i="1"/>
  <c r="J215" i="1"/>
  <c r="K215" i="1"/>
  <c r="L215" i="1"/>
  <c r="M215" i="1"/>
  <c r="S215" i="1"/>
  <c r="T215" i="1"/>
  <c r="U215" i="1"/>
  <c r="X215" i="1"/>
  <c r="Y215" i="1"/>
  <c r="Z215" i="1"/>
  <c r="AA215" i="1"/>
  <c r="AB215" i="1"/>
  <c r="AC215" i="1"/>
  <c r="AD215" i="1"/>
  <c r="AE215" i="1"/>
  <c r="AG215" i="1"/>
  <c r="AI215" i="1"/>
  <c r="AK215" i="1"/>
  <c r="AM215" i="1"/>
  <c r="AN215" i="1"/>
  <c r="C216" i="1"/>
  <c r="E216" i="1"/>
  <c r="H216" i="1"/>
  <c r="I216" i="1"/>
  <c r="J216" i="1"/>
  <c r="K216" i="1"/>
  <c r="L216" i="1"/>
  <c r="M216" i="1"/>
  <c r="S216" i="1"/>
  <c r="T216" i="1"/>
  <c r="U216" i="1"/>
  <c r="X216" i="1"/>
  <c r="Y216" i="1"/>
  <c r="Z216" i="1"/>
  <c r="AA216" i="1"/>
  <c r="AB216" i="1"/>
  <c r="AC216" i="1"/>
  <c r="AD216" i="1"/>
  <c r="AE216" i="1"/>
  <c r="AG216" i="1"/>
  <c r="AI216" i="1"/>
  <c r="AK216" i="1"/>
  <c r="AM216" i="1"/>
  <c r="AN216" i="1"/>
  <c r="C217" i="1"/>
  <c r="E217" i="1"/>
  <c r="H217" i="1"/>
  <c r="I217" i="1"/>
  <c r="J217" i="1"/>
  <c r="K217" i="1"/>
  <c r="L217" i="1"/>
  <c r="M217" i="1"/>
  <c r="S217" i="1"/>
  <c r="T217" i="1"/>
  <c r="U217" i="1"/>
  <c r="X217" i="1"/>
  <c r="Y217" i="1"/>
  <c r="Z217" i="1"/>
  <c r="AA217" i="1"/>
  <c r="AB217" i="1"/>
  <c r="AC217" i="1"/>
  <c r="AD217" i="1"/>
  <c r="AE217" i="1"/>
  <c r="AG217" i="1"/>
  <c r="AI217" i="1"/>
  <c r="AK217" i="1"/>
  <c r="AM217" i="1"/>
  <c r="AN217" i="1"/>
  <c r="C218" i="1"/>
  <c r="E218" i="1"/>
  <c r="H218" i="1"/>
  <c r="I218" i="1"/>
  <c r="J218" i="1"/>
  <c r="K218" i="1"/>
  <c r="L218" i="1"/>
  <c r="M218" i="1"/>
  <c r="S218" i="1"/>
  <c r="T218" i="1"/>
  <c r="U218" i="1"/>
  <c r="X218" i="1"/>
  <c r="Y218" i="1"/>
  <c r="Z218" i="1"/>
  <c r="AA218" i="1"/>
  <c r="AB218" i="1"/>
  <c r="AC218" i="1"/>
  <c r="AD218" i="1"/>
  <c r="AE218" i="1"/>
  <c r="AG218" i="1"/>
  <c r="AI218" i="1"/>
  <c r="AK218" i="1"/>
  <c r="AM218" i="1"/>
  <c r="AN218" i="1"/>
  <c r="C219" i="1"/>
  <c r="E219" i="1"/>
  <c r="H219" i="1"/>
  <c r="I219" i="1"/>
  <c r="J219" i="1"/>
  <c r="K219" i="1"/>
  <c r="L219" i="1"/>
  <c r="M219" i="1"/>
  <c r="S219" i="1"/>
  <c r="T219" i="1"/>
  <c r="U219" i="1"/>
  <c r="X219" i="1"/>
  <c r="Y219" i="1"/>
  <c r="Z219" i="1"/>
  <c r="AA219" i="1"/>
  <c r="AB219" i="1"/>
  <c r="AC219" i="1"/>
  <c r="AD219" i="1"/>
  <c r="AE219" i="1"/>
  <c r="AG219" i="1"/>
  <c r="AI219" i="1"/>
  <c r="AK219" i="1"/>
  <c r="AM219" i="1"/>
  <c r="AN219" i="1"/>
  <c r="C220" i="1"/>
  <c r="E220" i="1"/>
  <c r="H220" i="1"/>
  <c r="I220" i="1"/>
  <c r="J220" i="1"/>
  <c r="K220" i="1"/>
  <c r="L220" i="1"/>
  <c r="M220" i="1"/>
  <c r="S220" i="1"/>
  <c r="T220" i="1"/>
  <c r="U220" i="1"/>
  <c r="X220" i="1"/>
  <c r="Y220" i="1"/>
  <c r="Z220" i="1"/>
  <c r="AA220" i="1"/>
  <c r="AB220" i="1"/>
  <c r="AC220" i="1"/>
  <c r="AD220" i="1"/>
  <c r="AE220" i="1"/>
  <c r="AG220" i="1"/>
  <c r="AI220" i="1"/>
  <c r="AK220" i="1"/>
  <c r="AM220" i="1"/>
  <c r="AN220" i="1"/>
  <c r="C221" i="1"/>
  <c r="E221" i="1"/>
  <c r="H221" i="1"/>
  <c r="I221" i="1"/>
  <c r="J221" i="1"/>
  <c r="K221" i="1"/>
  <c r="L221" i="1"/>
  <c r="M221" i="1"/>
  <c r="S221" i="1"/>
  <c r="T221" i="1"/>
  <c r="U221" i="1"/>
  <c r="X221" i="1"/>
  <c r="Y221" i="1"/>
  <c r="Z221" i="1"/>
  <c r="AA221" i="1"/>
  <c r="AB221" i="1"/>
  <c r="AC221" i="1"/>
  <c r="AD221" i="1"/>
  <c r="AE221" i="1"/>
  <c r="AG221" i="1"/>
  <c r="AI221" i="1"/>
  <c r="AK221" i="1"/>
  <c r="AM221" i="1"/>
  <c r="AN221" i="1"/>
  <c r="C222" i="1"/>
  <c r="E222" i="1"/>
  <c r="H222" i="1"/>
  <c r="I222" i="1"/>
  <c r="J222" i="1"/>
  <c r="K222" i="1"/>
  <c r="L222" i="1"/>
  <c r="M222" i="1"/>
  <c r="S222" i="1"/>
  <c r="T222" i="1"/>
  <c r="U222" i="1"/>
  <c r="X222" i="1"/>
  <c r="Y222" i="1"/>
  <c r="Z222" i="1"/>
  <c r="AA222" i="1"/>
  <c r="AB222" i="1"/>
  <c r="AC222" i="1"/>
  <c r="AD222" i="1"/>
  <c r="AE222" i="1"/>
  <c r="AG222" i="1"/>
  <c r="AI222" i="1"/>
  <c r="AK222" i="1"/>
  <c r="AM222" i="1"/>
  <c r="AN222" i="1"/>
  <c r="C223" i="1"/>
  <c r="E223" i="1"/>
  <c r="H223" i="1"/>
  <c r="I223" i="1"/>
  <c r="J223" i="1"/>
  <c r="K223" i="1"/>
  <c r="L223" i="1"/>
  <c r="M223" i="1"/>
  <c r="S223" i="1"/>
  <c r="T223" i="1"/>
  <c r="U223" i="1"/>
  <c r="X223" i="1"/>
  <c r="Y223" i="1"/>
  <c r="Z223" i="1"/>
  <c r="AA223" i="1"/>
  <c r="AB223" i="1"/>
  <c r="AC223" i="1"/>
  <c r="AD223" i="1"/>
  <c r="AE223" i="1"/>
  <c r="AG223" i="1"/>
  <c r="AI223" i="1"/>
  <c r="AK223" i="1"/>
  <c r="AM223" i="1"/>
  <c r="AN223" i="1"/>
  <c r="C224" i="1"/>
  <c r="E224" i="1"/>
  <c r="H224" i="1"/>
  <c r="I224" i="1"/>
  <c r="J224" i="1"/>
  <c r="K224" i="1"/>
  <c r="L224" i="1"/>
  <c r="M224" i="1"/>
  <c r="S224" i="1"/>
  <c r="T224" i="1"/>
  <c r="U224" i="1"/>
  <c r="X224" i="1"/>
  <c r="Y224" i="1"/>
  <c r="Z224" i="1"/>
  <c r="AA224" i="1"/>
  <c r="AB224" i="1"/>
  <c r="AC224" i="1"/>
  <c r="AD224" i="1"/>
  <c r="AE224" i="1"/>
  <c r="AG224" i="1"/>
  <c r="AI224" i="1"/>
  <c r="AK224" i="1"/>
  <c r="AM224" i="1"/>
  <c r="AN224" i="1"/>
  <c r="C225" i="1"/>
  <c r="E225" i="1"/>
  <c r="H225" i="1"/>
  <c r="I225" i="1"/>
  <c r="J225" i="1"/>
  <c r="K225" i="1"/>
  <c r="L225" i="1"/>
  <c r="M225" i="1"/>
  <c r="S225" i="1"/>
  <c r="T225" i="1"/>
  <c r="U225" i="1"/>
  <c r="X225" i="1"/>
  <c r="Y225" i="1"/>
  <c r="Z225" i="1"/>
  <c r="AA225" i="1"/>
  <c r="AB225" i="1"/>
  <c r="AC225" i="1"/>
  <c r="AD225" i="1"/>
  <c r="AE225" i="1"/>
  <c r="AG225" i="1"/>
  <c r="AI225" i="1"/>
  <c r="AK225" i="1"/>
  <c r="AM225" i="1"/>
  <c r="AN225" i="1"/>
  <c r="C226" i="1"/>
  <c r="E226" i="1"/>
  <c r="H226" i="1"/>
  <c r="I226" i="1"/>
  <c r="J226" i="1"/>
  <c r="K226" i="1"/>
  <c r="L226" i="1"/>
  <c r="M226" i="1"/>
  <c r="S226" i="1"/>
  <c r="T226" i="1"/>
  <c r="U226" i="1"/>
  <c r="X226" i="1"/>
  <c r="Y226" i="1"/>
  <c r="Z226" i="1"/>
  <c r="AA226" i="1"/>
  <c r="AB226" i="1"/>
  <c r="AC226" i="1"/>
  <c r="AD226" i="1"/>
  <c r="AE226" i="1"/>
  <c r="AG226" i="1"/>
  <c r="AI226" i="1"/>
  <c r="AK226" i="1"/>
  <c r="AM226" i="1"/>
  <c r="AN226" i="1"/>
  <c r="C227" i="1"/>
  <c r="E227" i="1"/>
  <c r="H227" i="1"/>
  <c r="I227" i="1"/>
  <c r="J227" i="1"/>
  <c r="K227" i="1"/>
  <c r="L227" i="1"/>
  <c r="M227" i="1"/>
  <c r="S227" i="1"/>
  <c r="T227" i="1"/>
  <c r="U227" i="1"/>
  <c r="X227" i="1"/>
  <c r="Y227" i="1"/>
  <c r="Z227" i="1"/>
  <c r="AA227" i="1"/>
  <c r="AB227" i="1"/>
  <c r="AC227" i="1"/>
  <c r="AD227" i="1"/>
  <c r="AE227" i="1"/>
  <c r="AG227" i="1"/>
  <c r="AI227" i="1"/>
  <c r="AK227" i="1"/>
  <c r="AM227" i="1"/>
  <c r="AN227" i="1"/>
  <c r="C228" i="1"/>
  <c r="E228" i="1"/>
  <c r="H228" i="1"/>
  <c r="I228" i="1"/>
  <c r="J228" i="1"/>
  <c r="K228" i="1"/>
  <c r="L228" i="1"/>
  <c r="M228" i="1"/>
  <c r="S228" i="1"/>
  <c r="T228" i="1"/>
  <c r="U228" i="1"/>
  <c r="X228" i="1"/>
  <c r="Y228" i="1"/>
  <c r="Z228" i="1"/>
  <c r="AA228" i="1"/>
  <c r="AB228" i="1"/>
  <c r="AC228" i="1"/>
  <c r="AD228" i="1"/>
  <c r="AE228" i="1"/>
  <c r="AG228" i="1"/>
  <c r="AI228" i="1"/>
  <c r="AK228" i="1"/>
  <c r="AM228" i="1"/>
  <c r="AN228" i="1"/>
  <c r="C229" i="1"/>
  <c r="E229" i="1"/>
  <c r="H229" i="1"/>
  <c r="I229" i="1"/>
  <c r="J229" i="1"/>
  <c r="K229" i="1"/>
  <c r="L229" i="1"/>
  <c r="M229" i="1"/>
  <c r="S229" i="1"/>
  <c r="T229" i="1"/>
  <c r="U229" i="1"/>
  <c r="X229" i="1"/>
  <c r="Y229" i="1"/>
  <c r="Z229" i="1"/>
  <c r="AA229" i="1"/>
  <c r="AB229" i="1"/>
  <c r="AC229" i="1"/>
  <c r="AD229" i="1"/>
  <c r="AE229" i="1"/>
  <c r="AG229" i="1"/>
  <c r="AI229" i="1"/>
  <c r="AK229" i="1"/>
  <c r="AM229" i="1"/>
  <c r="AN229" i="1"/>
  <c r="C230" i="1"/>
  <c r="E230" i="1"/>
  <c r="H230" i="1"/>
  <c r="I230" i="1"/>
  <c r="J230" i="1"/>
  <c r="K230" i="1"/>
  <c r="L230" i="1"/>
  <c r="M230" i="1"/>
  <c r="S230" i="1"/>
  <c r="T230" i="1"/>
  <c r="U230" i="1"/>
  <c r="X230" i="1"/>
  <c r="Y230" i="1"/>
  <c r="Z230" i="1"/>
  <c r="AA230" i="1"/>
  <c r="AB230" i="1"/>
  <c r="AC230" i="1"/>
  <c r="AD230" i="1"/>
  <c r="AE230" i="1"/>
  <c r="AG230" i="1"/>
  <c r="AI230" i="1"/>
  <c r="AK230" i="1"/>
  <c r="AM230" i="1"/>
  <c r="AN230" i="1"/>
  <c r="C231" i="1"/>
  <c r="E231" i="1"/>
  <c r="H231" i="1"/>
  <c r="I231" i="1"/>
  <c r="J231" i="1"/>
  <c r="K231" i="1"/>
  <c r="L231" i="1"/>
  <c r="M231" i="1"/>
  <c r="S231" i="1"/>
  <c r="T231" i="1"/>
  <c r="U231" i="1"/>
  <c r="X231" i="1"/>
  <c r="Y231" i="1"/>
  <c r="Z231" i="1"/>
  <c r="AA231" i="1"/>
  <c r="AB231" i="1"/>
  <c r="AC231" i="1"/>
  <c r="AD231" i="1"/>
  <c r="AE231" i="1"/>
  <c r="AG231" i="1"/>
  <c r="AI231" i="1"/>
  <c r="AK231" i="1"/>
  <c r="AM231" i="1"/>
  <c r="AN231" i="1"/>
  <c r="C232" i="1"/>
  <c r="E232" i="1"/>
  <c r="H232" i="1"/>
  <c r="I232" i="1"/>
  <c r="J232" i="1"/>
  <c r="K232" i="1"/>
  <c r="L232" i="1"/>
  <c r="M232" i="1"/>
  <c r="S232" i="1"/>
  <c r="T232" i="1"/>
  <c r="U232" i="1"/>
  <c r="X232" i="1"/>
  <c r="Y232" i="1"/>
  <c r="Z232" i="1"/>
  <c r="AA232" i="1"/>
  <c r="AB232" i="1"/>
  <c r="AC232" i="1"/>
  <c r="AD232" i="1"/>
  <c r="AE232" i="1"/>
  <c r="AG232" i="1"/>
  <c r="AI232" i="1"/>
  <c r="AK232" i="1"/>
  <c r="AM232" i="1"/>
  <c r="AN232" i="1"/>
  <c r="C233" i="1"/>
  <c r="E233" i="1"/>
  <c r="H233" i="1"/>
  <c r="I233" i="1"/>
  <c r="J233" i="1"/>
  <c r="K233" i="1"/>
  <c r="L233" i="1"/>
  <c r="M233" i="1"/>
  <c r="S233" i="1"/>
  <c r="T233" i="1"/>
  <c r="U233" i="1"/>
  <c r="X233" i="1"/>
  <c r="Y233" i="1"/>
  <c r="Z233" i="1"/>
  <c r="AA233" i="1"/>
  <c r="AB233" i="1"/>
  <c r="AC233" i="1"/>
  <c r="AD233" i="1"/>
  <c r="AE233" i="1"/>
  <c r="AG233" i="1"/>
  <c r="AI233" i="1"/>
  <c r="AK233" i="1"/>
  <c r="AM233" i="1"/>
  <c r="AN233" i="1"/>
  <c r="C234" i="1"/>
  <c r="E234" i="1"/>
  <c r="H234" i="1"/>
  <c r="I234" i="1"/>
  <c r="J234" i="1"/>
  <c r="K234" i="1"/>
  <c r="L234" i="1"/>
  <c r="M234" i="1"/>
  <c r="S234" i="1"/>
  <c r="T234" i="1"/>
  <c r="U234" i="1"/>
  <c r="X234" i="1"/>
  <c r="Y234" i="1"/>
  <c r="Z234" i="1"/>
  <c r="AA234" i="1"/>
  <c r="AB234" i="1"/>
  <c r="AC234" i="1"/>
  <c r="AD234" i="1"/>
  <c r="AE234" i="1"/>
  <c r="AG234" i="1"/>
  <c r="AI234" i="1"/>
  <c r="AK234" i="1"/>
  <c r="AM234" i="1"/>
  <c r="AN234" i="1"/>
  <c r="C235" i="1"/>
  <c r="E235" i="1"/>
  <c r="H235" i="1"/>
  <c r="I235" i="1"/>
  <c r="J235" i="1"/>
  <c r="K235" i="1"/>
  <c r="L235" i="1"/>
  <c r="M235" i="1"/>
  <c r="S235" i="1"/>
  <c r="T235" i="1"/>
  <c r="U235" i="1"/>
  <c r="X235" i="1"/>
  <c r="Y235" i="1"/>
  <c r="Z235" i="1"/>
  <c r="AA235" i="1"/>
  <c r="AB235" i="1"/>
  <c r="AC235" i="1"/>
  <c r="AD235" i="1"/>
  <c r="AE235" i="1"/>
  <c r="AG235" i="1"/>
  <c r="AI235" i="1"/>
  <c r="AK235" i="1"/>
  <c r="AM235" i="1"/>
  <c r="AN235" i="1"/>
  <c r="C236" i="1"/>
  <c r="E236" i="1"/>
  <c r="H236" i="1"/>
  <c r="I236" i="1"/>
  <c r="J236" i="1"/>
  <c r="K236" i="1"/>
  <c r="L236" i="1"/>
  <c r="M236" i="1"/>
  <c r="S236" i="1"/>
  <c r="T236" i="1"/>
  <c r="U236" i="1"/>
  <c r="X236" i="1"/>
  <c r="Y236" i="1"/>
  <c r="Z236" i="1"/>
  <c r="AA236" i="1"/>
  <c r="AB236" i="1"/>
  <c r="AC236" i="1"/>
  <c r="AD236" i="1"/>
  <c r="AE236" i="1"/>
  <c r="AG236" i="1"/>
  <c r="AI236" i="1"/>
  <c r="AK236" i="1"/>
  <c r="AM236" i="1"/>
  <c r="AN236" i="1"/>
  <c r="C237" i="1"/>
  <c r="E237" i="1"/>
  <c r="H237" i="1"/>
  <c r="I237" i="1"/>
  <c r="J237" i="1"/>
  <c r="K237" i="1"/>
  <c r="L237" i="1"/>
  <c r="M237" i="1"/>
  <c r="S237" i="1"/>
  <c r="T237" i="1"/>
  <c r="U237" i="1"/>
  <c r="X237" i="1"/>
  <c r="Y237" i="1"/>
  <c r="Z237" i="1"/>
  <c r="AA237" i="1"/>
  <c r="AB237" i="1"/>
  <c r="AC237" i="1"/>
  <c r="AD237" i="1"/>
  <c r="AE237" i="1"/>
  <c r="AG237" i="1"/>
  <c r="AI237" i="1"/>
  <c r="AK237" i="1"/>
  <c r="AM237" i="1"/>
  <c r="AN237" i="1"/>
  <c r="C238" i="1"/>
  <c r="E238" i="1"/>
  <c r="H238" i="1"/>
  <c r="I238" i="1"/>
  <c r="J238" i="1"/>
  <c r="K238" i="1"/>
  <c r="L238" i="1"/>
  <c r="M238" i="1"/>
  <c r="S238" i="1"/>
  <c r="T238" i="1"/>
  <c r="U238" i="1"/>
  <c r="X238" i="1"/>
  <c r="Y238" i="1"/>
  <c r="Z238" i="1"/>
  <c r="AA238" i="1"/>
  <c r="AB238" i="1"/>
  <c r="AC238" i="1"/>
  <c r="AD238" i="1"/>
  <c r="AE238" i="1"/>
  <c r="AG238" i="1"/>
  <c r="AI238" i="1"/>
  <c r="AK238" i="1"/>
  <c r="AM238" i="1"/>
  <c r="AN238" i="1"/>
  <c r="C239" i="1"/>
  <c r="E239" i="1"/>
  <c r="H239" i="1"/>
  <c r="I239" i="1"/>
  <c r="J239" i="1"/>
  <c r="K239" i="1"/>
  <c r="L239" i="1"/>
  <c r="M239" i="1"/>
  <c r="S239" i="1"/>
  <c r="T239" i="1"/>
  <c r="U239" i="1"/>
  <c r="X239" i="1"/>
  <c r="Y239" i="1"/>
  <c r="Z239" i="1"/>
  <c r="AA239" i="1"/>
  <c r="AB239" i="1"/>
  <c r="AC239" i="1"/>
  <c r="AD239" i="1"/>
  <c r="AE239" i="1"/>
  <c r="AG239" i="1"/>
  <c r="AI239" i="1"/>
  <c r="AK239" i="1"/>
  <c r="AM239" i="1"/>
  <c r="AN239" i="1"/>
</calcChain>
</file>

<file path=xl/comments1.xml><?xml version="1.0" encoding="utf-8"?>
<comments xmlns="http://schemas.openxmlformats.org/spreadsheetml/2006/main">
  <authors>
    <author>Microsoft Office User</author>
  </authors>
  <commentList>
    <comment ref="Q34" authorId="0" shape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https://www.lmnoeng.com/Flow/GasViscosity.php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G19" authorId="0" shape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Based on 110 distillate temp</t>
        </r>
      </text>
    </comment>
    <comment ref="H19" authorId="0" shape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Based on 140 C assumption for column bottom. Subject to change</t>
        </r>
      </text>
    </comment>
    <comment ref="L19" authorId="0" shape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Note that this Cp value is for Cumene at 600F, not 600K which is the Cp for the other components</t>
        </r>
      </text>
    </comment>
    <comment ref="F32" authorId="0" shapeId="0">
      <text>
        <r>
          <rPr>
            <b/>
            <sz val="10"/>
            <color indexed="81"/>
            <rFont val="Calibri"/>
            <family val="2"/>
          </rPr>
          <t xml:space="preserve">Microsoft Office User:
Temp. came from PFR model
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P20" authorId="0" shape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Note that this Cp value is for Cumene at 600F, not 600K which is the Cp for the other components</t>
        </r>
      </text>
    </comment>
    <comment ref="J23" authorId="0" shape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Based on 110 distillate temp</t>
        </r>
      </text>
    </comment>
    <comment ref="K23" authorId="0" shape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Based on 140 C assumption for column bottom. Subject to change</t>
        </r>
      </text>
    </comment>
  </commentList>
</comments>
</file>

<file path=xl/sharedStrings.xml><?xml version="1.0" encoding="utf-8"?>
<sst xmlns="http://schemas.openxmlformats.org/spreadsheetml/2006/main" count="675" uniqueCount="303">
  <si>
    <t>B + P -&gt; C</t>
  </si>
  <si>
    <t>Gas Phase</t>
  </si>
  <si>
    <t>Rate (kmol/s m3 ) = 950 exp(-97,500/RT)PBz Pressure in kPa</t>
  </si>
  <si>
    <t>Produce 300 te/d of cumene with 40% conversion</t>
  </si>
  <si>
    <t>MWb</t>
  </si>
  <si>
    <t>g/mol</t>
  </si>
  <si>
    <t>MWc</t>
  </si>
  <si>
    <t>MWp</t>
  </si>
  <si>
    <t>Production rate</t>
  </si>
  <si>
    <t>tonne/day</t>
  </si>
  <si>
    <t>mol/day</t>
  </si>
  <si>
    <t>mol/s</t>
  </si>
  <si>
    <t>kmol/s</t>
  </si>
  <si>
    <t>Pr = nbo*fb*V/tau</t>
  </si>
  <si>
    <t>T</t>
  </si>
  <si>
    <t>K</t>
  </si>
  <si>
    <t>k = Aexp(-Ea/RT)</t>
  </si>
  <si>
    <t>A</t>
  </si>
  <si>
    <t>kmol/s/m^3/kPa</t>
  </si>
  <si>
    <t>Ea/R</t>
  </si>
  <si>
    <t>check units for R</t>
  </si>
  <si>
    <t>k</t>
  </si>
  <si>
    <t>dV/Fao = dfa/(-ra)</t>
  </si>
  <si>
    <t>f</t>
  </si>
  <si>
    <t>Fbo</t>
  </si>
  <si>
    <t>fbo</t>
  </si>
  <si>
    <t xml:space="preserve">fb </t>
  </si>
  <si>
    <t>Fpo</t>
  </si>
  <si>
    <t>V = Fao*INT(dfa/(-ra))</t>
  </si>
  <si>
    <t>Pbz = nb*R*T/V</t>
  </si>
  <si>
    <t>n</t>
  </si>
  <si>
    <t>L</t>
  </si>
  <si>
    <t>P</t>
  </si>
  <si>
    <t>B</t>
  </si>
  <si>
    <t>C</t>
  </si>
  <si>
    <t>Stoich Table (F)</t>
  </si>
  <si>
    <t>Initial</t>
  </si>
  <si>
    <t>Change</t>
  </si>
  <si>
    <t>Final</t>
  </si>
  <si>
    <t>Fco</t>
  </si>
  <si>
    <t>-Fbo*fb</t>
  </si>
  <si>
    <t>Fbo(1-fb)</t>
  </si>
  <si>
    <t>Fpo - Fbo*fb</t>
  </si>
  <si>
    <t>Fbo*fb</t>
  </si>
  <si>
    <t>Fbo*Fb</t>
  </si>
  <si>
    <t>Total</t>
  </si>
  <si>
    <t>Fbo*Fpo+Fco</t>
  </si>
  <si>
    <t>Fbo+Fpo - Fbo*fb</t>
  </si>
  <si>
    <t>*fb</t>
  </si>
  <si>
    <t>P_tot</t>
  </si>
  <si>
    <t>kPa</t>
  </si>
  <si>
    <t>V = Fao*INT(dfa/(k*Pbz))</t>
  </si>
  <si>
    <t>Pb/Ptot = Fb*R*T/(Ftot*R*T)</t>
  </si>
  <si>
    <t>Pb = Ptot*(Fb/Ftot)</t>
  </si>
  <si>
    <t>N</t>
  </si>
  <si>
    <t>Pb = Ptot*Fbo(1-fb)/(Fbo+Fpo - Fbo*fb)</t>
  </si>
  <si>
    <t>fb</t>
  </si>
  <si>
    <t>Pb</t>
  </si>
  <si>
    <t>Fb</t>
  </si>
  <si>
    <t>Fp</t>
  </si>
  <si>
    <t>Fc</t>
  </si>
  <si>
    <t>Ft</t>
  </si>
  <si>
    <t>V</t>
  </si>
  <si>
    <t>Acs</t>
  </si>
  <si>
    <t>m^3</t>
  </si>
  <si>
    <t>m</t>
  </si>
  <si>
    <t>OR</t>
  </si>
  <si>
    <t>dfa/dV = (-ra)/Fao</t>
  </si>
  <si>
    <t>dfa/dx = (-ra)*Acs/Fao</t>
  </si>
  <si>
    <t>kb</t>
  </si>
  <si>
    <t>Important Equations</t>
  </si>
  <si>
    <t>(-rA)</t>
  </si>
  <si>
    <t>dfb/dx</t>
  </si>
  <si>
    <t>kg/s</t>
  </si>
  <si>
    <t>D</t>
  </si>
  <si>
    <t>fb_desired</t>
  </si>
  <si>
    <t>fb_actual</t>
  </si>
  <si>
    <t>∆fb</t>
  </si>
  <si>
    <t>Goal Seek Volume</t>
  </si>
  <si>
    <t>kmol/h</t>
  </si>
  <si>
    <t>Conditions:</t>
  </si>
  <si>
    <t>Isobaric (the model does not take into account overall pressure loss in reactor)</t>
  </si>
  <si>
    <t>Isothermal (assumes cooling coil keeps temp constant along reactor)</t>
  </si>
  <si>
    <t>dP/dx</t>
  </si>
  <si>
    <t>Re</t>
  </si>
  <si>
    <t>(-rb)</t>
  </si>
  <si>
    <t>rho(kg/m^3)</t>
  </si>
  <si>
    <t>Pressure Loss</t>
  </si>
  <si>
    <t>No Pressure Loss</t>
  </si>
  <si>
    <t>P_o</t>
  </si>
  <si>
    <t>q (m^3/s)</t>
  </si>
  <si>
    <t>u (m/s)</t>
  </si>
  <si>
    <t>M_av (kg/mol)</t>
  </si>
  <si>
    <t>mu</t>
  </si>
  <si>
    <t>Pa s</t>
  </si>
  <si>
    <t>mu (Pa-s)</t>
  </si>
  <si>
    <t>f =  0.0014  + 0.125*Re^-0.32</t>
  </si>
  <si>
    <t>dP/dx = -32*f*rho*q^2/pi^2/D^5</t>
  </si>
  <si>
    <t>Energy Balance</t>
  </si>
  <si>
    <t>dT/dfb</t>
  </si>
  <si>
    <t>Ftot*cp*dT = (-∆H)(Fbo*dfb)</t>
  </si>
  <si>
    <t>dT/dfb = (-∆H)/(Ftot*cp_av)</t>
  </si>
  <si>
    <t>Cp_av</t>
  </si>
  <si>
    <t>RESULTS</t>
  </si>
  <si>
    <t>Adiabatic</t>
  </si>
  <si>
    <t>Inlet fb</t>
  </si>
  <si>
    <t>Outlet fb</t>
  </si>
  <si>
    <t>Inlet Ptot</t>
  </si>
  <si>
    <t>Outlet Ptot</t>
  </si>
  <si>
    <t>Inlet Pb</t>
  </si>
  <si>
    <t>Outlet Pb</t>
  </si>
  <si>
    <t>Inlet T</t>
  </si>
  <si>
    <t>Outlet T</t>
  </si>
  <si>
    <t>Length</t>
  </si>
  <si>
    <t>L/D</t>
  </si>
  <si>
    <t xml:space="preserve">V = piD^2/4*L = pi*(L/fact)^2/4*L </t>
  </si>
  <si>
    <t xml:space="preserve">L/D </t>
  </si>
  <si>
    <t>L = (4*V*fact^2/(pi))^(1/3)</t>
  </si>
  <si>
    <t>Volume</t>
  </si>
  <si>
    <t>Benzene</t>
  </si>
  <si>
    <t>Properties</t>
  </si>
  <si>
    <t>Propene</t>
  </si>
  <si>
    <t>cp [600K] J/mol-K</t>
  </si>
  <si>
    <t>Cumene [600ºF]</t>
  </si>
  <si>
    <t>hf [kJ/mol]</t>
  </si>
  <si>
    <t>∆h_r</t>
  </si>
  <si>
    <t>L [m]</t>
  </si>
  <si>
    <t>T [K]</t>
  </si>
  <si>
    <t>dT/dfb [K]</t>
  </si>
  <si>
    <t>dT/dfb = (-∆H)Fbo(Ftcp)</t>
  </si>
  <si>
    <t>Ft*cp [J/K-s]</t>
  </si>
  <si>
    <t>dfb/dx [1/m]</t>
  </si>
  <si>
    <t>P [Pa]</t>
  </si>
  <si>
    <t>(-rA) [mol/s/m^3]</t>
  </si>
  <si>
    <t>Fb [mol/s]</t>
  </si>
  <si>
    <t>Fp [mol/s]</t>
  </si>
  <si>
    <t>Fc [mol/s]</t>
  </si>
  <si>
    <t>Ft [mol/s]</t>
  </si>
  <si>
    <t>Pb [Pa]</t>
  </si>
  <si>
    <t>Tmax</t>
  </si>
  <si>
    <t>Pmax</t>
  </si>
  <si>
    <t>Adiabatic no P</t>
  </si>
  <si>
    <t>fbout</t>
  </si>
  <si>
    <t>fbin</t>
  </si>
  <si>
    <t>Isothermal no P</t>
  </si>
  <si>
    <t>Isothermal P</t>
  </si>
  <si>
    <t>Adiabatic P</t>
  </si>
  <si>
    <t>Initial fa</t>
  </si>
  <si>
    <t>Final fa</t>
  </si>
  <si>
    <t>T K</t>
  </si>
  <si>
    <t>P kPa</t>
  </si>
  <si>
    <t>MaxT</t>
  </si>
  <si>
    <t>Preliminary Mass &amp; Energy Balance</t>
  </si>
  <si>
    <t>Mass balance</t>
  </si>
  <si>
    <t>Note: In this case, assume S7 is a waste stream. NOT a recycle stream</t>
  </si>
  <si>
    <t>All in mol/s</t>
  </si>
  <si>
    <t>S1</t>
  </si>
  <si>
    <t>S2</t>
  </si>
  <si>
    <t>S3</t>
  </si>
  <si>
    <t>S4</t>
  </si>
  <si>
    <t>S5</t>
  </si>
  <si>
    <t xml:space="preserve">S6 </t>
  </si>
  <si>
    <t>S7</t>
  </si>
  <si>
    <t>Benzene (kmol/sec)</t>
  </si>
  <si>
    <t>Propene (kmol/sec)</t>
  </si>
  <si>
    <t>Cumene (kmol/sec)</t>
  </si>
  <si>
    <t>Assume that Benzene is the limiting reactant</t>
  </si>
  <si>
    <t xml:space="preserve">For Benzene, S1 equals S5 / 0.4 (since there is a 40% conversion) </t>
  </si>
  <si>
    <t>Production</t>
  </si>
  <si>
    <t>Desired production (kmole/sec)</t>
  </si>
  <si>
    <t>Actual production</t>
  </si>
  <si>
    <t>∆ production</t>
  </si>
  <si>
    <t>Goal seek</t>
  </si>
  <si>
    <t>Conversion:</t>
  </si>
  <si>
    <t>Assuming a product (bottoms) composition of:</t>
  </si>
  <si>
    <t>Distillate Comp</t>
  </si>
  <si>
    <t>Ratio of Benz:Prop in S1:S2</t>
  </si>
  <si>
    <t>Tref</t>
  </si>
  <si>
    <t>Cumene</t>
  </si>
  <si>
    <t>Cp values (J/mol*K)</t>
  </si>
  <si>
    <t>h,formation (kJ/mol)</t>
  </si>
  <si>
    <t>Energy balance</t>
  </si>
  <si>
    <t>Assuming that all the components are gases and that there are isothermal conditions</t>
  </si>
  <si>
    <t>All in kJ</t>
  </si>
  <si>
    <t>Propyne</t>
  </si>
  <si>
    <t>S6</t>
  </si>
  <si>
    <t>Temp. (Kelvin)</t>
  </si>
  <si>
    <t>Pressure (kPa)</t>
  </si>
  <si>
    <t>H,benzene</t>
  </si>
  <si>
    <t>H,propene</t>
  </si>
  <si>
    <t>Mol% Table</t>
  </si>
  <si>
    <t>H,cumene</t>
  </si>
  <si>
    <t>Distillate (Recycle)</t>
  </si>
  <si>
    <t>S7 Product</t>
  </si>
  <si>
    <t>Total Energy</t>
  </si>
  <si>
    <t>Mass &amp; Energy Balance with no recycle feed BUT acccounting for temperature differences across the PFR</t>
  </si>
  <si>
    <t>Note: Mass balance is the same as the first conditions</t>
  </si>
  <si>
    <t>Validations</t>
  </si>
  <si>
    <t>S5 = S6 + S7</t>
  </si>
  <si>
    <t>S6+S7</t>
  </si>
  <si>
    <t>∆</t>
  </si>
  <si>
    <t>SOLVER MODEL</t>
  </si>
  <si>
    <t>S6 Recycle</t>
  </si>
  <si>
    <t>GOAL SEEK ∆PRODUCTION WITH BENZENE IN S1</t>
  </si>
  <si>
    <t>Mole % Propene in S5</t>
  </si>
  <si>
    <t>Single Pass conversion</t>
  </si>
  <si>
    <t>Mole % cum S7</t>
  </si>
  <si>
    <t>Actual mol % cum S7</t>
  </si>
  <si>
    <t>S5 = S6  + S7</t>
  </si>
  <si>
    <t>S4 = S3 + S6</t>
  </si>
  <si>
    <t xml:space="preserve">S5  </t>
  </si>
  <si>
    <t xml:space="preserve">S4  </t>
  </si>
  <si>
    <t>S3+S6</t>
  </si>
  <si>
    <t>Cumene S4</t>
  </si>
  <si>
    <t>∆Cumene S4</t>
  </si>
  <si>
    <t xml:space="preserve">GOAL SEEK with </t>
  </si>
  <si>
    <t>Mass balance plan: Based on Distillation stream compositions, determine feed flowrates for recycle and most importantly the feed streams</t>
  </si>
  <si>
    <t>Assumptions</t>
  </si>
  <si>
    <t>Macro:</t>
  </si>
  <si>
    <t>Max of 20 Iterations (Required so GoalSeek won't go on forever)</t>
  </si>
  <si>
    <t>L/D ratio of 3</t>
  </si>
  <si>
    <t>Incorporating Recycle</t>
  </si>
  <si>
    <t>Ideal Gases</t>
  </si>
  <si>
    <t>Min Pb</t>
  </si>
  <si>
    <t>Calculations performed including and excluding pressure drops along the reactor</t>
  </si>
  <si>
    <t>Calculations performed for both recycle and non-recycle PFRs</t>
  </si>
  <si>
    <t>(-rb) [mol/m^3/s]</t>
  </si>
  <si>
    <t>Constant viscosity</t>
  </si>
  <si>
    <t>Constant Heat Capacities</t>
  </si>
  <si>
    <t>Benzene (mol/sec)</t>
  </si>
  <si>
    <t>Propene (mol/sec)</t>
  </si>
  <si>
    <t>Cumene (mol/sec)</t>
  </si>
  <si>
    <t>Pb kPa</t>
  </si>
  <si>
    <t>Cumene S3</t>
  </si>
  <si>
    <t>Act. Cumene S3</t>
  </si>
  <si>
    <t>∆Cumene S3 (GOAL SEEK)</t>
  </si>
  <si>
    <t>x_f</t>
  </si>
  <si>
    <t>x_d</t>
  </si>
  <si>
    <t>x_b</t>
  </si>
  <si>
    <t>Distillation Data</t>
  </si>
  <si>
    <t>F</t>
  </si>
  <si>
    <t>Temp. Range K</t>
  </si>
  <si>
    <t>333.4 - 373.5</t>
  </si>
  <si>
    <t>343.17 - 426.52</t>
  </si>
  <si>
    <t>log(10)P = A-(B/(T+C))</t>
  </si>
  <si>
    <t>P = 10^(A-(B/(T+C)))</t>
  </si>
  <si>
    <t>Pressure</t>
  </si>
  <si>
    <t>bar</t>
  </si>
  <si>
    <t>Approx Temp. Range</t>
  </si>
  <si>
    <t>x*psat = y*P</t>
  </si>
  <si>
    <t>Tboil Benz</t>
  </si>
  <si>
    <t>K = y/x = psat/P</t>
  </si>
  <si>
    <t>Tboil Cumene</t>
  </si>
  <si>
    <t>Relative Volatility = K_LK/K_HK</t>
  </si>
  <si>
    <t>Rel_vol = sqrt(Relvol_bottom*Relvol_top)</t>
  </si>
  <si>
    <t>T (K)</t>
  </si>
  <si>
    <t>Psat_benz</t>
  </si>
  <si>
    <t>Psat_cumene</t>
  </si>
  <si>
    <t>K_benz</t>
  </si>
  <si>
    <t>K_cumene</t>
  </si>
  <si>
    <t>rel_vol</t>
  </si>
  <si>
    <t>Rel_vol:</t>
  </si>
  <si>
    <t>T (oC)</t>
  </si>
  <si>
    <t># of Trays</t>
  </si>
  <si>
    <t>Height/tray</t>
  </si>
  <si>
    <t>ft/tray</t>
  </si>
  <si>
    <t>Height of Column</t>
  </si>
  <si>
    <t>ft</t>
  </si>
  <si>
    <t>Phase</t>
  </si>
  <si>
    <t>h,formation (kJ/mol) @ 25C</t>
  </si>
  <si>
    <t xml:space="preserve">Benzene </t>
  </si>
  <si>
    <t>All Gas Phase Data</t>
  </si>
  <si>
    <t>h,vap</t>
  </si>
  <si>
    <t>Enthalpy of Vaporization</t>
  </si>
  <si>
    <t>Hvap = Aexp(-a*Tr)*(1-Tr)^beta</t>
  </si>
  <si>
    <t>A (kJ/mol)</t>
  </si>
  <si>
    <t>a</t>
  </si>
  <si>
    <t>Beta</t>
  </si>
  <si>
    <t>Tc(K)</t>
  </si>
  <si>
    <t>Tr</t>
  </si>
  <si>
    <t>Hvap</t>
  </si>
  <si>
    <t>T(K)</t>
  </si>
  <si>
    <t>kJ/mol</t>
  </si>
  <si>
    <t>Mass balance kmol/h</t>
  </si>
  <si>
    <t>S1b</t>
  </si>
  <si>
    <t>S4a</t>
  </si>
  <si>
    <t>S5b</t>
  </si>
  <si>
    <t>S7b</t>
  </si>
  <si>
    <t>Total Energy (kJ/s)</t>
  </si>
  <si>
    <t>Duties</t>
  </si>
  <si>
    <t>HX1</t>
  </si>
  <si>
    <t>HX2</t>
  </si>
  <si>
    <t>HX3</t>
  </si>
  <si>
    <t>HX4</t>
  </si>
  <si>
    <t>421.56 - 554.8</t>
  </si>
  <si>
    <t>P_column</t>
  </si>
  <si>
    <t>x,B</t>
  </si>
  <si>
    <t>Psat,B</t>
  </si>
  <si>
    <t>Psat,C</t>
  </si>
  <si>
    <t>∆P</t>
  </si>
  <si>
    <t>y,B</t>
  </si>
  <si>
    <t>T,C</t>
  </si>
  <si>
    <t>RelVol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</si>
</sst>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2"/>
      <color rgb="FF000000"/>
      <name val="Helvetica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3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0" borderId="0" xfId="0" quotePrefix="1"/>
    <xf numFmtId="0" fontId="0" fillId="3" borderId="0" xfId="0" applyFill="1"/>
    <xf numFmtId="0" fontId="0" fillId="0" borderId="0" xfId="0" applyFill="1"/>
    <xf numFmtId="2" fontId="0" fillId="0" borderId="0" xfId="0" applyNumberFormat="1" applyAlignment="1">
      <alignment horizontal="right"/>
    </xf>
    <xf numFmtId="11" fontId="0" fillId="0" borderId="0" xfId="0" applyNumberFormat="1"/>
    <xf numFmtId="0" fontId="0" fillId="0" borderId="0" xfId="0" quotePrefix="1" applyFill="1"/>
    <xf numFmtId="0" fontId="2" fillId="0" borderId="0" xfId="0" applyFont="1"/>
    <xf numFmtId="0" fontId="1" fillId="0" borderId="0" xfId="0" applyFont="1"/>
    <xf numFmtId="11" fontId="2" fillId="3" borderId="0" xfId="0" applyNumberFormat="1" applyFont="1" applyFill="1"/>
    <xf numFmtId="0" fontId="2" fillId="0" borderId="0" xfId="0" applyFont="1" applyFill="1"/>
    <xf numFmtId="164" fontId="0" fillId="0" borderId="0" xfId="0" applyNumberFormat="1"/>
    <xf numFmtId="165" fontId="0" fillId="0" borderId="0" xfId="0" applyNumberFormat="1"/>
    <xf numFmtId="0" fontId="0" fillId="3" borderId="0" xfId="0" applyNumberFormat="1" applyFill="1"/>
    <xf numFmtId="1" fontId="0" fillId="0" borderId="0" xfId="0" applyNumberFormat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0" borderId="0" xfId="0" applyFont="1"/>
    <xf numFmtId="0" fontId="1" fillId="6" borderId="0" xfId="0" applyFont="1" applyFill="1"/>
    <xf numFmtId="0" fontId="0" fillId="6" borderId="0" xfId="0" applyFill="1"/>
    <xf numFmtId="0" fontId="0" fillId="7" borderId="0" xfId="0" applyFill="1"/>
    <xf numFmtId="2" fontId="0" fillId="0" borderId="0" xfId="0" applyNumberFormat="1"/>
    <xf numFmtId="0" fontId="0" fillId="8" borderId="0" xfId="0" applyFill="1"/>
    <xf numFmtId="0" fontId="0" fillId="9" borderId="0" xfId="0" applyFill="1"/>
    <xf numFmtId="0" fontId="0" fillId="0" borderId="0" xfId="0" applyNumberFormat="1"/>
    <xf numFmtId="11" fontId="0" fillId="3" borderId="0" xfId="0" quotePrefix="1" applyNumberFormat="1" applyFill="1"/>
    <xf numFmtId="0" fontId="1" fillId="2" borderId="0" xfId="0" applyFont="1" applyFill="1"/>
    <xf numFmtId="0" fontId="0" fillId="0" borderId="0" xfId="0"/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Conversion</a:t>
            </a:r>
            <a:r>
              <a:rPr lang="en-US" baseline="0"/>
              <a:t> vs. Length</a:t>
            </a:r>
            <a:endParaRPr lang="en-US"/>
          </a:p>
        </c:rich>
      </c:tx>
      <c:layout>
        <c:manualLayout>
          <c:xMode val="edge"/>
          <c:yMode val="edge"/>
          <c:x val="0.47552077865266801"/>
          <c:y val="5.0925925925925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'Isothermal PFR'!$C$38</c:f>
              <c:strCache>
                <c:ptCount val="1"/>
                <c:pt idx="0">
                  <c:v>fb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'Isothermal PFR'!$B$39:$B$239</c:f>
              <c:numCache>
                <c:formatCode>General</c:formatCode>
                <c:ptCount val="201"/>
                <c:pt idx="0">
                  <c:v>0</c:v>
                </c:pt>
                <c:pt idx="1">
                  <c:v>4.1528305920770725E-2</c:v>
                </c:pt>
                <c:pt idx="2">
                  <c:v>8.305661184154145E-2</c:v>
                </c:pt>
                <c:pt idx="3">
                  <c:v>0.12458491776231216</c:v>
                </c:pt>
                <c:pt idx="4" formatCode="0.00E+00">
                  <c:v>0.1661132236830829</c:v>
                </c:pt>
                <c:pt idx="5">
                  <c:v>0.20764152960385363</c:v>
                </c:pt>
                <c:pt idx="6">
                  <c:v>0.24916983552462432</c:v>
                </c:pt>
                <c:pt idx="7">
                  <c:v>0.29069814144539508</c:v>
                </c:pt>
                <c:pt idx="8">
                  <c:v>0.3322264473661658</c:v>
                </c:pt>
                <c:pt idx="9">
                  <c:v>0.37375475328693653</c:v>
                </c:pt>
                <c:pt idx="10">
                  <c:v>0.41528305920770725</c:v>
                </c:pt>
                <c:pt idx="11">
                  <c:v>0.45681136512847798</c:v>
                </c:pt>
                <c:pt idx="12">
                  <c:v>0.49833967104924864</c:v>
                </c:pt>
                <c:pt idx="13">
                  <c:v>0.53986797697001943</c:v>
                </c:pt>
                <c:pt idx="14">
                  <c:v>0.58139628289079015</c:v>
                </c:pt>
                <c:pt idx="15">
                  <c:v>0.62292458881156088</c:v>
                </c:pt>
                <c:pt idx="16">
                  <c:v>0.6644528947323316</c:v>
                </c:pt>
                <c:pt idx="17">
                  <c:v>0.70598120065310221</c:v>
                </c:pt>
                <c:pt idx="18">
                  <c:v>0.74750950657387305</c:v>
                </c:pt>
                <c:pt idx="19">
                  <c:v>0.78903781249464378</c:v>
                </c:pt>
                <c:pt idx="20">
                  <c:v>0.8305661184154145</c:v>
                </c:pt>
                <c:pt idx="21">
                  <c:v>0.87209442433618523</c:v>
                </c:pt>
                <c:pt idx="22">
                  <c:v>0.91362273025695595</c:v>
                </c:pt>
                <c:pt idx="23">
                  <c:v>0.95515103617772668</c:v>
                </c:pt>
                <c:pt idx="24">
                  <c:v>0.99667934209849729</c:v>
                </c:pt>
                <c:pt idx="25">
                  <c:v>1.0382076480192681</c:v>
                </c:pt>
                <c:pt idx="26">
                  <c:v>1.0797359539400389</c:v>
                </c:pt>
                <c:pt idx="27">
                  <c:v>1.1212642598608096</c:v>
                </c:pt>
                <c:pt idx="28">
                  <c:v>1.1627925657815803</c:v>
                </c:pt>
                <c:pt idx="29">
                  <c:v>1.204320871702351</c:v>
                </c:pt>
                <c:pt idx="30">
                  <c:v>1.2458491776231218</c:v>
                </c:pt>
                <c:pt idx="31">
                  <c:v>1.2873774835438925</c:v>
                </c:pt>
                <c:pt idx="32">
                  <c:v>1.3289057894646632</c:v>
                </c:pt>
                <c:pt idx="33">
                  <c:v>1.3704340953854339</c:v>
                </c:pt>
                <c:pt idx="34">
                  <c:v>1.4119624013062044</c:v>
                </c:pt>
                <c:pt idx="35">
                  <c:v>1.4534907072269754</c:v>
                </c:pt>
                <c:pt idx="36">
                  <c:v>1.4950190131477461</c:v>
                </c:pt>
                <c:pt idx="37">
                  <c:v>1.5365473190685168</c:v>
                </c:pt>
                <c:pt idx="38">
                  <c:v>1.5780756249892876</c:v>
                </c:pt>
                <c:pt idx="39">
                  <c:v>1.6196039309100585</c:v>
                </c:pt>
                <c:pt idx="40">
                  <c:v>1.661132236830829</c:v>
                </c:pt>
                <c:pt idx="41">
                  <c:v>1.7026605427515997</c:v>
                </c:pt>
                <c:pt idx="42">
                  <c:v>1.7441888486723705</c:v>
                </c:pt>
                <c:pt idx="43">
                  <c:v>1.785717154593141</c:v>
                </c:pt>
                <c:pt idx="44">
                  <c:v>1.8272454605139119</c:v>
                </c:pt>
                <c:pt idx="45">
                  <c:v>1.8687737664346826</c:v>
                </c:pt>
                <c:pt idx="46">
                  <c:v>1.9103020723554534</c:v>
                </c:pt>
                <c:pt idx="47">
                  <c:v>1.9518303782762241</c:v>
                </c:pt>
                <c:pt idx="48">
                  <c:v>1.9933586841969946</c:v>
                </c:pt>
                <c:pt idx="49">
                  <c:v>2.0348869901177657</c:v>
                </c:pt>
                <c:pt idx="50">
                  <c:v>2.0764152960385363</c:v>
                </c:pt>
                <c:pt idx="51">
                  <c:v>2.1179436019593068</c:v>
                </c:pt>
                <c:pt idx="52">
                  <c:v>2.1594719078800777</c:v>
                </c:pt>
                <c:pt idx="53">
                  <c:v>2.2010002138008486</c:v>
                </c:pt>
                <c:pt idx="54">
                  <c:v>2.2425285197216192</c:v>
                </c:pt>
                <c:pt idx="55">
                  <c:v>2.2840568256423897</c:v>
                </c:pt>
                <c:pt idx="56">
                  <c:v>2.3255851315631606</c:v>
                </c:pt>
                <c:pt idx="57">
                  <c:v>2.3671134374839311</c:v>
                </c:pt>
                <c:pt idx="58">
                  <c:v>2.4086417434047021</c:v>
                </c:pt>
                <c:pt idx="59">
                  <c:v>2.450170049325473</c:v>
                </c:pt>
                <c:pt idx="60">
                  <c:v>2.4916983552462435</c:v>
                </c:pt>
                <c:pt idx="61">
                  <c:v>2.533226661167014</c:v>
                </c:pt>
                <c:pt idx="62">
                  <c:v>2.574754967087785</c:v>
                </c:pt>
                <c:pt idx="63">
                  <c:v>2.6162832730085559</c:v>
                </c:pt>
                <c:pt idx="64">
                  <c:v>2.6578115789293264</c:v>
                </c:pt>
                <c:pt idx="65">
                  <c:v>2.6993398848500969</c:v>
                </c:pt>
                <c:pt idx="66">
                  <c:v>2.7408681907708679</c:v>
                </c:pt>
                <c:pt idx="67">
                  <c:v>2.7823964966916384</c:v>
                </c:pt>
                <c:pt idx="68">
                  <c:v>2.8239248026124089</c:v>
                </c:pt>
                <c:pt idx="69">
                  <c:v>2.8654531085331802</c:v>
                </c:pt>
                <c:pt idx="70">
                  <c:v>2.9069814144539508</c:v>
                </c:pt>
                <c:pt idx="71">
                  <c:v>2.9485097203747217</c:v>
                </c:pt>
                <c:pt idx="72">
                  <c:v>2.9900380262954922</c:v>
                </c:pt>
                <c:pt idx="73">
                  <c:v>3.0315663322162631</c:v>
                </c:pt>
                <c:pt idx="74">
                  <c:v>3.0730946381370337</c:v>
                </c:pt>
                <c:pt idx="75">
                  <c:v>3.1146229440578042</c:v>
                </c:pt>
                <c:pt idx="76">
                  <c:v>3.1561512499785751</c:v>
                </c:pt>
                <c:pt idx="77">
                  <c:v>3.1976795558993456</c:v>
                </c:pt>
                <c:pt idx="78">
                  <c:v>3.239207861820117</c:v>
                </c:pt>
                <c:pt idx="79">
                  <c:v>3.2807361677408875</c:v>
                </c:pt>
                <c:pt idx="80">
                  <c:v>3.322264473661658</c:v>
                </c:pt>
                <c:pt idx="81">
                  <c:v>3.3637927795824289</c:v>
                </c:pt>
                <c:pt idx="82">
                  <c:v>3.4053210855031995</c:v>
                </c:pt>
                <c:pt idx="83">
                  <c:v>3.44684939142397</c:v>
                </c:pt>
                <c:pt idx="84">
                  <c:v>3.4883776973447409</c:v>
                </c:pt>
                <c:pt idx="85">
                  <c:v>3.5299060032655114</c:v>
                </c:pt>
                <c:pt idx="86">
                  <c:v>3.5714343091862819</c:v>
                </c:pt>
                <c:pt idx="87">
                  <c:v>3.6129626151070533</c:v>
                </c:pt>
                <c:pt idx="88">
                  <c:v>3.6544909210278238</c:v>
                </c:pt>
                <c:pt idx="89">
                  <c:v>3.6960192269485947</c:v>
                </c:pt>
                <c:pt idx="90">
                  <c:v>3.7375475328693653</c:v>
                </c:pt>
                <c:pt idx="91">
                  <c:v>3.7790758387901362</c:v>
                </c:pt>
                <c:pt idx="92">
                  <c:v>3.8206041447109067</c:v>
                </c:pt>
                <c:pt idx="93">
                  <c:v>3.8621324506316772</c:v>
                </c:pt>
                <c:pt idx="94">
                  <c:v>3.9036607565524482</c:v>
                </c:pt>
                <c:pt idx="95">
                  <c:v>3.9451890624732187</c:v>
                </c:pt>
                <c:pt idx="96">
                  <c:v>3.9867173683939892</c:v>
                </c:pt>
                <c:pt idx="97">
                  <c:v>4.0282456743147605</c:v>
                </c:pt>
                <c:pt idx="98">
                  <c:v>4.0697739802355315</c:v>
                </c:pt>
                <c:pt idx="99">
                  <c:v>4.1113022861563016</c:v>
                </c:pt>
                <c:pt idx="100">
                  <c:v>4.1528305920770725</c:v>
                </c:pt>
                <c:pt idx="101">
                  <c:v>4.1943588979978434</c:v>
                </c:pt>
                <c:pt idx="102">
                  <c:v>4.2358872039186135</c:v>
                </c:pt>
                <c:pt idx="103">
                  <c:v>4.2774155098393845</c:v>
                </c:pt>
                <c:pt idx="104">
                  <c:v>4.3189438157601554</c:v>
                </c:pt>
                <c:pt idx="105">
                  <c:v>4.3604721216809255</c:v>
                </c:pt>
                <c:pt idx="106">
                  <c:v>4.4020004276016973</c:v>
                </c:pt>
                <c:pt idx="107">
                  <c:v>4.4435287335224674</c:v>
                </c:pt>
                <c:pt idx="108">
                  <c:v>4.4850570394432383</c:v>
                </c:pt>
                <c:pt idx="109">
                  <c:v>4.5265853453640092</c:v>
                </c:pt>
                <c:pt idx="110">
                  <c:v>4.5681136512847793</c:v>
                </c:pt>
                <c:pt idx="111">
                  <c:v>4.6096419572055503</c:v>
                </c:pt>
                <c:pt idx="112">
                  <c:v>4.6511702631263212</c:v>
                </c:pt>
                <c:pt idx="113">
                  <c:v>4.6926985690470921</c:v>
                </c:pt>
                <c:pt idx="114">
                  <c:v>4.7342268749678622</c:v>
                </c:pt>
                <c:pt idx="115">
                  <c:v>4.775755180888634</c:v>
                </c:pt>
                <c:pt idx="116">
                  <c:v>4.8172834868094041</c:v>
                </c:pt>
                <c:pt idx="117">
                  <c:v>4.858811792730175</c:v>
                </c:pt>
                <c:pt idx="118">
                  <c:v>4.900340098650946</c:v>
                </c:pt>
                <c:pt idx="119">
                  <c:v>4.9418684045717161</c:v>
                </c:pt>
                <c:pt idx="120">
                  <c:v>4.983396710492487</c:v>
                </c:pt>
                <c:pt idx="121">
                  <c:v>5.0249250164132579</c:v>
                </c:pt>
                <c:pt idx="122">
                  <c:v>5.066453322334028</c:v>
                </c:pt>
                <c:pt idx="123">
                  <c:v>5.107981628254799</c:v>
                </c:pt>
                <c:pt idx="124">
                  <c:v>5.1495099341755699</c:v>
                </c:pt>
                <c:pt idx="125">
                  <c:v>5.1910382400963409</c:v>
                </c:pt>
                <c:pt idx="126">
                  <c:v>5.2325665460171118</c:v>
                </c:pt>
                <c:pt idx="127">
                  <c:v>5.2740948519378819</c:v>
                </c:pt>
                <c:pt idx="128">
                  <c:v>5.3156231578586528</c:v>
                </c:pt>
                <c:pt idx="129">
                  <c:v>5.3571514637794238</c:v>
                </c:pt>
                <c:pt idx="130">
                  <c:v>5.3986797697001938</c:v>
                </c:pt>
                <c:pt idx="131">
                  <c:v>5.4402080756209648</c:v>
                </c:pt>
                <c:pt idx="132">
                  <c:v>5.4817363815417357</c:v>
                </c:pt>
                <c:pt idx="133">
                  <c:v>5.5232646874625058</c:v>
                </c:pt>
                <c:pt idx="134">
                  <c:v>5.5647929933832767</c:v>
                </c:pt>
                <c:pt idx="135">
                  <c:v>5.6063212993040477</c:v>
                </c:pt>
                <c:pt idx="136">
                  <c:v>5.6478496052248177</c:v>
                </c:pt>
                <c:pt idx="137">
                  <c:v>5.6893779111455887</c:v>
                </c:pt>
                <c:pt idx="138">
                  <c:v>5.7309062170663605</c:v>
                </c:pt>
                <c:pt idx="139">
                  <c:v>5.7724345229871314</c:v>
                </c:pt>
                <c:pt idx="140">
                  <c:v>5.8139628289079015</c:v>
                </c:pt>
                <c:pt idx="141">
                  <c:v>5.8554911348286725</c:v>
                </c:pt>
                <c:pt idx="142">
                  <c:v>5.8970194407494434</c:v>
                </c:pt>
                <c:pt idx="143">
                  <c:v>5.9385477466702135</c:v>
                </c:pt>
                <c:pt idx="144">
                  <c:v>5.9800760525909844</c:v>
                </c:pt>
                <c:pt idx="145">
                  <c:v>6.0216043585117554</c:v>
                </c:pt>
                <c:pt idx="146">
                  <c:v>6.0631326644325263</c:v>
                </c:pt>
                <c:pt idx="147">
                  <c:v>6.1046609703532964</c:v>
                </c:pt>
                <c:pt idx="148">
                  <c:v>6.1461892762740673</c:v>
                </c:pt>
                <c:pt idx="149">
                  <c:v>6.1877175821948383</c:v>
                </c:pt>
                <c:pt idx="150">
                  <c:v>6.2292458881156083</c:v>
                </c:pt>
                <c:pt idx="151">
                  <c:v>6.2707741940363793</c:v>
                </c:pt>
                <c:pt idx="152">
                  <c:v>6.3123024999571502</c:v>
                </c:pt>
                <c:pt idx="153">
                  <c:v>6.3538308058779203</c:v>
                </c:pt>
                <c:pt idx="154">
                  <c:v>6.3953591117986912</c:v>
                </c:pt>
                <c:pt idx="155">
                  <c:v>6.4368874177194622</c:v>
                </c:pt>
                <c:pt idx="156">
                  <c:v>6.478415723640234</c:v>
                </c:pt>
                <c:pt idx="157">
                  <c:v>6.5199440295610041</c:v>
                </c:pt>
                <c:pt idx="158">
                  <c:v>6.561472335481775</c:v>
                </c:pt>
                <c:pt idx="159">
                  <c:v>6.6030006414025459</c:v>
                </c:pt>
                <c:pt idx="160">
                  <c:v>6.644528947323316</c:v>
                </c:pt>
                <c:pt idx="161">
                  <c:v>6.686057253244087</c:v>
                </c:pt>
                <c:pt idx="162">
                  <c:v>6.7275855591648579</c:v>
                </c:pt>
                <c:pt idx="163">
                  <c:v>6.769113865085628</c:v>
                </c:pt>
                <c:pt idx="164">
                  <c:v>6.8106421710063989</c:v>
                </c:pt>
                <c:pt idx="165">
                  <c:v>6.8521704769271699</c:v>
                </c:pt>
                <c:pt idx="166">
                  <c:v>6.8936987828479399</c:v>
                </c:pt>
                <c:pt idx="167">
                  <c:v>6.9352270887687109</c:v>
                </c:pt>
                <c:pt idx="168">
                  <c:v>6.9767553946894818</c:v>
                </c:pt>
                <c:pt idx="169">
                  <c:v>7.0182837006102519</c:v>
                </c:pt>
                <c:pt idx="170">
                  <c:v>7.0598120065310228</c:v>
                </c:pt>
                <c:pt idx="171">
                  <c:v>7.1013403124517938</c:v>
                </c:pt>
                <c:pt idx="172">
                  <c:v>7.1428686183725638</c:v>
                </c:pt>
                <c:pt idx="173">
                  <c:v>7.1843969242933348</c:v>
                </c:pt>
                <c:pt idx="174">
                  <c:v>7.2259252302141066</c:v>
                </c:pt>
                <c:pt idx="175">
                  <c:v>7.2674535361348775</c:v>
                </c:pt>
                <c:pt idx="176">
                  <c:v>7.3089818420556476</c:v>
                </c:pt>
                <c:pt idx="177">
                  <c:v>7.3505101479764186</c:v>
                </c:pt>
                <c:pt idx="178">
                  <c:v>7.3920384538971895</c:v>
                </c:pt>
                <c:pt idx="179">
                  <c:v>7.4335667598179604</c:v>
                </c:pt>
                <c:pt idx="180">
                  <c:v>7.4750950657387305</c:v>
                </c:pt>
                <c:pt idx="181">
                  <c:v>7.5166233716595015</c:v>
                </c:pt>
                <c:pt idx="182">
                  <c:v>7.5581516775802724</c:v>
                </c:pt>
                <c:pt idx="183">
                  <c:v>7.5996799835010425</c:v>
                </c:pt>
                <c:pt idx="184">
                  <c:v>7.6412082894218134</c:v>
                </c:pt>
                <c:pt idx="185">
                  <c:v>7.6827365953425844</c:v>
                </c:pt>
                <c:pt idx="186">
                  <c:v>7.7242649012633544</c:v>
                </c:pt>
                <c:pt idx="187">
                  <c:v>7.7657932071841254</c:v>
                </c:pt>
                <c:pt idx="188">
                  <c:v>7.8073215131048963</c:v>
                </c:pt>
                <c:pt idx="189">
                  <c:v>7.8488498190256664</c:v>
                </c:pt>
                <c:pt idx="190">
                  <c:v>7.8903781249464373</c:v>
                </c:pt>
                <c:pt idx="191">
                  <c:v>7.9319064308672083</c:v>
                </c:pt>
                <c:pt idx="192">
                  <c:v>7.9734347367879783</c:v>
                </c:pt>
                <c:pt idx="193">
                  <c:v>8.0149630427087502</c:v>
                </c:pt>
                <c:pt idx="194">
                  <c:v>8.0564913486295211</c:v>
                </c:pt>
                <c:pt idx="195">
                  <c:v>8.098019654550292</c:v>
                </c:pt>
                <c:pt idx="196">
                  <c:v>8.139547960471063</c:v>
                </c:pt>
                <c:pt idx="197">
                  <c:v>8.1810762663918339</c:v>
                </c:pt>
                <c:pt idx="198">
                  <c:v>8.2226045723126031</c:v>
                </c:pt>
                <c:pt idx="199">
                  <c:v>8.2641328782333741</c:v>
                </c:pt>
                <c:pt idx="200">
                  <c:v>8.305661184154145</c:v>
                </c:pt>
              </c:numCache>
            </c:numRef>
          </c:xVal>
          <c:yVal>
            <c:numRef>
              <c:f>'Isothermal PFR'!$C$39:$C$239</c:f>
              <c:numCache>
                <c:formatCode>General</c:formatCode>
                <c:ptCount val="201"/>
                <c:pt idx="0">
                  <c:v>0</c:v>
                </c:pt>
                <c:pt idx="1">
                  <c:v>3.210963984229057E-3</c:v>
                </c:pt>
                <c:pt idx="2">
                  <c:v>6.4189406809554532E-3</c:v>
                </c:pt>
                <c:pt idx="3">
                  <c:v>9.6239191875140372E-3</c:v>
                </c:pt>
                <c:pt idx="4">
                  <c:v>1.2825888555624719E-2</c:v>
                </c:pt>
                <c:pt idx="5">
                  <c:v>1.6024837791251117E-2</c:v>
                </c:pt>
                <c:pt idx="6">
                  <c:v>1.9220755854460068E-2</c:v>
                </c:pt>
                <c:pt idx="7">
                  <c:v>2.2413631659282028E-2</c:v>
                </c:pt>
                <c:pt idx="8">
                  <c:v>2.5603454073572351E-2</c:v>
                </c:pt>
                <c:pt idx="9">
                  <c:v>2.8790211918873543E-2</c:v>
                </c:pt>
                <c:pt idx="10">
                  <c:v>3.1973893970278486E-2</c:v>
                </c:pt>
                <c:pt idx="11">
                  <c:v>3.5154488956294638E-2</c:v>
                </c:pt>
                <c:pt idx="12">
                  <c:v>3.8331985558709321E-2</c:v>
                </c:pt>
                <c:pt idx="13">
                  <c:v>4.1506372412456062E-2</c:v>
                </c:pt>
                <c:pt idx="14">
                  <c:v>4.467763810548199E-2</c:v>
                </c:pt>
                <c:pt idx="15">
                  <c:v>4.7845771178616478E-2</c:v>
                </c:pt>
                <c:pt idx="16">
                  <c:v>5.1010760125440868E-2</c:v>
                </c:pt>
                <c:pt idx="17">
                  <c:v>5.4172593392159435E-2</c:v>
                </c:pt>
                <c:pt idx="18">
                  <c:v>5.7331259377471674E-2</c:v>
                </c:pt>
                <c:pt idx="19">
                  <c:v>6.0486746432445684E-2</c:v>
                </c:pt>
                <c:pt idx="20">
                  <c:v>6.3639042860393111E-2</c:v>
                </c:pt>
                <c:pt idx="21">
                  <c:v>6.6788136916745275E-2</c:v>
                </c:pt>
                <c:pt idx="22">
                  <c:v>6.9934016808930757E-2</c:v>
                </c:pt>
                <c:pt idx="23">
                  <c:v>7.3076670696254439E-2</c:v>
                </c:pt>
                <c:pt idx="24">
                  <c:v>7.6216086689777987E-2</c:v>
                </c:pt>
                <c:pt idx="25">
                  <c:v>7.9352252852201918E-2</c:v>
                </c:pt>
                <c:pt idx="26">
                  <c:v>8.2485157197749071E-2</c:v>
                </c:pt>
                <c:pt idx="27">
                  <c:v>8.5614787692049915E-2</c:v>
                </c:pt>
                <c:pt idx="28">
                  <c:v>8.8741132252029273E-2</c:v>
                </c:pt>
                <c:pt idx="29">
                  <c:v>9.1864178745794903E-2</c:v>
                </c:pt>
                <c:pt idx="30">
                  <c:v>9.4983914992527674E-2</c:v>
                </c:pt>
                <c:pt idx="31">
                  <c:v>9.8100328762373637E-2</c:v>
                </c:pt>
                <c:pt idx="32">
                  <c:v>0.10121340777633783</c:v>
                </c:pt>
                <c:pt idx="33">
                  <c:v>0.10432313970618001</c:v>
                </c:pt>
                <c:pt idx="34">
                  <c:v>0.10742951217431219</c:v>
                </c:pt>
                <c:pt idx="35">
                  <c:v>0.11053251275369839</c:v>
                </c:pt>
                <c:pt idx="36">
                  <c:v>0.11363212896775597</c:v>
                </c:pt>
                <c:pt idx="37">
                  <c:v>0.11672834829025946</c:v>
                </c:pt>
                <c:pt idx="38">
                  <c:v>0.1198211581452463</c:v>
                </c:pt>
                <c:pt idx="39">
                  <c:v>0.12291054590692464</c:v>
                </c:pt>
                <c:pt idx="40">
                  <c:v>0.1259964988995835</c:v>
                </c:pt>
                <c:pt idx="41">
                  <c:v>0.12907900439750525</c:v>
                </c:pt>
                <c:pt idx="42">
                  <c:v>0.13215804962488009</c:v>
                </c:pt>
                <c:pt idx="43">
                  <c:v>0.13523362175572326</c:v>
                </c:pt>
                <c:pt idx="44">
                  <c:v>0.13830570791379454</c:v>
                </c:pt>
                <c:pt idx="45">
                  <c:v>0.14137429517251995</c:v>
                </c:pt>
                <c:pt idx="46">
                  <c:v>0.14443937055491651</c:v>
                </c:pt>
                <c:pt idx="47">
                  <c:v>0.14750092103351917</c:v>
                </c:pt>
                <c:pt idx="48">
                  <c:v>0.1505589335303105</c:v>
                </c:pt>
                <c:pt idx="49">
                  <c:v>0.15361339491665318</c:v>
                </c:pt>
                <c:pt idx="50">
                  <c:v>0.15666429201322504</c:v>
                </c:pt>
                <c:pt idx="51">
                  <c:v>0.15971161158995723</c:v>
                </c:pt>
                <c:pt idx="52">
                  <c:v>0.16275534036597494</c:v>
                </c:pt>
                <c:pt idx="53">
                  <c:v>0.16579546500954129</c:v>
                </c:pt>
                <c:pt idx="54">
                  <c:v>0.16883197213800405</c:v>
                </c:pt>
                <c:pt idx="55">
                  <c:v>0.17186484831774576</c:v>
                </c:pt>
                <c:pt idx="56">
                  <c:v>0.17489408006413656</c:v>
                </c:pt>
                <c:pt idx="57">
                  <c:v>0.17791965384149039</c:v>
                </c:pt>
                <c:pt idx="58">
                  <c:v>0.18094155606302462</c:v>
                </c:pt>
                <c:pt idx="59">
                  <c:v>0.18395977309082276</c:v>
                </c:pt>
                <c:pt idx="60">
                  <c:v>0.1869742912358007</c:v>
                </c:pt>
                <c:pt idx="61">
                  <c:v>0.18998509675767644</c:v>
                </c:pt>
                <c:pt idx="62">
                  <c:v>0.19299217586494327</c:v>
                </c:pt>
                <c:pt idx="63">
                  <c:v>0.1959955147148465</c:v>
                </c:pt>
                <c:pt idx="64">
                  <c:v>0.1989950994133641</c:v>
                </c:pt>
                <c:pt idx="65">
                  <c:v>0.20199091601519092</c:v>
                </c:pt>
                <c:pt idx="66">
                  <c:v>0.20498295052372678</c:v>
                </c:pt>
                <c:pt idx="67">
                  <c:v>0.2079711888910683</c:v>
                </c:pt>
                <c:pt idx="68">
                  <c:v>0.21095561701800505</c:v>
                </c:pt>
                <c:pt idx="69">
                  <c:v>0.21393622075401947</c:v>
                </c:pt>
                <c:pt idx="70">
                  <c:v>0.21691298589729074</c:v>
                </c:pt>
                <c:pt idx="71">
                  <c:v>0.21988589819470364</c:v>
                </c:pt>
                <c:pt idx="72">
                  <c:v>0.22285494334186057</c:v>
                </c:pt>
                <c:pt idx="73">
                  <c:v>0.22582010698309898</c:v>
                </c:pt>
                <c:pt idx="74">
                  <c:v>0.22878137471151244</c:v>
                </c:pt>
                <c:pt idx="75">
                  <c:v>0.2317387320689768</c:v>
                </c:pt>
                <c:pt idx="76">
                  <c:v>0.23469216454618061</c:v>
                </c:pt>
                <c:pt idx="77">
                  <c:v>0.23764165758266034</c:v>
                </c:pt>
                <c:pt idx="78">
                  <c:v>0.24058719656684061</c:v>
                </c:pt>
                <c:pt idx="79">
                  <c:v>0.24352876683607858</c:v>
                </c:pt>
                <c:pt idx="80">
                  <c:v>0.24646635367671429</c:v>
                </c:pt>
                <c:pt idx="81">
                  <c:v>0.2493999423241253</c:v>
                </c:pt>
                <c:pt idx="82">
                  <c:v>0.25232951796278652</c:v>
                </c:pt>
                <c:pt idx="83">
                  <c:v>0.25525506572633561</c:v>
                </c:pt>
                <c:pt idx="84">
                  <c:v>0.25817657069764349</c:v>
                </c:pt>
                <c:pt idx="85">
                  <c:v>0.26109401790889003</c:v>
                </c:pt>
                <c:pt idx="86">
                  <c:v>0.26400739234164561</c:v>
                </c:pt>
                <c:pt idx="87">
                  <c:v>0.26691667892695814</c:v>
                </c:pt>
                <c:pt idx="88">
                  <c:v>0.26982186254544543</c:v>
                </c:pt>
                <c:pt idx="89">
                  <c:v>0.27272292802739401</c:v>
                </c:pt>
                <c:pt idx="90">
                  <c:v>0.27561986015286299</c:v>
                </c:pt>
                <c:pt idx="91">
                  <c:v>0.27851264365179479</c:v>
                </c:pt>
                <c:pt idx="92">
                  <c:v>0.28140126320413106</c:v>
                </c:pt>
                <c:pt idx="93">
                  <c:v>0.28428570343993542</c:v>
                </c:pt>
                <c:pt idx="94">
                  <c:v>0.28716594893952224</c:v>
                </c:pt>
                <c:pt idx="95">
                  <c:v>0.29004198423359157</c:v>
                </c:pt>
                <c:pt idx="96">
                  <c:v>0.29291379380337101</c:v>
                </c:pt>
                <c:pt idx="97">
                  <c:v>0.29578136208076383</c:v>
                </c:pt>
                <c:pt idx="98">
                  <c:v>0.29864467344850371</c:v>
                </c:pt>
                <c:pt idx="99">
                  <c:v>0.30150371224031652</c:v>
                </c:pt>
                <c:pt idx="100">
                  <c:v>0.30435846274108908</c:v>
                </c:pt>
                <c:pt idx="101">
                  <c:v>0.3072089091870443</c:v>
                </c:pt>
                <c:pt idx="102">
                  <c:v>0.31005503576592414</c:v>
                </c:pt>
                <c:pt idx="103">
                  <c:v>0.31289682661717966</c:v>
                </c:pt>
                <c:pt idx="104">
                  <c:v>0.31573426583216779</c:v>
                </c:pt>
                <c:pt idx="105">
                  <c:v>0.31856733745435645</c:v>
                </c:pt>
                <c:pt idx="106">
                  <c:v>0.32139602547953672</c:v>
                </c:pt>
                <c:pt idx="107">
                  <c:v>0.32422031385604233</c:v>
                </c:pt>
                <c:pt idx="108">
                  <c:v>0.32704018648497812</c:v>
                </c:pt>
                <c:pt idx="109">
                  <c:v>0.32985562722045503</c:v>
                </c:pt>
                <c:pt idx="110">
                  <c:v>0.33266661986983381</c:v>
                </c:pt>
                <c:pt idx="111">
                  <c:v>0.33547314819397717</c:v>
                </c:pt>
                <c:pt idx="112">
                  <c:v>0.33827519590750926</c:v>
                </c:pt>
                <c:pt idx="113">
                  <c:v>0.34107274667908444</c:v>
                </c:pt>
                <c:pt idx="114">
                  <c:v>0.34386578413166397</c:v>
                </c:pt>
                <c:pt idx="115">
                  <c:v>0.34665429184280178</c:v>
                </c:pt>
                <c:pt idx="116">
                  <c:v>0.34943825334493817</c:v>
                </c:pt>
                <c:pt idx="117">
                  <c:v>0.35221765212570366</c:v>
                </c:pt>
                <c:pt idx="118">
                  <c:v>0.35499247162823039</c:v>
                </c:pt>
                <c:pt idx="119">
                  <c:v>0.35776269525147353</c:v>
                </c:pt>
                <c:pt idx="120">
                  <c:v>0.36052830635054206</c:v>
                </c:pt>
                <c:pt idx="121">
                  <c:v>0.36328928823703799</c:v>
                </c:pt>
                <c:pt idx="122">
                  <c:v>0.36604562417940589</c:v>
                </c:pt>
                <c:pt idx="123">
                  <c:v>0.36879729740329192</c:v>
                </c:pt>
                <c:pt idx="124">
                  <c:v>0.37154429109191223</c:v>
                </c:pt>
                <c:pt idx="125">
                  <c:v>0.37428658838643147</c:v>
                </c:pt>
                <c:pt idx="126">
                  <c:v>0.37702417238635139</c:v>
                </c:pt>
                <c:pt idx="127">
                  <c:v>0.37975702614990925</c:v>
                </c:pt>
                <c:pt idx="128">
                  <c:v>0.3824851326944872</c:v>
                </c:pt>
                <c:pt idx="129">
                  <c:v>0.38520847499703087</c:v>
                </c:pt>
                <c:pt idx="130">
                  <c:v>0.38792703599447959</c:v>
                </c:pt>
                <c:pt idx="131">
                  <c:v>0.39064079858420692</c:v>
                </c:pt>
                <c:pt idx="132">
                  <c:v>0.3933497456244715</c:v>
                </c:pt>
                <c:pt idx="133">
                  <c:v>0.39605385993487946</c:v>
                </c:pt>
                <c:pt idx="134">
                  <c:v>0.39875312429685777</c:v>
                </c:pt>
                <c:pt idx="135">
                  <c:v>0.40144752145413837</c:v>
                </c:pt>
                <c:pt idx="136">
                  <c:v>0.40413703411325397</c:v>
                </c:pt>
                <c:pt idx="137">
                  <c:v>0.40682164494404549</c:v>
                </c:pt>
                <c:pt idx="138">
                  <c:v>0.40950133658018051</c:v>
                </c:pt>
                <c:pt idx="139">
                  <c:v>0.41217609161968383</c:v>
                </c:pt>
                <c:pt idx="140">
                  <c:v>0.41484589262547999</c:v>
                </c:pt>
                <c:pt idx="141">
                  <c:v>0.41751072212594786</c:v>
                </c:pt>
                <c:pt idx="142">
                  <c:v>0.42017056261548663</c:v>
                </c:pt>
                <c:pt idx="143">
                  <c:v>0.42282539655509488</c:v>
                </c:pt>
                <c:pt idx="144">
                  <c:v>0.4254752063729621</c:v>
                </c:pt>
                <c:pt idx="145">
                  <c:v>0.42811997446507183</c:v>
                </c:pt>
                <c:pt idx="146">
                  <c:v>0.43075968319581859</c:v>
                </c:pt>
                <c:pt idx="147">
                  <c:v>0.43339431489863683</c:v>
                </c:pt>
                <c:pt idx="148">
                  <c:v>0.4360238518766435</c:v>
                </c:pt>
                <c:pt idx="149">
                  <c:v>0.43864827640329296</c:v>
                </c:pt>
                <c:pt idx="150">
                  <c:v>0.44126757072304573</c:v>
                </c:pt>
                <c:pt idx="151">
                  <c:v>0.44388171705205043</c:v>
                </c:pt>
                <c:pt idx="152">
                  <c:v>0.44649069757883902</c:v>
                </c:pt>
                <c:pt idx="153">
                  <c:v>0.44909449446503596</c:v>
                </c:pt>
                <c:pt idx="154">
                  <c:v>0.45169308984608103</c:v>
                </c:pt>
                <c:pt idx="155">
                  <c:v>0.45428646583196586</c:v>
                </c:pt>
                <c:pt idx="156">
                  <c:v>0.45687460450798489</c:v>
                </c:pt>
                <c:pt idx="157">
                  <c:v>0.45945748793549995</c:v>
                </c:pt>
                <c:pt idx="158">
                  <c:v>0.46203509815272004</c:v>
                </c:pt>
                <c:pt idx="159">
                  <c:v>0.46460741717549431</c:v>
                </c:pt>
                <c:pt idx="160">
                  <c:v>0.46717442699812067</c:v>
                </c:pt>
                <c:pt idx="161">
                  <c:v>0.46973610959416867</c:v>
                </c:pt>
                <c:pt idx="162">
                  <c:v>0.47229244691731703</c:v>
                </c:pt>
                <c:pt idx="163">
                  <c:v>0.47484342090220627</c:v>
                </c:pt>
                <c:pt idx="164">
                  <c:v>0.47738901346530688</c:v>
                </c:pt>
                <c:pt idx="165">
                  <c:v>0.47992920650580162</c:v>
                </c:pt>
                <c:pt idx="166">
                  <c:v>0.48246398190648426</c:v>
                </c:pt>
                <c:pt idx="167">
                  <c:v>0.48499332153467317</c:v>
                </c:pt>
                <c:pt idx="168">
                  <c:v>0.48751720724314052</c:v>
                </c:pt>
                <c:pt idx="169">
                  <c:v>0.49003562087105718</c:v>
                </c:pt>
                <c:pt idx="170">
                  <c:v>0.49254854424495381</c:v>
                </c:pt>
                <c:pt idx="171">
                  <c:v>0.49505595917969725</c:v>
                </c:pt>
                <c:pt idx="172">
                  <c:v>0.49755784747948323</c:v>
                </c:pt>
                <c:pt idx="173">
                  <c:v>0.50005419093884562</c:v>
                </c:pt>
                <c:pt idx="174">
                  <c:v>0.50254497134368126</c:v>
                </c:pt>
                <c:pt idx="175">
                  <c:v>0.50503017047229148</c:v>
                </c:pt>
                <c:pt idx="176">
                  <c:v>0.50750977009644038</c:v>
                </c:pt>
                <c:pt idx="177">
                  <c:v>0.50998375198242918</c:v>
                </c:pt>
                <c:pt idx="178">
                  <c:v>0.51245209789218749</c:v>
                </c:pt>
                <c:pt idx="179">
                  <c:v>0.51491478958438164</c:v>
                </c:pt>
                <c:pt idx="180">
                  <c:v>0.51737180881553924</c:v>
                </c:pt>
                <c:pt idx="181">
                  <c:v>0.51982313734119157</c:v>
                </c:pt>
                <c:pt idx="182">
                  <c:v>0.52226875691703223</c:v>
                </c:pt>
                <c:pt idx="183">
                  <c:v>0.52470864930009342</c:v>
                </c:pt>
                <c:pt idx="184">
                  <c:v>0.52714279624993954</c:v>
                </c:pt>
                <c:pt idx="185">
                  <c:v>0.52957117952987776</c:v>
                </c:pt>
                <c:pt idx="186">
                  <c:v>0.53199378090818605</c:v>
                </c:pt>
                <c:pt idx="187">
                  <c:v>0.53441058215935944</c:v>
                </c:pt>
                <c:pt idx="188">
                  <c:v>0.5368215650653726</c:v>
                </c:pt>
                <c:pt idx="189">
                  <c:v>0.53922671141696088</c:v>
                </c:pt>
                <c:pt idx="190">
                  <c:v>0.54162600301491948</c:v>
                </c:pt>
                <c:pt idx="191">
                  <c:v>0.54401942167141881</c:v>
                </c:pt>
                <c:pt idx="192">
                  <c:v>0.54640694921133948</c:v>
                </c:pt>
                <c:pt idx="193">
                  <c:v>0.54878856747362414</c:v>
                </c:pt>
                <c:pt idx="194">
                  <c:v>0.55116425831264715</c:v>
                </c:pt>
                <c:pt idx="195">
                  <c:v>0.55353400359960303</c:v>
                </c:pt>
                <c:pt idx="196">
                  <c:v>0.55589778522391231</c:v>
                </c:pt>
                <c:pt idx="197">
                  <c:v>0.55825558509464546</c:v>
                </c:pt>
                <c:pt idx="198">
                  <c:v>0.56060738514196506</c:v>
                </c:pt>
                <c:pt idx="199">
                  <c:v>0.56295316731858658</c:v>
                </c:pt>
                <c:pt idx="200">
                  <c:v>0.56529291360125622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BB-48FE-8F12-5A06D8A28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6971744"/>
        <c:axId val="-258594448"/>
      </c:scatterChart>
      <c:valAx>
        <c:axId val="-28697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594448"/>
        <c:crosses val="autoZero"/>
        <c:crossBetween val="midCat"/>
      </c:valAx>
      <c:valAx>
        <c:axId val="-25859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697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Conversion</a:t>
            </a:r>
            <a:r>
              <a:rPr lang="en-US" baseline="0"/>
              <a:t> vs. Length</a:t>
            </a:r>
            <a:endParaRPr lang="en-US"/>
          </a:p>
        </c:rich>
      </c:tx>
      <c:layout>
        <c:manualLayout>
          <c:xMode val="edge"/>
          <c:yMode val="edge"/>
          <c:x val="0.47552077865266801"/>
          <c:y val="5.0925925925925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'Isothermal PFR'!$S$38</c:f>
              <c:strCache>
                <c:ptCount val="1"/>
                <c:pt idx="0">
                  <c:v>fb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'Isothermal PFR'!$R$39:$R$239</c:f>
              <c:numCache>
                <c:formatCode>General</c:formatCode>
                <c:ptCount val="201"/>
                <c:pt idx="0">
                  <c:v>0</c:v>
                </c:pt>
                <c:pt idx="1">
                  <c:v>3.6383043465407591E-2</c:v>
                </c:pt>
                <c:pt idx="2">
                  <c:v>7.2766086930815183E-2</c:v>
                </c:pt>
                <c:pt idx="3">
                  <c:v>0.10914913039622277</c:v>
                </c:pt>
                <c:pt idx="4">
                  <c:v>0.14553217386163037</c:v>
                </c:pt>
                <c:pt idx="5">
                  <c:v>0.18191521732703794</c:v>
                </c:pt>
                <c:pt idx="6">
                  <c:v>0.21829826079244555</c:v>
                </c:pt>
                <c:pt idx="7">
                  <c:v>0.25468130425785312</c:v>
                </c:pt>
                <c:pt idx="8">
                  <c:v>0.29106434772326073</c:v>
                </c:pt>
                <c:pt idx="9">
                  <c:v>0.32744739118866834</c:v>
                </c:pt>
                <c:pt idx="10">
                  <c:v>0.36383043465407588</c:v>
                </c:pt>
                <c:pt idx="11">
                  <c:v>0.40021347811948343</c:v>
                </c:pt>
                <c:pt idx="12">
                  <c:v>0.4365965215848911</c:v>
                </c:pt>
                <c:pt idx="13">
                  <c:v>0.47297956505029864</c:v>
                </c:pt>
                <c:pt idx="14">
                  <c:v>0.50936260851570625</c:v>
                </c:pt>
                <c:pt idx="15">
                  <c:v>0.54574565198111391</c:v>
                </c:pt>
                <c:pt idx="16">
                  <c:v>0.58212869544652146</c:v>
                </c:pt>
                <c:pt idx="17">
                  <c:v>0.61851173891192901</c:v>
                </c:pt>
                <c:pt idx="18">
                  <c:v>0.65489478237733667</c:v>
                </c:pt>
                <c:pt idx="19">
                  <c:v>0.69127782584274411</c:v>
                </c:pt>
                <c:pt idx="20">
                  <c:v>0.72766086930815177</c:v>
                </c:pt>
                <c:pt idx="21">
                  <c:v>0.76404391277355943</c:v>
                </c:pt>
                <c:pt idx="22">
                  <c:v>0.80042695623896687</c:v>
                </c:pt>
                <c:pt idx="23">
                  <c:v>0.83680999970437453</c:v>
                </c:pt>
                <c:pt idx="24">
                  <c:v>0.87319304316978219</c:v>
                </c:pt>
                <c:pt idx="25">
                  <c:v>0.90957608663518963</c:v>
                </c:pt>
                <c:pt idx="26">
                  <c:v>0.94595913010059729</c:v>
                </c:pt>
                <c:pt idx="27">
                  <c:v>0.98234217356600495</c:v>
                </c:pt>
                <c:pt idx="28">
                  <c:v>1.0187252170314125</c:v>
                </c:pt>
                <c:pt idx="29">
                  <c:v>1.05510826049682</c:v>
                </c:pt>
                <c:pt idx="30">
                  <c:v>1.0914913039622278</c:v>
                </c:pt>
                <c:pt idx="31">
                  <c:v>1.1278743474276351</c:v>
                </c:pt>
                <c:pt idx="32">
                  <c:v>1.1642573908930429</c:v>
                </c:pt>
                <c:pt idx="33">
                  <c:v>1.2006404343584505</c:v>
                </c:pt>
                <c:pt idx="34">
                  <c:v>1.237023477823858</c:v>
                </c:pt>
                <c:pt idx="35">
                  <c:v>1.2734065212892656</c:v>
                </c:pt>
                <c:pt idx="36">
                  <c:v>1.3097895647546733</c:v>
                </c:pt>
                <c:pt idx="37">
                  <c:v>1.3461726082200809</c:v>
                </c:pt>
                <c:pt idx="38">
                  <c:v>1.3825556516854882</c:v>
                </c:pt>
                <c:pt idx="39">
                  <c:v>1.418938695150896</c:v>
                </c:pt>
                <c:pt idx="40">
                  <c:v>1.4553217386163035</c:v>
                </c:pt>
                <c:pt idx="41">
                  <c:v>1.4917047820817111</c:v>
                </c:pt>
                <c:pt idx="42">
                  <c:v>1.5280878255471189</c:v>
                </c:pt>
                <c:pt idx="43">
                  <c:v>1.5644708690125264</c:v>
                </c:pt>
                <c:pt idx="44">
                  <c:v>1.6008539124779337</c:v>
                </c:pt>
                <c:pt idx="45">
                  <c:v>1.6372369559433415</c:v>
                </c:pt>
                <c:pt idx="46">
                  <c:v>1.6736199994087491</c:v>
                </c:pt>
                <c:pt idx="47">
                  <c:v>1.7100030428741568</c:v>
                </c:pt>
                <c:pt idx="48">
                  <c:v>1.7463860863395644</c:v>
                </c:pt>
                <c:pt idx="49">
                  <c:v>1.7827691298049719</c:v>
                </c:pt>
                <c:pt idx="50">
                  <c:v>1.8191521732703793</c:v>
                </c:pt>
                <c:pt idx="51">
                  <c:v>1.855535216735787</c:v>
                </c:pt>
                <c:pt idx="52">
                  <c:v>1.8919182602011946</c:v>
                </c:pt>
                <c:pt idx="53">
                  <c:v>1.9283013036666024</c:v>
                </c:pt>
                <c:pt idx="54">
                  <c:v>1.9646843471320099</c:v>
                </c:pt>
                <c:pt idx="55">
                  <c:v>2.0010673905974175</c:v>
                </c:pt>
                <c:pt idx="56">
                  <c:v>2.037450434062825</c:v>
                </c:pt>
                <c:pt idx="57">
                  <c:v>2.0738334775282325</c:v>
                </c:pt>
                <c:pt idx="58">
                  <c:v>2.1102165209936401</c:v>
                </c:pt>
                <c:pt idx="59">
                  <c:v>2.1465995644590476</c:v>
                </c:pt>
                <c:pt idx="60">
                  <c:v>2.1829826079244556</c:v>
                </c:pt>
                <c:pt idx="61">
                  <c:v>2.2193656513898632</c:v>
                </c:pt>
                <c:pt idx="62">
                  <c:v>2.2557486948552703</c:v>
                </c:pt>
                <c:pt idx="63">
                  <c:v>2.2921317383206783</c:v>
                </c:pt>
                <c:pt idx="64">
                  <c:v>2.3285147817860858</c:v>
                </c:pt>
                <c:pt idx="65">
                  <c:v>2.3648978252514934</c:v>
                </c:pt>
                <c:pt idx="66">
                  <c:v>2.4012808687169009</c:v>
                </c:pt>
                <c:pt idx="67">
                  <c:v>2.4376639121823085</c:v>
                </c:pt>
                <c:pt idx="68">
                  <c:v>2.474046955647716</c:v>
                </c:pt>
                <c:pt idx="69">
                  <c:v>2.5104299991131236</c:v>
                </c:pt>
                <c:pt idx="70">
                  <c:v>2.5468130425785311</c:v>
                </c:pt>
                <c:pt idx="71">
                  <c:v>2.5831960860439387</c:v>
                </c:pt>
                <c:pt idx="72">
                  <c:v>2.6195791295093467</c:v>
                </c:pt>
                <c:pt idx="73">
                  <c:v>2.6559621729747538</c:v>
                </c:pt>
                <c:pt idx="74">
                  <c:v>2.6923452164401618</c:v>
                </c:pt>
                <c:pt idx="75">
                  <c:v>2.7287282599055693</c:v>
                </c:pt>
                <c:pt idx="76">
                  <c:v>2.7651113033709764</c:v>
                </c:pt>
                <c:pt idx="77">
                  <c:v>2.8014943468363844</c:v>
                </c:pt>
                <c:pt idx="78">
                  <c:v>2.837877390301792</c:v>
                </c:pt>
                <c:pt idx="79">
                  <c:v>2.8742604337671995</c:v>
                </c:pt>
                <c:pt idx="80">
                  <c:v>2.9106434772326071</c:v>
                </c:pt>
                <c:pt idx="81">
                  <c:v>2.9470265206980151</c:v>
                </c:pt>
                <c:pt idx="82">
                  <c:v>2.9834095641634222</c:v>
                </c:pt>
                <c:pt idx="83">
                  <c:v>3.0197926076288297</c:v>
                </c:pt>
                <c:pt idx="84">
                  <c:v>3.0561756510942377</c:v>
                </c:pt>
                <c:pt idx="85">
                  <c:v>3.0925586945596448</c:v>
                </c:pt>
                <c:pt idx="86">
                  <c:v>3.1289417380250528</c:v>
                </c:pt>
                <c:pt idx="87">
                  <c:v>3.1653247814904604</c:v>
                </c:pt>
                <c:pt idx="88">
                  <c:v>3.2017078249558675</c:v>
                </c:pt>
                <c:pt idx="89">
                  <c:v>3.2380908684212755</c:v>
                </c:pt>
                <c:pt idx="90">
                  <c:v>3.274473911886683</c:v>
                </c:pt>
                <c:pt idx="91">
                  <c:v>3.310856955352091</c:v>
                </c:pt>
                <c:pt idx="92">
                  <c:v>3.3472399988174981</c:v>
                </c:pt>
                <c:pt idx="93">
                  <c:v>3.3836230422829061</c:v>
                </c:pt>
                <c:pt idx="94">
                  <c:v>3.4200060857483137</c:v>
                </c:pt>
                <c:pt idx="95">
                  <c:v>3.4563891292137208</c:v>
                </c:pt>
                <c:pt idx="96">
                  <c:v>3.4927721726791288</c:v>
                </c:pt>
                <c:pt idx="97">
                  <c:v>3.5291552161445363</c:v>
                </c:pt>
                <c:pt idx="98">
                  <c:v>3.5655382596099439</c:v>
                </c:pt>
                <c:pt idx="99">
                  <c:v>3.6019213030753514</c:v>
                </c:pt>
                <c:pt idx="100">
                  <c:v>3.6383043465407585</c:v>
                </c:pt>
                <c:pt idx="101">
                  <c:v>3.6746873900061665</c:v>
                </c:pt>
                <c:pt idx="102">
                  <c:v>3.7110704334715741</c:v>
                </c:pt>
                <c:pt idx="103">
                  <c:v>3.7474534769369821</c:v>
                </c:pt>
                <c:pt idx="104">
                  <c:v>3.7838365204023892</c:v>
                </c:pt>
                <c:pt idx="105">
                  <c:v>3.8202195638677967</c:v>
                </c:pt>
                <c:pt idx="106">
                  <c:v>3.8566026073332047</c:v>
                </c:pt>
                <c:pt idx="107">
                  <c:v>3.8929856507986118</c:v>
                </c:pt>
                <c:pt idx="108">
                  <c:v>3.9293686942640198</c:v>
                </c:pt>
                <c:pt idx="109">
                  <c:v>3.9657517377294274</c:v>
                </c:pt>
                <c:pt idx="110">
                  <c:v>4.0021347811948349</c:v>
                </c:pt>
                <c:pt idx="111">
                  <c:v>4.0385178246602429</c:v>
                </c:pt>
                <c:pt idx="112">
                  <c:v>4.07490086812565</c:v>
                </c:pt>
                <c:pt idx="113">
                  <c:v>4.111283911591058</c:v>
                </c:pt>
                <c:pt idx="114">
                  <c:v>4.1476669550564651</c:v>
                </c:pt>
                <c:pt idx="115">
                  <c:v>4.1840499985218731</c:v>
                </c:pt>
                <c:pt idx="116">
                  <c:v>4.2204330419872802</c:v>
                </c:pt>
                <c:pt idx="117">
                  <c:v>4.2568160854526873</c:v>
                </c:pt>
                <c:pt idx="118">
                  <c:v>4.2931991289180953</c:v>
                </c:pt>
                <c:pt idx="119">
                  <c:v>4.3295821723835033</c:v>
                </c:pt>
                <c:pt idx="120">
                  <c:v>4.3659652158489113</c:v>
                </c:pt>
                <c:pt idx="121">
                  <c:v>4.4023482593143184</c:v>
                </c:pt>
                <c:pt idx="122">
                  <c:v>4.4387313027797264</c:v>
                </c:pt>
                <c:pt idx="123">
                  <c:v>4.4751143462451335</c:v>
                </c:pt>
                <c:pt idx="124">
                  <c:v>4.5114973897105406</c:v>
                </c:pt>
                <c:pt idx="125">
                  <c:v>4.5478804331759486</c:v>
                </c:pt>
                <c:pt idx="126">
                  <c:v>4.5842634766413566</c:v>
                </c:pt>
                <c:pt idx="127">
                  <c:v>4.6206465201067637</c:v>
                </c:pt>
                <c:pt idx="128">
                  <c:v>4.6570295635721717</c:v>
                </c:pt>
                <c:pt idx="129">
                  <c:v>4.6934126070375788</c:v>
                </c:pt>
                <c:pt idx="130">
                  <c:v>4.7297956505029868</c:v>
                </c:pt>
                <c:pt idx="131">
                  <c:v>4.7661786939683939</c:v>
                </c:pt>
                <c:pt idx="132">
                  <c:v>4.8025617374338019</c:v>
                </c:pt>
                <c:pt idx="133">
                  <c:v>4.838944780899209</c:v>
                </c:pt>
                <c:pt idx="134">
                  <c:v>4.875327824364617</c:v>
                </c:pt>
                <c:pt idx="135">
                  <c:v>4.911710867830025</c:v>
                </c:pt>
                <c:pt idx="136">
                  <c:v>4.9480939112954321</c:v>
                </c:pt>
                <c:pt idx="137">
                  <c:v>4.9844769547608401</c:v>
                </c:pt>
                <c:pt idx="138">
                  <c:v>5.0208599982262472</c:v>
                </c:pt>
                <c:pt idx="139">
                  <c:v>5.0572430416916552</c:v>
                </c:pt>
                <c:pt idx="140">
                  <c:v>5.0936260851570623</c:v>
                </c:pt>
                <c:pt idx="141">
                  <c:v>5.1300091286224703</c:v>
                </c:pt>
                <c:pt idx="142">
                  <c:v>5.1663921720878774</c:v>
                </c:pt>
                <c:pt idx="143">
                  <c:v>5.2027752155532854</c:v>
                </c:pt>
                <c:pt idx="144">
                  <c:v>5.2391582590186934</c:v>
                </c:pt>
                <c:pt idx="145">
                  <c:v>5.2755413024841005</c:v>
                </c:pt>
                <c:pt idx="146">
                  <c:v>5.3119243459495076</c:v>
                </c:pt>
                <c:pt idx="147">
                  <c:v>5.3483073894149156</c:v>
                </c:pt>
                <c:pt idx="148">
                  <c:v>5.3846904328803236</c:v>
                </c:pt>
                <c:pt idx="149">
                  <c:v>5.4210734763457307</c:v>
                </c:pt>
                <c:pt idx="150">
                  <c:v>5.4574565198111387</c:v>
                </c:pt>
                <c:pt idx="151">
                  <c:v>5.4938395632765458</c:v>
                </c:pt>
                <c:pt idx="152">
                  <c:v>5.5302226067419529</c:v>
                </c:pt>
                <c:pt idx="153">
                  <c:v>5.5666056502073618</c:v>
                </c:pt>
                <c:pt idx="154">
                  <c:v>5.6029886936727689</c:v>
                </c:pt>
                <c:pt idx="155">
                  <c:v>5.639371737138176</c:v>
                </c:pt>
                <c:pt idx="156">
                  <c:v>5.675754780603584</c:v>
                </c:pt>
                <c:pt idx="157">
                  <c:v>5.712137824068992</c:v>
                </c:pt>
                <c:pt idx="158">
                  <c:v>5.7485208675343991</c:v>
                </c:pt>
                <c:pt idx="159">
                  <c:v>5.7849039109998071</c:v>
                </c:pt>
                <c:pt idx="160">
                  <c:v>5.8212869544652142</c:v>
                </c:pt>
                <c:pt idx="161">
                  <c:v>5.8576699979306213</c:v>
                </c:pt>
                <c:pt idx="162">
                  <c:v>5.8940530413960301</c:v>
                </c:pt>
                <c:pt idx="163">
                  <c:v>5.9304360848614373</c:v>
                </c:pt>
                <c:pt idx="164">
                  <c:v>5.9668191283268444</c:v>
                </c:pt>
                <c:pt idx="165">
                  <c:v>6.0032021717922524</c:v>
                </c:pt>
                <c:pt idx="166">
                  <c:v>6.0395852152576595</c:v>
                </c:pt>
                <c:pt idx="167">
                  <c:v>6.0759682587230683</c:v>
                </c:pt>
                <c:pt idx="168">
                  <c:v>6.1123513021884754</c:v>
                </c:pt>
                <c:pt idx="169">
                  <c:v>6.1487343456538825</c:v>
                </c:pt>
                <c:pt idx="170">
                  <c:v>6.1851173891192897</c:v>
                </c:pt>
                <c:pt idx="171">
                  <c:v>6.2215004325846976</c:v>
                </c:pt>
                <c:pt idx="172">
                  <c:v>6.2578834760501056</c:v>
                </c:pt>
                <c:pt idx="173">
                  <c:v>6.2942665195155136</c:v>
                </c:pt>
                <c:pt idx="174">
                  <c:v>6.3306495629809207</c:v>
                </c:pt>
                <c:pt idx="175">
                  <c:v>6.3670326064463278</c:v>
                </c:pt>
                <c:pt idx="176">
                  <c:v>6.403415649911735</c:v>
                </c:pt>
                <c:pt idx="177">
                  <c:v>6.4397986933771438</c:v>
                </c:pt>
                <c:pt idx="178">
                  <c:v>6.4761817368425509</c:v>
                </c:pt>
                <c:pt idx="179">
                  <c:v>6.512564780307958</c:v>
                </c:pt>
                <c:pt idx="180">
                  <c:v>6.548947823773366</c:v>
                </c:pt>
                <c:pt idx="181">
                  <c:v>6.5853308672387731</c:v>
                </c:pt>
                <c:pt idx="182">
                  <c:v>6.621713910704182</c:v>
                </c:pt>
                <c:pt idx="183">
                  <c:v>6.6580969541695891</c:v>
                </c:pt>
                <c:pt idx="184">
                  <c:v>6.6944799976349962</c:v>
                </c:pt>
                <c:pt idx="185">
                  <c:v>6.7308630411004033</c:v>
                </c:pt>
                <c:pt idx="186">
                  <c:v>6.7672460845658122</c:v>
                </c:pt>
                <c:pt idx="187">
                  <c:v>6.8036291280312193</c:v>
                </c:pt>
                <c:pt idx="188">
                  <c:v>6.8400121714966273</c:v>
                </c:pt>
                <c:pt idx="189">
                  <c:v>6.8763952149620344</c:v>
                </c:pt>
                <c:pt idx="190">
                  <c:v>6.9127782584274415</c:v>
                </c:pt>
                <c:pt idx="191">
                  <c:v>6.9491613018928504</c:v>
                </c:pt>
                <c:pt idx="192">
                  <c:v>6.9855443453582575</c:v>
                </c:pt>
                <c:pt idx="193">
                  <c:v>7.0219273888236646</c:v>
                </c:pt>
                <c:pt idx="194">
                  <c:v>7.0583104322890726</c:v>
                </c:pt>
                <c:pt idx="195">
                  <c:v>7.0946934757544797</c:v>
                </c:pt>
                <c:pt idx="196">
                  <c:v>7.1310765192198877</c:v>
                </c:pt>
                <c:pt idx="197">
                  <c:v>7.1674595626852957</c:v>
                </c:pt>
                <c:pt idx="198">
                  <c:v>7.2038426061507028</c:v>
                </c:pt>
                <c:pt idx="199">
                  <c:v>7.2402256496161099</c:v>
                </c:pt>
                <c:pt idx="200">
                  <c:v>7.276608693081517</c:v>
                </c:pt>
              </c:numCache>
            </c:numRef>
          </c:xVal>
          <c:yVal>
            <c:numRef>
              <c:f>'Isothermal PFR'!$S$39:$S$239</c:f>
              <c:numCache>
                <c:formatCode>0.00E+00</c:formatCode>
                <c:ptCount val="201"/>
                <c:pt idx="0" formatCode="General">
                  <c:v>0</c:v>
                </c:pt>
                <c:pt idx="1">
                  <c:v>2.1592347684620049E-3</c:v>
                </c:pt>
                <c:pt idx="2" formatCode="General">
                  <c:v>4.3171197023654587E-3</c:v>
                </c:pt>
                <c:pt idx="3" formatCode="General">
                  <c:v>6.4736514925658913E-3</c:v>
                </c:pt>
                <c:pt idx="4">
                  <c:v>8.6288268206170596E-3</c:v>
                </c:pt>
                <c:pt idx="5" formatCode="General">
                  <c:v>1.0782642358751518E-2</c:v>
                </c:pt>
                <c:pt idx="6" formatCode="General">
                  <c:v>1.2935094769861256E-2</c:v>
                </c:pt>
                <c:pt idx="7" formatCode="General">
                  <c:v>1.508618070747841E-2</c:v>
                </c:pt>
                <c:pt idx="8" formatCode="General">
                  <c:v>1.7235896815756085E-2</c:v>
                </c:pt>
                <c:pt idx="9" formatCode="General">
                  <c:v>1.9384239729449214E-2</c:v>
                </c:pt>
                <c:pt idx="10" formatCode="General">
                  <c:v>2.1531206073895529E-2</c:v>
                </c:pt>
                <c:pt idx="11" formatCode="General">
                  <c:v>2.3676792464996637E-2</c:v>
                </c:pt>
                <c:pt idx="12" formatCode="General">
                  <c:v>2.5820995509199141E-2</c:v>
                </c:pt>
                <c:pt idx="13" formatCode="General">
                  <c:v>2.796381180347586E-2</c:v>
                </c:pt>
                <c:pt idx="14" formatCode="General">
                  <c:v>3.0105237935307186E-2</c:v>
                </c:pt>
                <c:pt idx="15" formatCode="General">
                  <c:v>3.2245270482662479E-2</c:v>
                </c:pt>
                <c:pt idx="16" formatCode="General">
                  <c:v>3.4383906013981579E-2</c:v>
                </c:pt>
                <c:pt idx="17" formatCode="General">
                  <c:v>3.6521141088156434E-2</c:v>
                </c:pt>
                <c:pt idx="18" formatCode="General">
                  <c:v>3.8656972254512818E-2</c:v>
                </c:pt>
                <c:pt idx="19" formatCode="General">
                  <c:v>4.0791396052792098E-2</c:v>
                </c:pt>
                <c:pt idx="20" formatCode="General">
                  <c:v>4.2924409013133241E-2</c:v>
                </c:pt>
                <c:pt idx="21" formatCode="General">
                  <c:v>4.5056007656054747E-2</c:v>
                </c:pt>
                <c:pt idx="22" formatCode="General">
                  <c:v>4.7186188492436838E-2</c:v>
                </c:pt>
                <c:pt idx="23" formatCode="General">
                  <c:v>4.9314948023503724E-2</c:v>
                </c:pt>
                <c:pt idx="24" formatCode="General">
                  <c:v>5.1442282740805902E-2</c:v>
                </c:pt>
                <c:pt idx="25" formatCode="General">
                  <c:v>5.3568189126202662E-2</c:v>
                </c:pt>
                <c:pt idx="26" formatCode="General">
                  <c:v>5.569266365184472E-2</c:v>
                </c:pt>
                <c:pt idx="27" formatCode="General">
                  <c:v>5.7815702780156859E-2</c:v>
                </c:pt>
                <c:pt idx="28" formatCode="General">
                  <c:v>5.993730296382082E-2</c:v>
                </c:pt>
                <c:pt idx="29" formatCode="General">
                  <c:v>6.205746064575824E-2</c:v>
                </c:pt>
                <c:pt idx="30" formatCode="General">
                  <c:v>6.4176172259113776E-2</c:v>
                </c:pt>
                <c:pt idx="31" formatCode="General">
                  <c:v>6.6293434227238213E-2</c:v>
                </c:pt>
                <c:pt idx="32" formatCode="General">
                  <c:v>6.8409242963672026E-2</c:v>
                </c:pt>
                <c:pt idx="33" formatCode="General">
                  <c:v>7.0523594872128628E-2</c:v>
                </c:pt>
                <c:pt idx="34" formatCode="General">
                  <c:v>7.2636486346478138E-2</c:v>
                </c:pt>
                <c:pt idx="35" formatCode="General">
                  <c:v>7.4747913770731131E-2</c:v>
                </c:pt>
                <c:pt idx="36" formatCode="General">
                  <c:v>7.6857873519022485E-2</c:v>
                </c:pt>
                <c:pt idx="37" formatCode="General">
                  <c:v>7.8966361955595463E-2</c:v>
                </c:pt>
                <c:pt idx="38" formatCode="General">
                  <c:v>8.1073375434785919E-2</c:v>
                </c:pt>
                <c:pt idx="39" formatCode="General">
                  <c:v>8.3178910301006673E-2</c:v>
                </c:pt>
                <c:pt idx="40" formatCode="General">
                  <c:v>8.5282962888731897E-2</c:v>
                </c:pt>
                <c:pt idx="41" formatCode="General">
                  <c:v>8.7385529522481895E-2</c:v>
                </c:pt>
                <c:pt idx="42" formatCode="General">
                  <c:v>8.9486606516807857E-2</c:v>
                </c:pt>
                <c:pt idx="43" formatCode="General">
                  <c:v>9.158619017627681E-2</c:v>
                </c:pt>
                <c:pt idx="44" formatCode="General">
                  <c:v>9.3684276795456808E-2</c:v>
                </c:pt>
                <c:pt idx="45" formatCode="General">
                  <c:v>9.5780862658902233E-2</c:v>
                </c:pt>
                <c:pt idx="46" formatCode="General">
                  <c:v>9.7875944041139168E-2</c:v>
                </c:pt>
                <c:pt idx="47" formatCode="General">
                  <c:v>9.996951720665119E-2</c:v>
                </c:pt>
                <c:pt idx="48" formatCode="General">
                  <c:v>0.10206157840986506</c:v>
                </c:pt>
                <c:pt idx="49" formatCode="General">
                  <c:v>0.1041521238951368</c:v>
                </c:pt>
                <c:pt idx="50" formatCode="General">
                  <c:v>0.10624114989673782</c:v>
                </c:pt>
                <c:pt idx="51" formatCode="General">
                  <c:v>0.10832865263884135</c:v>
                </c:pt>
                <c:pt idx="52" formatCode="General">
                  <c:v>0.11041462833550887</c:v>
                </c:pt>
                <c:pt idx="53" formatCode="General">
                  <c:v>0.11249907319067695</c:v>
                </c:pt>
                <c:pt idx="54" formatCode="General">
                  <c:v>0.11458198339814411</c:v>
                </c:pt>
                <c:pt idx="55" formatCode="General">
                  <c:v>0.11666335514155801</c:v>
                </c:pt>
                <c:pt idx="56" formatCode="General">
                  <c:v>0.11874318459440272</c:v>
                </c:pt>
                <c:pt idx="57" formatCode="General">
                  <c:v>0.12082146791998628</c:v>
                </c:pt>
                <c:pt idx="58" formatCode="General">
                  <c:v>0.12289820127142839</c:v>
                </c:pt>
                <c:pt idx="59" formatCode="General">
                  <c:v>0.12497338079164839</c:v>
                </c:pt>
                <c:pt idx="60" formatCode="General">
                  <c:v>0.12704700261335344</c:v>
                </c:pt>
                <c:pt idx="61" formatCode="General">
                  <c:v>0.12911906285902675</c:v>
                </c:pt>
                <c:pt idx="62" formatCode="General">
                  <c:v>0.13118955764091628</c:v>
                </c:pt>
                <c:pt idx="63" formatCode="General">
                  <c:v>0.13325848306102364</c:v>
                </c:pt>
                <c:pt idx="64" formatCode="General">
                  <c:v>0.13532583521109284</c:v>
                </c:pt>
                <c:pt idx="65" formatCode="General">
                  <c:v>0.13739161017259979</c:v>
                </c:pt>
                <c:pt idx="66" formatCode="General">
                  <c:v>0.13945580401674174</c:v>
                </c:pt>
                <c:pt idx="67" formatCode="General">
                  <c:v>0.14151841280442695</c:v>
                </c:pt>
                <c:pt idx="68" formatCode="General">
                  <c:v>0.14357943258626471</c:v>
                </c:pt>
                <c:pt idx="69" formatCode="General">
                  <c:v>0.1456388594025555</c:v>
                </c:pt>
                <c:pt idx="70" formatCode="General">
                  <c:v>0.14769668928328147</c:v>
                </c:pt>
                <c:pt idx="71" formatCode="General">
                  <c:v>0.14975291824809717</c:v>
                </c:pt>
                <c:pt idx="72" formatCode="General">
                  <c:v>0.15180754230632046</c:v>
                </c:pt>
                <c:pt idx="73" formatCode="General">
                  <c:v>0.1538605574569237</c:v>
                </c:pt>
                <c:pt idx="74" formatCode="General">
                  <c:v>0.15591195968852542</c:v>
                </c:pt>
                <c:pt idx="75" formatCode="General">
                  <c:v>0.15796174497938176</c:v>
                </c:pt>
                <c:pt idx="76" formatCode="General">
                  <c:v>0.16000990929737866</c:v>
                </c:pt>
                <c:pt idx="77" formatCode="General">
                  <c:v>0.16205644860002419</c:v>
                </c:pt>
                <c:pt idx="78" formatCode="General">
                  <c:v>0.16410135883444088</c:v>
                </c:pt>
                <c:pt idx="79" formatCode="General">
                  <c:v>0.16614463593735881</c:v>
                </c:pt>
                <c:pt idx="80" formatCode="General">
                  <c:v>0.16818627583510859</c:v>
                </c:pt>
                <c:pt idx="81" formatCode="General">
                  <c:v>0.17022627444361477</c:v>
                </c:pt>
                <c:pt idx="82" formatCode="General">
                  <c:v>0.17226462766838951</c:v>
                </c:pt>
                <c:pt idx="83" formatCode="General">
                  <c:v>0.17430133140452678</c:v>
                </c:pt>
                <c:pt idx="84" formatCode="General">
                  <c:v>0.1763363815366964</c:v>
                </c:pt>
                <c:pt idx="85" formatCode="General">
                  <c:v>0.17836977393913866</c:v>
                </c:pt>
                <c:pt idx="86" formatCode="General">
                  <c:v>0.1804015044756595</c:v>
                </c:pt>
                <c:pt idx="87" formatCode="General">
                  <c:v>0.18243156899962532</c:v>
                </c:pt>
                <c:pt idx="88" formatCode="General">
                  <c:v>0.18445996335395881</c:v>
                </c:pt>
                <c:pt idx="89" formatCode="General">
                  <c:v>0.18648668337113483</c:v>
                </c:pt>
                <c:pt idx="90" formatCode="General">
                  <c:v>0.1885117248731763</c:v>
                </c:pt>
                <c:pt idx="91" formatCode="General">
                  <c:v>0.19053508367165101</c:v>
                </c:pt>
                <c:pt idx="92" formatCode="General">
                  <c:v>0.19255675556766824</c:v>
                </c:pt>
                <c:pt idx="93" formatCode="General">
                  <c:v>0.19457673635187625</c:v>
                </c:pt>
                <c:pt idx="94" formatCode="General">
                  <c:v>0.19659502180445937</c:v>
                </c:pt>
                <c:pt idx="95" formatCode="General">
                  <c:v>0.19861160769513619</c:v>
                </c:pt>
                <c:pt idx="96" formatCode="General">
                  <c:v>0.20062648978315781</c:v>
                </c:pt>
                <c:pt idx="97" formatCode="General">
                  <c:v>0.20263966381730614</c:v>
                </c:pt>
                <c:pt idx="98" formatCode="General">
                  <c:v>0.20465112553589307</c:v>
                </c:pt>
                <c:pt idx="99" formatCode="General">
                  <c:v>0.20666087066675976</c:v>
                </c:pt>
                <c:pt idx="100" formatCode="General">
                  <c:v>0.20866889492727619</c:v>
                </c:pt>
                <c:pt idx="101" formatCode="General">
                  <c:v>0.21067519402434146</c:v>
                </c:pt>
                <c:pt idx="102" formatCode="General">
                  <c:v>0.21267976365438382</c:v>
                </c:pt>
                <c:pt idx="103" formatCode="General">
                  <c:v>0.21468259950336191</c:v>
                </c:pt>
                <c:pt idx="104" formatCode="General">
                  <c:v>0.21668369724676562</c:v>
                </c:pt>
                <c:pt idx="105" formatCode="General">
                  <c:v>0.21868305254961801</c:v>
                </c:pt>
                <c:pt idx="106" formatCode="General">
                  <c:v>0.22068066106647707</c:v>
                </c:pt>
                <c:pt idx="107" formatCode="General">
                  <c:v>0.22267651844143813</c:v>
                </c:pt>
                <c:pt idx="108" formatCode="General">
                  <c:v>0.22467062030813689</c:v>
                </c:pt>
                <c:pt idx="109" formatCode="General">
                  <c:v>0.22666296228975238</c:v>
                </c:pt>
                <c:pt idx="110" formatCode="General">
                  <c:v>0.22865353999901075</c:v>
                </c:pt>
                <c:pt idx="111" formatCode="General">
                  <c:v>0.23064234903818936</c:v>
                </c:pt>
                <c:pt idx="112" formatCode="General">
                  <c:v>0.23262938499912114</c:v>
                </c:pt>
                <c:pt idx="113" formatCode="General">
                  <c:v>0.23461464346319977</c:v>
                </c:pt>
                <c:pt idx="114" formatCode="General">
                  <c:v>0.23659812000138472</c:v>
                </c:pt>
                <c:pt idx="115" formatCode="General">
                  <c:v>0.23857981017420746</c:v>
                </c:pt>
                <c:pt idx="116" formatCode="General">
                  <c:v>0.24055970953177733</c:v>
                </c:pt>
                <c:pt idx="117" formatCode="General">
                  <c:v>0.24253781361378859</c:v>
                </c:pt>
                <c:pt idx="118" formatCode="General">
                  <c:v>0.24451411794952752</c:v>
                </c:pt>
                <c:pt idx="119" formatCode="General">
                  <c:v>0.24648861805787992</c:v>
                </c:pt>
                <c:pt idx="120" formatCode="General">
                  <c:v>0.24846130944733941</c:v>
                </c:pt>
                <c:pt idx="121" formatCode="General">
                  <c:v>0.25043218761601599</c:v>
                </c:pt>
                <c:pt idx="122" formatCode="General">
                  <c:v>0.25240124805164521</c:v>
                </c:pt>
                <c:pt idx="123" formatCode="General">
                  <c:v>0.25436848623159747</c:v>
                </c:pt>
                <c:pt idx="124" formatCode="General">
                  <c:v>0.2563338976228885</c:v>
                </c:pt>
                <c:pt idx="125" formatCode="General">
                  <c:v>0.25829747768218969</c:v>
                </c:pt>
                <c:pt idx="126" formatCode="General">
                  <c:v>0.26025922185583916</c:v>
                </c:pt>
                <c:pt idx="127" formatCode="General">
                  <c:v>0.26221912557985338</c:v>
                </c:pt>
                <c:pt idx="128" formatCode="General">
                  <c:v>0.26417718427993953</c:v>
                </c:pt>
                <c:pt idx="129" formatCode="General">
                  <c:v>0.26613339337150754</c:v>
                </c:pt>
                <c:pt idx="130" formatCode="General">
                  <c:v>0.26808774825968407</c:v>
                </c:pt>
                <c:pt idx="131" formatCode="General">
                  <c:v>0.27004024433932544</c:v>
                </c:pt>
                <c:pt idx="132" formatCode="General">
                  <c:v>0.27199087699503244</c:v>
                </c:pt>
                <c:pt idx="133" formatCode="General">
                  <c:v>0.27393964160116474</c:v>
                </c:pt>
                <c:pt idx="134" formatCode="General">
                  <c:v>0.27588653352185655</c:v>
                </c:pt>
                <c:pt idx="135" formatCode="General">
                  <c:v>0.27783154811103228</c:v>
                </c:pt>
                <c:pt idx="136" formatCode="General">
                  <c:v>0.27977468071242306</c:v>
                </c:pt>
                <c:pt idx="137" formatCode="General">
                  <c:v>0.28171592665958406</c:v>
                </c:pt>
                <c:pt idx="138" formatCode="General">
                  <c:v>0.28365528127591161</c:v>
                </c:pt>
                <c:pt idx="139" formatCode="General">
                  <c:v>0.28559273987466199</c:v>
                </c:pt>
                <c:pt idx="140" formatCode="General">
                  <c:v>0.28752829775896971</c:v>
                </c:pt>
                <c:pt idx="141" formatCode="General">
                  <c:v>0.28946195022186733</c:v>
                </c:pt>
                <c:pt idx="142" formatCode="General">
                  <c:v>0.29139369254630504</c:v>
                </c:pt>
                <c:pt idx="143" formatCode="General">
                  <c:v>0.29332352000517181</c:v>
                </c:pt>
                <c:pt idx="144" formatCode="General">
                  <c:v>0.29525142786131614</c:v>
                </c:pt>
                <c:pt idx="145" formatCode="General">
                  <c:v>0.29717741136756809</c:v>
                </c:pt>
                <c:pt idx="146" formatCode="General">
                  <c:v>0.29910146576676189</c:v>
                </c:pt>
                <c:pt idx="147" formatCode="General">
                  <c:v>0.30102358629175896</c:v>
                </c:pt>
                <c:pt idx="148" formatCode="General">
                  <c:v>0.30294376816547164</c:v>
                </c:pt>
                <c:pt idx="149" formatCode="General">
                  <c:v>0.30486200660088758</c:v>
                </c:pt>
                <c:pt idx="150" formatCode="General">
                  <c:v>0.30677829680109514</c:v>
                </c:pt>
                <c:pt idx="151" formatCode="General">
                  <c:v>0.30869263395930857</c:v>
                </c:pt>
                <c:pt idx="152" formatCode="General">
                  <c:v>0.310605013258895</c:v>
                </c:pt>
                <c:pt idx="153" formatCode="General">
                  <c:v>0.3125154298734012</c:v>
                </c:pt>
                <c:pt idx="154" formatCode="General">
                  <c:v>0.31442387896658125</c:v>
                </c:pt>
                <c:pt idx="155" formatCode="General">
                  <c:v>0.31633035569242546</c:v>
                </c:pt>
                <c:pt idx="156" formatCode="General">
                  <c:v>0.31823485519518918</c:v>
                </c:pt>
                <c:pt idx="157" formatCode="General">
                  <c:v>0.32013737260942271</c:v>
                </c:pt>
                <c:pt idx="158" formatCode="General">
                  <c:v>0.32203790306000185</c:v>
                </c:pt>
                <c:pt idx="159" formatCode="General">
                  <c:v>0.32393644166215957</c:v>
                </c:pt>
                <c:pt idx="160" formatCode="General">
                  <c:v>0.32583298352151746</c:v>
                </c:pt>
                <c:pt idx="161" formatCode="General">
                  <c:v>0.32772752373411895</c:v>
                </c:pt>
                <c:pt idx="162" formatCode="General">
                  <c:v>0.32962005738646283</c:v>
                </c:pt>
                <c:pt idx="163" formatCode="General">
                  <c:v>0.33151057955553698</c:v>
                </c:pt>
                <c:pt idx="164" formatCode="General">
                  <c:v>0.33339908530885409</c:v>
                </c:pt>
                <c:pt idx="165" formatCode="General">
                  <c:v>0.33528556970448709</c:v>
                </c:pt>
                <c:pt idx="166" formatCode="General">
                  <c:v>0.3371700277911055</c:v>
                </c:pt>
                <c:pt idx="167" formatCode="General">
                  <c:v>0.33905245460801325</c:v>
                </c:pt>
                <c:pt idx="168" formatCode="General">
                  <c:v>0.34093284518518624</c:v>
                </c:pt>
                <c:pt idx="169" formatCode="General">
                  <c:v>0.34281119454331177</c:v>
                </c:pt>
                <c:pt idx="170" formatCode="General">
                  <c:v>0.34468749769382795</c:v>
                </c:pt>
                <c:pt idx="171" formatCode="General">
                  <c:v>0.34656174963896436</c:v>
                </c:pt>
                <c:pt idx="172" formatCode="General">
                  <c:v>0.34843394537178313</c:v>
                </c:pt>
                <c:pt idx="173" formatCode="General">
                  <c:v>0.35030407987622142</c:v>
                </c:pt>
                <c:pt idx="174" formatCode="General">
                  <c:v>0.35217214812713415</c:v>
                </c:pt>
                <c:pt idx="175" formatCode="General">
                  <c:v>0.35403814509033815</c:v>
                </c:pt>
                <c:pt idx="176" formatCode="General">
                  <c:v>0.35590206572265642</c:v>
                </c:pt>
                <c:pt idx="177" formatCode="General">
                  <c:v>0.35776390497196414</c:v>
                </c:pt>
                <c:pt idx="178" formatCode="General">
                  <c:v>0.35962365777723443</c:v>
                </c:pt>
                <c:pt idx="179" formatCode="General">
                  <c:v>0.36148131906858627</c:v>
                </c:pt>
                <c:pt idx="180" formatCode="General">
                  <c:v>0.36333688376733231</c:v>
                </c:pt>
                <c:pt idx="181" formatCode="General">
                  <c:v>0.36519034678602785</c:v>
                </c:pt>
                <c:pt idx="182" formatCode="General">
                  <c:v>0.36704170302852102</c:v>
                </c:pt>
                <c:pt idx="183" formatCode="General">
                  <c:v>0.36889094739000317</c:v>
                </c:pt>
                <c:pt idx="184" formatCode="General">
                  <c:v>0.37073807475706116</c:v>
                </c:pt>
                <c:pt idx="185" formatCode="General">
                  <c:v>0.37258308000772961</c:v>
                </c:pt>
                <c:pt idx="186" formatCode="General">
                  <c:v>0.37442595801154471</c:v>
                </c:pt>
                <c:pt idx="187" formatCode="General">
                  <c:v>0.3762667036295983</c:v>
                </c:pt>
                <c:pt idx="188" formatCode="General">
                  <c:v>0.37810531171459405</c:v>
                </c:pt>
                <c:pt idx="189" formatCode="General">
                  <c:v>0.37994177711090316</c:v>
                </c:pt>
                <c:pt idx="190" formatCode="General">
                  <c:v>0.3817760946546222</c:v>
                </c:pt>
                <c:pt idx="191" formatCode="General">
                  <c:v>0.38360825917363128</c:v>
                </c:pt>
                <c:pt idx="192" formatCode="General">
                  <c:v>0.38543826548765314</c:v>
                </c:pt>
                <c:pt idx="193" formatCode="General">
                  <c:v>0.38726610840831382</c:v>
                </c:pt>
                <c:pt idx="194" formatCode="General">
                  <c:v>0.38909178273920375</c:v>
                </c:pt>
                <c:pt idx="195" formatCode="General">
                  <c:v>0.39091528327593988</c:v>
                </c:pt>
                <c:pt idx="196" formatCode="General">
                  <c:v>0.39273660480622929</c:v>
                </c:pt>
                <c:pt idx="197" formatCode="General">
                  <c:v>0.39455574210993327</c:v>
                </c:pt>
                <c:pt idx="198" formatCode="General">
                  <c:v>0.39637268995913266</c:v>
                </c:pt>
                <c:pt idx="199" formatCode="General">
                  <c:v>0.39818744311819432</c:v>
                </c:pt>
                <c:pt idx="200" formatCode="General">
                  <c:v>0.39999999634383837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B-4058-98AF-FA08694FF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6839056"/>
        <c:axId val="-286830704"/>
      </c:scatterChart>
      <c:valAx>
        <c:axId val="-28683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6830704"/>
        <c:crosses val="autoZero"/>
        <c:crossBetween val="midCat"/>
      </c:valAx>
      <c:valAx>
        <c:axId val="-2868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683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Conversion</a:t>
            </a:r>
            <a:r>
              <a:rPr lang="en-US" baseline="0"/>
              <a:t> vs. Length</a:t>
            </a:r>
            <a:endParaRPr lang="en-US"/>
          </a:p>
        </c:rich>
      </c:tx>
      <c:layout>
        <c:manualLayout>
          <c:xMode val="edge"/>
          <c:yMode val="edge"/>
          <c:x val="0.47552077865266801"/>
          <c:y val="5.0925925925925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'Adiabatic PFR'!$C$38</c:f>
              <c:strCache>
                <c:ptCount val="1"/>
                <c:pt idx="0">
                  <c:v>fb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'Adiabatic PFR'!$B$39:$B$239</c:f>
              <c:numCache>
                <c:formatCode>General</c:formatCode>
                <c:ptCount val="201"/>
                <c:pt idx="0">
                  <c:v>0</c:v>
                </c:pt>
                <c:pt idx="1">
                  <c:v>4.1528305920770725E-2</c:v>
                </c:pt>
                <c:pt idx="2">
                  <c:v>8.305661184154145E-2</c:v>
                </c:pt>
                <c:pt idx="3">
                  <c:v>0.12458491776231216</c:v>
                </c:pt>
                <c:pt idx="4" formatCode="0.00E+00">
                  <c:v>0.1661132236830829</c:v>
                </c:pt>
                <c:pt idx="5">
                  <c:v>0.20764152960385363</c:v>
                </c:pt>
                <c:pt idx="6">
                  <c:v>0.24916983552462432</c:v>
                </c:pt>
                <c:pt idx="7">
                  <c:v>0.29069814144539508</c:v>
                </c:pt>
                <c:pt idx="8">
                  <c:v>0.3322264473661658</c:v>
                </c:pt>
                <c:pt idx="9">
                  <c:v>0.37375475328693653</c:v>
                </c:pt>
                <c:pt idx="10">
                  <c:v>0.41528305920770725</c:v>
                </c:pt>
                <c:pt idx="11">
                  <c:v>0.45681136512847798</c:v>
                </c:pt>
                <c:pt idx="12">
                  <c:v>0.49833967104924864</c:v>
                </c:pt>
                <c:pt idx="13">
                  <c:v>0.53986797697001943</c:v>
                </c:pt>
                <c:pt idx="14">
                  <c:v>0.58139628289079015</c:v>
                </c:pt>
                <c:pt idx="15">
                  <c:v>0.62292458881156088</c:v>
                </c:pt>
                <c:pt idx="16">
                  <c:v>0.6644528947323316</c:v>
                </c:pt>
                <c:pt idx="17">
                  <c:v>0.70598120065310221</c:v>
                </c:pt>
                <c:pt idx="18">
                  <c:v>0.74750950657387305</c:v>
                </c:pt>
                <c:pt idx="19">
                  <c:v>0.78903781249464378</c:v>
                </c:pt>
                <c:pt idx="20">
                  <c:v>0.8305661184154145</c:v>
                </c:pt>
                <c:pt idx="21">
                  <c:v>0.87209442433618523</c:v>
                </c:pt>
                <c:pt idx="22">
                  <c:v>0.91362273025695595</c:v>
                </c:pt>
                <c:pt idx="23">
                  <c:v>0.95515103617772668</c:v>
                </c:pt>
                <c:pt idx="24">
                  <c:v>0.99667934209849729</c:v>
                </c:pt>
                <c:pt idx="25">
                  <c:v>1.0382076480192681</c:v>
                </c:pt>
                <c:pt idx="26">
                  <c:v>1.0797359539400389</c:v>
                </c:pt>
                <c:pt idx="27">
                  <c:v>1.1212642598608096</c:v>
                </c:pt>
                <c:pt idx="28">
                  <c:v>1.1627925657815803</c:v>
                </c:pt>
                <c:pt idx="29">
                  <c:v>1.204320871702351</c:v>
                </c:pt>
                <c:pt idx="30">
                  <c:v>1.2458491776231218</c:v>
                </c:pt>
                <c:pt idx="31">
                  <c:v>1.2873774835438925</c:v>
                </c:pt>
                <c:pt idx="32">
                  <c:v>1.3289057894646632</c:v>
                </c:pt>
                <c:pt idx="33">
                  <c:v>1.3704340953854339</c:v>
                </c:pt>
                <c:pt idx="34">
                  <c:v>1.4119624013062044</c:v>
                </c:pt>
                <c:pt idx="35">
                  <c:v>1.4534907072269754</c:v>
                </c:pt>
                <c:pt idx="36">
                  <c:v>1.4950190131477461</c:v>
                </c:pt>
                <c:pt idx="37">
                  <c:v>1.5365473190685168</c:v>
                </c:pt>
                <c:pt idx="38">
                  <c:v>1.5780756249892876</c:v>
                </c:pt>
                <c:pt idx="39">
                  <c:v>1.6196039309100585</c:v>
                </c:pt>
                <c:pt idx="40">
                  <c:v>1.661132236830829</c:v>
                </c:pt>
                <c:pt idx="41">
                  <c:v>1.7026605427515997</c:v>
                </c:pt>
                <c:pt idx="42">
                  <c:v>1.7441888486723705</c:v>
                </c:pt>
                <c:pt idx="43">
                  <c:v>1.785717154593141</c:v>
                </c:pt>
                <c:pt idx="44">
                  <c:v>1.8272454605139119</c:v>
                </c:pt>
                <c:pt idx="45">
                  <c:v>1.8687737664346826</c:v>
                </c:pt>
                <c:pt idx="46">
                  <c:v>1.9103020723554534</c:v>
                </c:pt>
                <c:pt idx="47">
                  <c:v>1.9518303782762241</c:v>
                </c:pt>
                <c:pt idx="48">
                  <c:v>1.9933586841969946</c:v>
                </c:pt>
                <c:pt idx="49">
                  <c:v>2.0348869901177657</c:v>
                </c:pt>
                <c:pt idx="50">
                  <c:v>2.0764152960385363</c:v>
                </c:pt>
                <c:pt idx="51">
                  <c:v>2.1179436019593068</c:v>
                </c:pt>
                <c:pt idx="52">
                  <c:v>2.1594719078800777</c:v>
                </c:pt>
                <c:pt idx="53">
                  <c:v>2.2010002138008486</c:v>
                </c:pt>
                <c:pt idx="54">
                  <c:v>2.2425285197216192</c:v>
                </c:pt>
                <c:pt idx="55">
                  <c:v>2.2840568256423897</c:v>
                </c:pt>
                <c:pt idx="56">
                  <c:v>2.3255851315631606</c:v>
                </c:pt>
                <c:pt idx="57">
                  <c:v>2.3671134374839311</c:v>
                </c:pt>
                <c:pt idx="58">
                  <c:v>2.4086417434047021</c:v>
                </c:pt>
                <c:pt idx="59">
                  <c:v>2.450170049325473</c:v>
                </c:pt>
                <c:pt idx="60">
                  <c:v>2.4916983552462435</c:v>
                </c:pt>
                <c:pt idx="61">
                  <c:v>2.533226661167014</c:v>
                </c:pt>
                <c:pt idx="62">
                  <c:v>2.574754967087785</c:v>
                </c:pt>
                <c:pt idx="63">
                  <c:v>2.6162832730085559</c:v>
                </c:pt>
                <c:pt idx="64">
                  <c:v>2.6578115789293264</c:v>
                </c:pt>
                <c:pt idx="65">
                  <c:v>2.6993398848500969</c:v>
                </c:pt>
                <c:pt idx="66">
                  <c:v>2.7408681907708679</c:v>
                </c:pt>
                <c:pt idx="67">
                  <c:v>2.7823964966916384</c:v>
                </c:pt>
                <c:pt idx="68">
                  <c:v>2.8239248026124089</c:v>
                </c:pt>
                <c:pt idx="69">
                  <c:v>2.8654531085331802</c:v>
                </c:pt>
                <c:pt idx="70">
                  <c:v>2.9069814144539508</c:v>
                </c:pt>
                <c:pt idx="71">
                  <c:v>2.9485097203747217</c:v>
                </c:pt>
                <c:pt idx="72">
                  <c:v>2.9900380262954922</c:v>
                </c:pt>
                <c:pt idx="73">
                  <c:v>3.0315663322162631</c:v>
                </c:pt>
                <c:pt idx="74">
                  <c:v>3.0730946381370337</c:v>
                </c:pt>
                <c:pt idx="75">
                  <c:v>3.1146229440578042</c:v>
                </c:pt>
                <c:pt idx="76">
                  <c:v>3.1561512499785751</c:v>
                </c:pt>
                <c:pt idx="77">
                  <c:v>3.1976795558993456</c:v>
                </c:pt>
                <c:pt idx="78">
                  <c:v>3.239207861820117</c:v>
                </c:pt>
                <c:pt idx="79">
                  <c:v>3.2807361677408875</c:v>
                </c:pt>
                <c:pt idx="80">
                  <c:v>3.322264473661658</c:v>
                </c:pt>
                <c:pt idx="81">
                  <c:v>3.3637927795824289</c:v>
                </c:pt>
                <c:pt idx="82">
                  <c:v>3.4053210855031995</c:v>
                </c:pt>
                <c:pt idx="83">
                  <c:v>3.44684939142397</c:v>
                </c:pt>
                <c:pt idx="84">
                  <c:v>3.4883776973447409</c:v>
                </c:pt>
                <c:pt idx="85">
                  <c:v>3.5299060032655114</c:v>
                </c:pt>
                <c:pt idx="86">
                  <c:v>3.5714343091862819</c:v>
                </c:pt>
                <c:pt idx="87">
                  <c:v>3.6129626151070533</c:v>
                </c:pt>
                <c:pt idx="88">
                  <c:v>3.6544909210278238</c:v>
                </c:pt>
                <c:pt idx="89">
                  <c:v>3.6960192269485947</c:v>
                </c:pt>
                <c:pt idx="90">
                  <c:v>3.7375475328693653</c:v>
                </c:pt>
                <c:pt idx="91">
                  <c:v>3.7790758387901362</c:v>
                </c:pt>
                <c:pt idx="92">
                  <c:v>3.8206041447109067</c:v>
                </c:pt>
                <c:pt idx="93">
                  <c:v>3.8621324506316772</c:v>
                </c:pt>
                <c:pt idx="94">
                  <c:v>3.9036607565524482</c:v>
                </c:pt>
                <c:pt idx="95">
                  <c:v>3.9451890624732187</c:v>
                </c:pt>
                <c:pt idx="96">
                  <c:v>3.9867173683939892</c:v>
                </c:pt>
                <c:pt idx="97">
                  <c:v>4.0282456743147605</c:v>
                </c:pt>
                <c:pt idx="98">
                  <c:v>4.0697739802355315</c:v>
                </c:pt>
                <c:pt idx="99">
                  <c:v>4.1113022861563016</c:v>
                </c:pt>
                <c:pt idx="100">
                  <c:v>4.1528305920770725</c:v>
                </c:pt>
                <c:pt idx="101">
                  <c:v>4.1943588979978434</c:v>
                </c:pt>
                <c:pt idx="102">
                  <c:v>4.2358872039186135</c:v>
                </c:pt>
                <c:pt idx="103">
                  <c:v>4.2774155098393845</c:v>
                </c:pt>
                <c:pt idx="104">
                  <c:v>4.3189438157601554</c:v>
                </c:pt>
                <c:pt idx="105">
                  <c:v>4.3604721216809255</c:v>
                </c:pt>
                <c:pt idx="106">
                  <c:v>4.4020004276016973</c:v>
                </c:pt>
                <c:pt idx="107">
                  <c:v>4.4435287335224674</c:v>
                </c:pt>
                <c:pt idx="108">
                  <c:v>4.4850570394432383</c:v>
                </c:pt>
                <c:pt idx="109">
                  <c:v>4.5265853453640092</c:v>
                </c:pt>
                <c:pt idx="110">
                  <c:v>4.5681136512847793</c:v>
                </c:pt>
                <c:pt idx="111">
                  <c:v>4.6096419572055503</c:v>
                </c:pt>
                <c:pt idx="112">
                  <c:v>4.6511702631263212</c:v>
                </c:pt>
                <c:pt idx="113">
                  <c:v>4.6926985690470921</c:v>
                </c:pt>
                <c:pt idx="114">
                  <c:v>4.7342268749678622</c:v>
                </c:pt>
                <c:pt idx="115">
                  <c:v>4.775755180888634</c:v>
                </c:pt>
                <c:pt idx="116">
                  <c:v>4.8172834868094041</c:v>
                </c:pt>
                <c:pt idx="117">
                  <c:v>4.858811792730175</c:v>
                </c:pt>
                <c:pt idx="118">
                  <c:v>4.900340098650946</c:v>
                </c:pt>
                <c:pt idx="119">
                  <c:v>4.9418684045717161</c:v>
                </c:pt>
                <c:pt idx="120">
                  <c:v>4.983396710492487</c:v>
                </c:pt>
                <c:pt idx="121">
                  <c:v>5.0249250164132579</c:v>
                </c:pt>
                <c:pt idx="122">
                  <c:v>5.066453322334028</c:v>
                </c:pt>
                <c:pt idx="123">
                  <c:v>5.107981628254799</c:v>
                </c:pt>
                <c:pt idx="124">
                  <c:v>5.1495099341755699</c:v>
                </c:pt>
                <c:pt idx="125">
                  <c:v>5.1910382400963409</c:v>
                </c:pt>
                <c:pt idx="126">
                  <c:v>5.2325665460171118</c:v>
                </c:pt>
                <c:pt idx="127">
                  <c:v>5.2740948519378819</c:v>
                </c:pt>
                <c:pt idx="128">
                  <c:v>5.3156231578586528</c:v>
                </c:pt>
                <c:pt idx="129">
                  <c:v>5.3571514637794238</c:v>
                </c:pt>
                <c:pt idx="130">
                  <c:v>5.3986797697001938</c:v>
                </c:pt>
                <c:pt idx="131">
                  <c:v>5.4402080756209648</c:v>
                </c:pt>
                <c:pt idx="132">
                  <c:v>5.4817363815417357</c:v>
                </c:pt>
                <c:pt idx="133">
                  <c:v>5.5232646874625058</c:v>
                </c:pt>
                <c:pt idx="134">
                  <c:v>5.5647929933832767</c:v>
                </c:pt>
                <c:pt idx="135">
                  <c:v>5.6063212993040477</c:v>
                </c:pt>
                <c:pt idx="136">
                  <c:v>5.6478496052248177</c:v>
                </c:pt>
                <c:pt idx="137">
                  <c:v>5.6893779111455887</c:v>
                </c:pt>
                <c:pt idx="138">
                  <c:v>5.7309062170663605</c:v>
                </c:pt>
                <c:pt idx="139">
                  <c:v>5.7724345229871314</c:v>
                </c:pt>
                <c:pt idx="140">
                  <c:v>5.8139628289079015</c:v>
                </c:pt>
                <c:pt idx="141">
                  <c:v>5.8554911348286725</c:v>
                </c:pt>
                <c:pt idx="142">
                  <c:v>5.8970194407494434</c:v>
                </c:pt>
                <c:pt idx="143">
                  <c:v>5.9385477466702135</c:v>
                </c:pt>
                <c:pt idx="144">
                  <c:v>5.9800760525909844</c:v>
                </c:pt>
                <c:pt idx="145">
                  <c:v>6.0216043585117554</c:v>
                </c:pt>
                <c:pt idx="146">
                  <c:v>6.0631326644325263</c:v>
                </c:pt>
                <c:pt idx="147">
                  <c:v>6.1046609703532964</c:v>
                </c:pt>
                <c:pt idx="148">
                  <c:v>6.1461892762740673</c:v>
                </c:pt>
                <c:pt idx="149">
                  <c:v>6.1877175821948383</c:v>
                </c:pt>
                <c:pt idx="150">
                  <c:v>6.2292458881156083</c:v>
                </c:pt>
                <c:pt idx="151">
                  <c:v>6.2707741940363793</c:v>
                </c:pt>
                <c:pt idx="152">
                  <c:v>6.3123024999571502</c:v>
                </c:pt>
                <c:pt idx="153">
                  <c:v>6.3538308058779203</c:v>
                </c:pt>
                <c:pt idx="154">
                  <c:v>6.3953591117986912</c:v>
                </c:pt>
                <c:pt idx="155">
                  <c:v>6.4368874177194622</c:v>
                </c:pt>
                <c:pt idx="156">
                  <c:v>6.478415723640234</c:v>
                </c:pt>
                <c:pt idx="157">
                  <c:v>6.5199440295610041</c:v>
                </c:pt>
                <c:pt idx="158">
                  <c:v>6.561472335481775</c:v>
                </c:pt>
                <c:pt idx="159">
                  <c:v>6.6030006414025459</c:v>
                </c:pt>
                <c:pt idx="160">
                  <c:v>6.644528947323316</c:v>
                </c:pt>
                <c:pt idx="161">
                  <c:v>6.686057253244087</c:v>
                </c:pt>
                <c:pt idx="162">
                  <c:v>6.7275855591648579</c:v>
                </c:pt>
                <c:pt idx="163">
                  <c:v>6.769113865085628</c:v>
                </c:pt>
                <c:pt idx="164">
                  <c:v>6.8106421710063989</c:v>
                </c:pt>
                <c:pt idx="165">
                  <c:v>6.8521704769271699</c:v>
                </c:pt>
                <c:pt idx="166">
                  <c:v>6.8936987828479399</c:v>
                </c:pt>
                <c:pt idx="167">
                  <c:v>6.9352270887687109</c:v>
                </c:pt>
                <c:pt idx="168">
                  <c:v>6.9767553946894818</c:v>
                </c:pt>
                <c:pt idx="169">
                  <c:v>7.0182837006102519</c:v>
                </c:pt>
                <c:pt idx="170">
                  <c:v>7.0598120065310228</c:v>
                </c:pt>
                <c:pt idx="171">
                  <c:v>7.1013403124517938</c:v>
                </c:pt>
                <c:pt idx="172">
                  <c:v>7.1428686183725638</c:v>
                </c:pt>
                <c:pt idx="173">
                  <c:v>7.1843969242933348</c:v>
                </c:pt>
                <c:pt idx="174">
                  <c:v>7.2259252302141066</c:v>
                </c:pt>
                <c:pt idx="175">
                  <c:v>7.2674535361348775</c:v>
                </c:pt>
                <c:pt idx="176">
                  <c:v>7.3089818420556476</c:v>
                </c:pt>
                <c:pt idx="177">
                  <c:v>7.3505101479764186</c:v>
                </c:pt>
                <c:pt idx="178">
                  <c:v>7.3920384538971895</c:v>
                </c:pt>
                <c:pt idx="179">
                  <c:v>7.4335667598179604</c:v>
                </c:pt>
                <c:pt idx="180">
                  <c:v>7.4750950657387305</c:v>
                </c:pt>
                <c:pt idx="181">
                  <c:v>7.5166233716595015</c:v>
                </c:pt>
                <c:pt idx="182">
                  <c:v>7.5581516775802724</c:v>
                </c:pt>
                <c:pt idx="183">
                  <c:v>7.5996799835010425</c:v>
                </c:pt>
                <c:pt idx="184">
                  <c:v>7.6412082894218134</c:v>
                </c:pt>
                <c:pt idx="185">
                  <c:v>7.6827365953425844</c:v>
                </c:pt>
                <c:pt idx="186">
                  <c:v>7.7242649012633544</c:v>
                </c:pt>
                <c:pt idx="187">
                  <c:v>7.7657932071841254</c:v>
                </c:pt>
                <c:pt idx="188">
                  <c:v>7.8073215131048963</c:v>
                </c:pt>
                <c:pt idx="189">
                  <c:v>7.8488498190256664</c:v>
                </c:pt>
                <c:pt idx="190">
                  <c:v>7.8903781249464373</c:v>
                </c:pt>
                <c:pt idx="191">
                  <c:v>7.9319064308672083</c:v>
                </c:pt>
                <c:pt idx="192">
                  <c:v>7.9734347367879783</c:v>
                </c:pt>
                <c:pt idx="193">
                  <c:v>8.0149630427087502</c:v>
                </c:pt>
                <c:pt idx="194">
                  <c:v>8.0564913486295211</c:v>
                </c:pt>
                <c:pt idx="195">
                  <c:v>8.098019654550292</c:v>
                </c:pt>
                <c:pt idx="196">
                  <c:v>8.139547960471063</c:v>
                </c:pt>
                <c:pt idx="197">
                  <c:v>8.1810762663918339</c:v>
                </c:pt>
                <c:pt idx="198">
                  <c:v>8.2226045723126031</c:v>
                </c:pt>
                <c:pt idx="199">
                  <c:v>8.2641328782333741</c:v>
                </c:pt>
                <c:pt idx="200">
                  <c:v>8.305661184154145</c:v>
                </c:pt>
              </c:numCache>
            </c:numRef>
          </c:xVal>
          <c:yVal>
            <c:numRef>
              <c:f>'Isothermal PFR'!$C$39:$C$239</c:f>
              <c:numCache>
                <c:formatCode>General</c:formatCode>
                <c:ptCount val="201"/>
                <c:pt idx="0">
                  <c:v>0</c:v>
                </c:pt>
                <c:pt idx="1">
                  <c:v>3.210963984229057E-3</c:v>
                </c:pt>
                <c:pt idx="2">
                  <c:v>6.4189406809554532E-3</c:v>
                </c:pt>
                <c:pt idx="3">
                  <c:v>9.6239191875140372E-3</c:v>
                </c:pt>
                <c:pt idx="4">
                  <c:v>1.2825888555624719E-2</c:v>
                </c:pt>
                <c:pt idx="5">
                  <c:v>1.6024837791251117E-2</c:v>
                </c:pt>
                <c:pt idx="6">
                  <c:v>1.9220755854460068E-2</c:v>
                </c:pt>
                <c:pt idx="7">
                  <c:v>2.2413631659282028E-2</c:v>
                </c:pt>
                <c:pt idx="8">
                  <c:v>2.5603454073572351E-2</c:v>
                </c:pt>
                <c:pt idx="9">
                  <c:v>2.8790211918873543E-2</c:v>
                </c:pt>
                <c:pt idx="10">
                  <c:v>3.1973893970278486E-2</c:v>
                </c:pt>
                <c:pt idx="11">
                  <c:v>3.5154488956294638E-2</c:v>
                </c:pt>
                <c:pt idx="12">
                  <c:v>3.8331985558709321E-2</c:v>
                </c:pt>
                <c:pt idx="13">
                  <c:v>4.1506372412456062E-2</c:v>
                </c:pt>
                <c:pt idx="14">
                  <c:v>4.467763810548199E-2</c:v>
                </c:pt>
                <c:pt idx="15">
                  <c:v>4.7845771178616478E-2</c:v>
                </c:pt>
                <c:pt idx="16">
                  <c:v>5.1010760125440868E-2</c:v>
                </c:pt>
                <c:pt idx="17">
                  <c:v>5.4172593392159435E-2</c:v>
                </c:pt>
                <c:pt idx="18">
                  <c:v>5.7331259377471674E-2</c:v>
                </c:pt>
                <c:pt idx="19">
                  <c:v>6.0486746432445684E-2</c:v>
                </c:pt>
                <c:pt idx="20">
                  <c:v>6.3639042860393111E-2</c:v>
                </c:pt>
                <c:pt idx="21">
                  <c:v>6.6788136916745275E-2</c:v>
                </c:pt>
                <c:pt idx="22">
                  <c:v>6.9934016808930757E-2</c:v>
                </c:pt>
                <c:pt idx="23">
                  <c:v>7.3076670696254439E-2</c:v>
                </c:pt>
                <c:pt idx="24">
                  <c:v>7.6216086689777987E-2</c:v>
                </c:pt>
                <c:pt idx="25">
                  <c:v>7.9352252852201918E-2</c:v>
                </c:pt>
                <c:pt idx="26">
                  <c:v>8.2485157197749071E-2</c:v>
                </c:pt>
                <c:pt idx="27">
                  <c:v>8.5614787692049915E-2</c:v>
                </c:pt>
                <c:pt idx="28">
                  <c:v>8.8741132252029273E-2</c:v>
                </c:pt>
                <c:pt idx="29">
                  <c:v>9.1864178745794903E-2</c:v>
                </c:pt>
                <c:pt idx="30">
                  <c:v>9.4983914992527674E-2</c:v>
                </c:pt>
                <c:pt idx="31">
                  <c:v>9.8100328762373637E-2</c:v>
                </c:pt>
                <c:pt idx="32">
                  <c:v>0.10121340777633783</c:v>
                </c:pt>
                <c:pt idx="33">
                  <c:v>0.10432313970618001</c:v>
                </c:pt>
                <c:pt idx="34">
                  <c:v>0.10742951217431219</c:v>
                </c:pt>
                <c:pt idx="35">
                  <c:v>0.11053251275369839</c:v>
                </c:pt>
                <c:pt idx="36">
                  <c:v>0.11363212896775597</c:v>
                </c:pt>
                <c:pt idx="37">
                  <c:v>0.11672834829025946</c:v>
                </c:pt>
                <c:pt idx="38">
                  <c:v>0.1198211581452463</c:v>
                </c:pt>
                <c:pt idx="39">
                  <c:v>0.12291054590692464</c:v>
                </c:pt>
                <c:pt idx="40">
                  <c:v>0.1259964988995835</c:v>
                </c:pt>
                <c:pt idx="41">
                  <c:v>0.12907900439750525</c:v>
                </c:pt>
                <c:pt idx="42">
                  <c:v>0.13215804962488009</c:v>
                </c:pt>
                <c:pt idx="43">
                  <c:v>0.13523362175572326</c:v>
                </c:pt>
                <c:pt idx="44">
                  <c:v>0.13830570791379454</c:v>
                </c:pt>
                <c:pt idx="45">
                  <c:v>0.14137429517251995</c:v>
                </c:pt>
                <c:pt idx="46">
                  <c:v>0.14443937055491651</c:v>
                </c:pt>
                <c:pt idx="47">
                  <c:v>0.14750092103351917</c:v>
                </c:pt>
                <c:pt idx="48">
                  <c:v>0.1505589335303105</c:v>
                </c:pt>
                <c:pt idx="49">
                  <c:v>0.15361339491665318</c:v>
                </c:pt>
                <c:pt idx="50">
                  <c:v>0.15666429201322504</c:v>
                </c:pt>
                <c:pt idx="51">
                  <c:v>0.15971161158995723</c:v>
                </c:pt>
                <c:pt idx="52">
                  <c:v>0.16275534036597494</c:v>
                </c:pt>
                <c:pt idx="53">
                  <c:v>0.16579546500954129</c:v>
                </c:pt>
                <c:pt idx="54">
                  <c:v>0.16883197213800405</c:v>
                </c:pt>
                <c:pt idx="55">
                  <c:v>0.17186484831774576</c:v>
                </c:pt>
                <c:pt idx="56">
                  <c:v>0.17489408006413656</c:v>
                </c:pt>
                <c:pt idx="57">
                  <c:v>0.17791965384149039</c:v>
                </c:pt>
                <c:pt idx="58">
                  <c:v>0.18094155606302462</c:v>
                </c:pt>
                <c:pt idx="59">
                  <c:v>0.18395977309082276</c:v>
                </c:pt>
                <c:pt idx="60">
                  <c:v>0.1869742912358007</c:v>
                </c:pt>
                <c:pt idx="61">
                  <c:v>0.18998509675767644</c:v>
                </c:pt>
                <c:pt idx="62">
                  <c:v>0.19299217586494327</c:v>
                </c:pt>
                <c:pt idx="63">
                  <c:v>0.1959955147148465</c:v>
                </c:pt>
                <c:pt idx="64">
                  <c:v>0.1989950994133641</c:v>
                </c:pt>
                <c:pt idx="65">
                  <c:v>0.20199091601519092</c:v>
                </c:pt>
                <c:pt idx="66">
                  <c:v>0.20498295052372678</c:v>
                </c:pt>
                <c:pt idx="67">
                  <c:v>0.2079711888910683</c:v>
                </c:pt>
                <c:pt idx="68">
                  <c:v>0.21095561701800505</c:v>
                </c:pt>
                <c:pt idx="69">
                  <c:v>0.21393622075401947</c:v>
                </c:pt>
                <c:pt idx="70">
                  <c:v>0.21691298589729074</c:v>
                </c:pt>
                <c:pt idx="71">
                  <c:v>0.21988589819470364</c:v>
                </c:pt>
                <c:pt idx="72">
                  <c:v>0.22285494334186057</c:v>
                </c:pt>
                <c:pt idx="73">
                  <c:v>0.22582010698309898</c:v>
                </c:pt>
                <c:pt idx="74">
                  <c:v>0.22878137471151244</c:v>
                </c:pt>
                <c:pt idx="75">
                  <c:v>0.2317387320689768</c:v>
                </c:pt>
                <c:pt idx="76">
                  <c:v>0.23469216454618061</c:v>
                </c:pt>
                <c:pt idx="77">
                  <c:v>0.23764165758266034</c:v>
                </c:pt>
                <c:pt idx="78">
                  <c:v>0.24058719656684061</c:v>
                </c:pt>
                <c:pt idx="79">
                  <c:v>0.24352876683607858</c:v>
                </c:pt>
                <c:pt idx="80">
                  <c:v>0.24646635367671429</c:v>
                </c:pt>
                <c:pt idx="81">
                  <c:v>0.2493999423241253</c:v>
                </c:pt>
                <c:pt idx="82">
                  <c:v>0.25232951796278652</c:v>
                </c:pt>
                <c:pt idx="83">
                  <c:v>0.25525506572633561</c:v>
                </c:pt>
                <c:pt idx="84">
                  <c:v>0.25817657069764349</c:v>
                </c:pt>
                <c:pt idx="85">
                  <c:v>0.26109401790889003</c:v>
                </c:pt>
                <c:pt idx="86">
                  <c:v>0.26400739234164561</c:v>
                </c:pt>
                <c:pt idx="87">
                  <c:v>0.26691667892695814</c:v>
                </c:pt>
                <c:pt idx="88">
                  <c:v>0.26982186254544543</c:v>
                </c:pt>
                <c:pt idx="89">
                  <c:v>0.27272292802739401</c:v>
                </c:pt>
                <c:pt idx="90">
                  <c:v>0.27561986015286299</c:v>
                </c:pt>
                <c:pt idx="91">
                  <c:v>0.27851264365179479</c:v>
                </c:pt>
                <c:pt idx="92">
                  <c:v>0.28140126320413106</c:v>
                </c:pt>
                <c:pt idx="93">
                  <c:v>0.28428570343993542</c:v>
                </c:pt>
                <c:pt idx="94">
                  <c:v>0.28716594893952224</c:v>
                </c:pt>
                <c:pt idx="95">
                  <c:v>0.29004198423359157</c:v>
                </c:pt>
                <c:pt idx="96">
                  <c:v>0.29291379380337101</c:v>
                </c:pt>
                <c:pt idx="97">
                  <c:v>0.29578136208076383</c:v>
                </c:pt>
                <c:pt idx="98">
                  <c:v>0.29864467344850371</c:v>
                </c:pt>
                <c:pt idx="99">
                  <c:v>0.30150371224031652</c:v>
                </c:pt>
                <c:pt idx="100">
                  <c:v>0.30435846274108908</c:v>
                </c:pt>
                <c:pt idx="101">
                  <c:v>0.3072089091870443</c:v>
                </c:pt>
                <c:pt idx="102">
                  <c:v>0.31005503576592414</c:v>
                </c:pt>
                <c:pt idx="103">
                  <c:v>0.31289682661717966</c:v>
                </c:pt>
                <c:pt idx="104">
                  <c:v>0.31573426583216779</c:v>
                </c:pt>
                <c:pt idx="105">
                  <c:v>0.31856733745435645</c:v>
                </c:pt>
                <c:pt idx="106">
                  <c:v>0.32139602547953672</c:v>
                </c:pt>
                <c:pt idx="107">
                  <c:v>0.32422031385604233</c:v>
                </c:pt>
                <c:pt idx="108">
                  <c:v>0.32704018648497812</c:v>
                </c:pt>
                <c:pt idx="109">
                  <c:v>0.32985562722045503</c:v>
                </c:pt>
                <c:pt idx="110">
                  <c:v>0.33266661986983381</c:v>
                </c:pt>
                <c:pt idx="111">
                  <c:v>0.33547314819397717</c:v>
                </c:pt>
                <c:pt idx="112">
                  <c:v>0.33827519590750926</c:v>
                </c:pt>
                <c:pt idx="113">
                  <c:v>0.34107274667908444</c:v>
                </c:pt>
                <c:pt idx="114">
                  <c:v>0.34386578413166397</c:v>
                </c:pt>
                <c:pt idx="115">
                  <c:v>0.34665429184280178</c:v>
                </c:pt>
                <c:pt idx="116">
                  <c:v>0.34943825334493817</c:v>
                </c:pt>
                <c:pt idx="117">
                  <c:v>0.35221765212570366</c:v>
                </c:pt>
                <c:pt idx="118">
                  <c:v>0.35499247162823039</c:v>
                </c:pt>
                <c:pt idx="119">
                  <c:v>0.35776269525147353</c:v>
                </c:pt>
                <c:pt idx="120">
                  <c:v>0.36052830635054206</c:v>
                </c:pt>
                <c:pt idx="121">
                  <c:v>0.36328928823703799</c:v>
                </c:pt>
                <c:pt idx="122">
                  <c:v>0.36604562417940589</c:v>
                </c:pt>
                <c:pt idx="123">
                  <c:v>0.36879729740329192</c:v>
                </c:pt>
                <c:pt idx="124">
                  <c:v>0.37154429109191223</c:v>
                </c:pt>
                <c:pt idx="125">
                  <c:v>0.37428658838643147</c:v>
                </c:pt>
                <c:pt idx="126">
                  <c:v>0.37702417238635139</c:v>
                </c:pt>
                <c:pt idx="127">
                  <c:v>0.37975702614990925</c:v>
                </c:pt>
                <c:pt idx="128">
                  <c:v>0.3824851326944872</c:v>
                </c:pt>
                <c:pt idx="129">
                  <c:v>0.38520847499703087</c:v>
                </c:pt>
                <c:pt idx="130">
                  <c:v>0.38792703599447959</c:v>
                </c:pt>
                <c:pt idx="131">
                  <c:v>0.39064079858420692</c:v>
                </c:pt>
                <c:pt idx="132">
                  <c:v>0.3933497456244715</c:v>
                </c:pt>
                <c:pt idx="133">
                  <c:v>0.39605385993487946</c:v>
                </c:pt>
                <c:pt idx="134">
                  <c:v>0.39875312429685777</c:v>
                </c:pt>
                <c:pt idx="135">
                  <c:v>0.40144752145413837</c:v>
                </c:pt>
                <c:pt idx="136">
                  <c:v>0.40413703411325397</c:v>
                </c:pt>
                <c:pt idx="137">
                  <c:v>0.40682164494404549</c:v>
                </c:pt>
                <c:pt idx="138">
                  <c:v>0.40950133658018051</c:v>
                </c:pt>
                <c:pt idx="139">
                  <c:v>0.41217609161968383</c:v>
                </c:pt>
                <c:pt idx="140">
                  <c:v>0.41484589262547999</c:v>
                </c:pt>
                <c:pt idx="141">
                  <c:v>0.41751072212594786</c:v>
                </c:pt>
                <c:pt idx="142">
                  <c:v>0.42017056261548663</c:v>
                </c:pt>
                <c:pt idx="143">
                  <c:v>0.42282539655509488</c:v>
                </c:pt>
                <c:pt idx="144">
                  <c:v>0.4254752063729621</c:v>
                </c:pt>
                <c:pt idx="145">
                  <c:v>0.42811997446507183</c:v>
                </c:pt>
                <c:pt idx="146">
                  <c:v>0.43075968319581859</c:v>
                </c:pt>
                <c:pt idx="147">
                  <c:v>0.43339431489863683</c:v>
                </c:pt>
                <c:pt idx="148">
                  <c:v>0.4360238518766435</c:v>
                </c:pt>
                <c:pt idx="149">
                  <c:v>0.43864827640329296</c:v>
                </c:pt>
                <c:pt idx="150">
                  <c:v>0.44126757072304573</c:v>
                </c:pt>
                <c:pt idx="151">
                  <c:v>0.44388171705205043</c:v>
                </c:pt>
                <c:pt idx="152">
                  <c:v>0.44649069757883902</c:v>
                </c:pt>
                <c:pt idx="153">
                  <c:v>0.44909449446503596</c:v>
                </c:pt>
                <c:pt idx="154">
                  <c:v>0.45169308984608103</c:v>
                </c:pt>
                <c:pt idx="155">
                  <c:v>0.45428646583196586</c:v>
                </c:pt>
                <c:pt idx="156">
                  <c:v>0.45687460450798489</c:v>
                </c:pt>
                <c:pt idx="157">
                  <c:v>0.45945748793549995</c:v>
                </c:pt>
                <c:pt idx="158">
                  <c:v>0.46203509815272004</c:v>
                </c:pt>
                <c:pt idx="159">
                  <c:v>0.46460741717549431</c:v>
                </c:pt>
                <c:pt idx="160">
                  <c:v>0.46717442699812067</c:v>
                </c:pt>
                <c:pt idx="161">
                  <c:v>0.46973610959416867</c:v>
                </c:pt>
                <c:pt idx="162">
                  <c:v>0.47229244691731703</c:v>
                </c:pt>
                <c:pt idx="163">
                  <c:v>0.47484342090220627</c:v>
                </c:pt>
                <c:pt idx="164">
                  <c:v>0.47738901346530688</c:v>
                </c:pt>
                <c:pt idx="165">
                  <c:v>0.47992920650580162</c:v>
                </c:pt>
                <c:pt idx="166">
                  <c:v>0.48246398190648426</c:v>
                </c:pt>
                <c:pt idx="167">
                  <c:v>0.48499332153467317</c:v>
                </c:pt>
                <c:pt idx="168">
                  <c:v>0.48751720724314052</c:v>
                </c:pt>
                <c:pt idx="169">
                  <c:v>0.49003562087105718</c:v>
                </c:pt>
                <c:pt idx="170">
                  <c:v>0.49254854424495381</c:v>
                </c:pt>
                <c:pt idx="171">
                  <c:v>0.49505595917969725</c:v>
                </c:pt>
                <c:pt idx="172">
                  <c:v>0.49755784747948323</c:v>
                </c:pt>
                <c:pt idx="173">
                  <c:v>0.50005419093884562</c:v>
                </c:pt>
                <c:pt idx="174">
                  <c:v>0.50254497134368126</c:v>
                </c:pt>
                <c:pt idx="175">
                  <c:v>0.50503017047229148</c:v>
                </c:pt>
                <c:pt idx="176">
                  <c:v>0.50750977009644038</c:v>
                </c:pt>
                <c:pt idx="177">
                  <c:v>0.50998375198242918</c:v>
                </c:pt>
                <c:pt idx="178">
                  <c:v>0.51245209789218749</c:v>
                </c:pt>
                <c:pt idx="179">
                  <c:v>0.51491478958438164</c:v>
                </c:pt>
                <c:pt idx="180">
                  <c:v>0.51737180881553924</c:v>
                </c:pt>
                <c:pt idx="181">
                  <c:v>0.51982313734119157</c:v>
                </c:pt>
                <c:pt idx="182">
                  <c:v>0.52226875691703223</c:v>
                </c:pt>
                <c:pt idx="183">
                  <c:v>0.52470864930009342</c:v>
                </c:pt>
                <c:pt idx="184">
                  <c:v>0.52714279624993954</c:v>
                </c:pt>
                <c:pt idx="185">
                  <c:v>0.52957117952987776</c:v>
                </c:pt>
                <c:pt idx="186">
                  <c:v>0.53199378090818605</c:v>
                </c:pt>
                <c:pt idx="187">
                  <c:v>0.53441058215935944</c:v>
                </c:pt>
                <c:pt idx="188">
                  <c:v>0.5368215650653726</c:v>
                </c:pt>
                <c:pt idx="189">
                  <c:v>0.53922671141696088</c:v>
                </c:pt>
                <c:pt idx="190">
                  <c:v>0.54162600301491948</c:v>
                </c:pt>
                <c:pt idx="191">
                  <c:v>0.54401942167141881</c:v>
                </c:pt>
                <c:pt idx="192">
                  <c:v>0.54640694921133948</c:v>
                </c:pt>
                <c:pt idx="193">
                  <c:v>0.54878856747362414</c:v>
                </c:pt>
                <c:pt idx="194">
                  <c:v>0.55116425831264715</c:v>
                </c:pt>
                <c:pt idx="195">
                  <c:v>0.55353400359960303</c:v>
                </c:pt>
                <c:pt idx="196">
                  <c:v>0.55589778522391231</c:v>
                </c:pt>
                <c:pt idx="197">
                  <c:v>0.55825558509464546</c:v>
                </c:pt>
                <c:pt idx="198">
                  <c:v>0.56060738514196506</c:v>
                </c:pt>
                <c:pt idx="199">
                  <c:v>0.56295316731858658</c:v>
                </c:pt>
                <c:pt idx="200">
                  <c:v>0.56529291360125622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4A-4725-98A2-EC0427484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6729392"/>
        <c:axId val="-286721056"/>
      </c:scatterChart>
      <c:valAx>
        <c:axId val="-28672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6721056"/>
        <c:crosses val="autoZero"/>
        <c:crossBetween val="midCat"/>
      </c:valAx>
      <c:valAx>
        <c:axId val="-28672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672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  <a:r>
              <a:rPr lang="en-US" baseline="0"/>
              <a:t> Profile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'Adiabatic PFR'!$R$39:$R$239</c:f>
              <c:numCache>
                <c:formatCode>0.00</c:formatCode>
                <c:ptCount val="201"/>
                <c:pt idx="0">
                  <c:v>0</c:v>
                </c:pt>
                <c:pt idx="1">
                  <c:v>1.4528060434875025</c:v>
                </c:pt>
                <c:pt idx="2">
                  <c:v>2.9056120869750051</c:v>
                </c:pt>
                <c:pt idx="3">
                  <c:v>4.3584181304625078</c:v>
                </c:pt>
                <c:pt idx="4">
                  <c:v>5.8112241739500101</c:v>
                </c:pt>
                <c:pt idx="5">
                  <c:v>7.2640302174375115</c:v>
                </c:pt>
                <c:pt idx="6">
                  <c:v>8.7168362609250156</c:v>
                </c:pt>
                <c:pt idx="7">
                  <c:v>10.169642304412518</c:v>
                </c:pt>
                <c:pt idx="8">
                  <c:v>11.62244834790002</c:v>
                </c:pt>
                <c:pt idx="9">
                  <c:v>13.075254391387523</c:v>
                </c:pt>
                <c:pt idx="10">
                  <c:v>14.528060434875023</c:v>
                </c:pt>
                <c:pt idx="11">
                  <c:v>15.980866478362527</c:v>
                </c:pt>
                <c:pt idx="12">
                  <c:v>17.433672521850031</c:v>
                </c:pt>
                <c:pt idx="13">
                  <c:v>18.88647856533753</c:v>
                </c:pt>
                <c:pt idx="14">
                  <c:v>20.339284608825036</c:v>
                </c:pt>
                <c:pt idx="15">
                  <c:v>21.792090652312535</c:v>
                </c:pt>
                <c:pt idx="16">
                  <c:v>23.24489669580004</c:v>
                </c:pt>
                <c:pt idx="17">
                  <c:v>24.697702739287543</c:v>
                </c:pt>
                <c:pt idx="18">
                  <c:v>26.150508782775045</c:v>
                </c:pt>
                <c:pt idx="19">
                  <c:v>27.603314826262544</c:v>
                </c:pt>
                <c:pt idx="20">
                  <c:v>29.056120869750046</c:v>
                </c:pt>
                <c:pt idx="21">
                  <c:v>30.508926913237552</c:v>
                </c:pt>
                <c:pt idx="22">
                  <c:v>31.961732956725054</c:v>
                </c:pt>
                <c:pt idx="23">
                  <c:v>33.414539000212557</c:v>
                </c:pt>
                <c:pt idx="24">
                  <c:v>34.867345043700062</c:v>
                </c:pt>
                <c:pt idx="25">
                  <c:v>36.320151087187561</c:v>
                </c:pt>
                <c:pt idx="26">
                  <c:v>37.77295713067506</c:v>
                </c:pt>
                <c:pt idx="27">
                  <c:v>39.225763174162566</c:v>
                </c:pt>
                <c:pt idx="28">
                  <c:v>40.678569217650072</c:v>
                </c:pt>
                <c:pt idx="29">
                  <c:v>42.13137526113757</c:v>
                </c:pt>
                <c:pt idx="30">
                  <c:v>43.584181304625069</c:v>
                </c:pt>
                <c:pt idx="31">
                  <c:v>45.036987348112582</c:v>
                </c:pt>
                <c:pt idx="32">
                  <c:v>46.489793391600081</c:v>
                </c:pt>
                <c:pt idx="33">
                  <c:v>47.94259943508758</c:v>
                </c:pt>
                <c:pt idx="34">
                  <c:v>49.395405478575086</c:v>
                </c:pt>
                <c:pt idx="35">
                  <c:v>50.848211522062584</c:v>
                </c:pt>
                <c:pt idx="36">
                  <c:v>52.30101756555009</c:v>
                </c:pt>
                <c:pt idx="37">
                  <c:v>53.753823609037589</c:v>
                </c:pt>
                <c:pt idx="38">
                  <c:v>55.206629652525088</c:v>
                </c:pt>
                <c:pt idx="39">
                  <c:v>56.659435696012594</c:v>
                </c:pt>
                <c:pt idx="40">
                  <c:v>58.112241739500092</c:v>
                </c:pt>
                <c:pt idx="41">
                  <c:v>59.565047782987605</c:v>
                </c:pt>
                <c:pt idx="42">
                  <c:v>61.017853826475104</c:v>
                </c:pt>
                <c:pt idx="43">
                  <c:v>62.470659869962603</c:v>
                </c:pt>
                <c:pt idx="44">
                  <c:v>63.923465913450109</c:v>
                </c:pt>
                <c:pt idx="45">
                  <c:v>65.376271956937615</c:v>
                </c:pt>
                <c:pt idx="46">
                  <c:v>66.829078000425113</c:v>
                </c:pt>
                <c:pt idx="47">
                  <c:v>68.281884043912612</c:v>
                </c:pt>
                <c:pt idx="48">
                  <c:v>69.734690087400125</c:v>
                </c:pt>
                <c:pt idx="49">
                  <c:v>71.187496130887624</c:v>
                </c:pt>
                <c:pt idx="50">
                  <c:v>72.640302174375122</c:v>
                </c:pt>
                <c:pt idx="51">
                  <c:v>74.093108217862621</c:v>
                </c:pt>
                <c:pt idx="52">
                  <c:v>75.54591426135012</c:v>
                </c:pt>
                <c:pt idx="53">
                  <c:v>76.998720304837633</c:v>
                </c:pt>
                <c:pt idx="54">
                  <c:v>78.451526348325132</c:v>
                </c:pt>
                <c:pt idx="55">
                  <c:v>79.90433239181263</c:v>
                </c:pt>
                <c:pt idx="56">
                  <c:v>81.357138435300143</c:v>
                </c:pt>
                <c:pt idx="57">
                  <c:v>82.809944478787642</c:v>
                </c:pt>
                <c:pt idx="58">
                  <c:v>84.262750522275141</c:v>
                </c:pt>
                <c:pt idx="59">
                  <c:v>85.71555656576264</c:v>
                </c:pt>
                <c:pt idx="60">
                  <c:v>87.168362609250138</c:v>
                </c:pt>
                <c:pt idx="61">
                  <c:v>88.621168652737651</c:v>
                </c:pt>
                <c:pt idx="62">
                  <c:v>90.073974696225164</c:v>
                </c:pt>
                <c:pt idx="63">
                  <c:v>91.526780739712649</c:v>
                </c:pt>
                <c:pt idx="64">
                  <c:v>92.979586783200162</c:v>
                </c:pt>
                <c:pt idx="65">
                  <c:v>94.432392826687661</c:v>
                </c:pt>
                <c:pt idx="66">
                  <c:v>95.885198870175159</c:v>
                </c:pt>
                <c:pt idx="67">
                  <c:v>97.338004913662658</c:v>
                </c:pt>
                <c:pt idx="68">
                  <c:v>98.790810957150171</c:v>
                </c:pt>
                <c:pt idx="69">
                  <c:v>100.24361700063768</c:v>
                </c:pt>
                <c:pt idx="70">
                  <c:v>101.69642304412517</c:v>
                </c:pt>
                <c:pt idx="71">
                  <c:v>103.14922908761268</c:v>
                </c:pt>
                <c:pt idx="72">
                  <c:v>104.60203513110018</c:v>
                </c:pt>
                <c:pt idx="73">
                  <c:v>106.05484117458768</c:v>
                </c:pt>
                <c:pt idx="74">
                  <c:v>107.50764721807518</c:v>
                </c:pt>
                <c:pt idx="75">
                  <c:v>108.96045326156269</c:v>
                </c:pt>
                <c:pt idx="76">
                  <c:v>110.41325930505018</c:v>
                </c:pt>
                <c:pt idx="77">
                  <c:v>111.86606534853769</c:v>
                </c:pt>
                <c:pt idx="78">
                  <c:v>113.31887139202519</c:v>
                </c:pt>
                <c:pt idx="79">
                  <c:v>114.7716774355127</c:v>
                </c:pt>
                <c:pt idx="80">
                  <c:v>116.22448347900018</c:v>
                </c:pt>
                <c:pt idx="81">
                  <c:v>117.6772895224877</c:v>
                </c:pt>
                <c:pt idx="82">
                  <c:v>119.13009556597521</c:v>
                </c:pt>
                <c:pt idx="83">
                  <c:v>120.5829016094627</c:v>
                </c:pt>
                <c:pt idx="84">
                  <c:v>122.03570765295021</c:v>
                </c:pt>
                <c:pt idx="85">
                  <c:v>123.48851369643771</c:v>
                </c:pt>
                <c:pt idx="86">
                  <c:v>124.94131973992521</c:v>
                </c:pt>
                <c:pt idx="87">
                  <c:v>126.3941257834127</c:v>
                </c:pt>
                <c:pt idx="88">
                  <c:v>127.84693182690022</c:v>
                </c:pt>
                <c:pt idx="89">
                  <c:v>129.29973787038773</c:v>
                </c:pt>
                <c:pt idx="90">
                  <c:v>130.75254391387523</c:v>
                </c:pt>
                <c:pt idx="91">
                  <c:v>132.20534995736273</c:v>
                </c:pt>
                <c:pt idx="92">
                  <c:v>133.65815600085023</c:v>
                </c:pt>
                <c:pt idx="93">
                  <c:v>135.11096204433773</c:v>
                </c:pt>
                <c:pt idx="94">
                  <c:v>136.56376808782522</c:v>
                </c:pt>
                <c:pt idx="95">
                  <c:v>138.01657413131272</c:v>
                </c:pt>
                <c:pt idx="96">
                  <c:v>139.46938017480025</c:v>
                </c:pt>
                <c:pt idx="97">
                  <c:v>140.92218621828772</c:v>
                </c:pt>
                <c:pt idx="98">
                  <c:v>142.37499226177525</c:v>
                </c:pt>
                <c:pt idx="99">
                  <c:v>143.82779830526275</c:v>
                </c:pt>
                <c:pt idx="100">
                  <c:v>145.28060434875024</c:v>
                </c:pt>
                <c:pt idx="101">
                  <c:v>146.73341039223774</c:v>
                </c:pt>
                <c:pt idx="102">
                  <c:v>148.18621643572524</c:v>
                </c:pt>
                <c:pt idx="103">
                  <c:v>149.63902247921274</c:v>
                </c:pt>
                <c:pt idx="104">
                  <c:v>151.09182852270024</c:v>
                </c:pt>
                <c:pt idx="105">
                  <c:v>152.54463456618777</c:v>
                </c:pt>
                <c:pt idx="106">
                  <c:v>153.99744060967527</c:v>
                </c:pt>
                <c:pt idx="107">
                  <c:v>155.45024665316276</c:v>
                </c:pt>
                <c:pt idx="108">
                  <c:v>156.90305269665026</c:v>
                </c:pt>
                <c:pt idx="109">
                  <c:v>158.35585874013776</c:v>
                </c:pt>
                <c:pt idx="110">
                  <c:v>159.80866478362526</c:v>
                </c:pt>
                <c:pt idx="111">
                  <c:v>161.26147082711276</c:v>
                </c:pt>
                <c:pt idx="112">
                  <c:v>162.71427687060029</c:v>
                </c:pt>
                <c:pt idx="113">
                  <c:v>164.16708291408776</c:v>
                </c:pt>
                <c:pt idx="114">
                  <c:v>165.61988895757528</c:v>
                </c:pt>
                <c:pt idx="115">
                  <c:v>167.07269500106278</c:v>
                </c:pt>
                <c:pt idx="116">
                  <c:v>168.52550104455028</c:v>
                </c:pt>
                <c:pt idx="117">
                  <c:v>169.97830708803781</c:v>
                </c:pt>
                <c:pt idx="118">
                  <c:v>171.43111313152528</c:v>
                </c:pt>
                <c:pt idx="119">
                  <c:v>172.88391917501278</c:v>
                </c:pt>
                <c:pt idx="120">
                  <c:v>174.33672521850028</c:v>
                </c:pt>
                <c:pt idx="121">
                  <c:v>175.7895312619878</c:v>
                </c:pt>
                <c:pt idx="122">
                  <c:v>177.2423373054753</c:v>
                </c:pt>
                <c:pt idx="123">
                  <c:v>178.6951433489628</c:v>
                </c:pt>
                <c:pt idx="124">
                  <c:v>180.14794939245033</c:v>
                </c:pt>
                <c:pt idx="125">
                  <c:v>181.6007554359378</c:v>
                </c:pt>
                <c:pt idx="126">
                  <c:v>183.0535614794253</c:v>
                </c:pt>
                <c:pt idx="127">
                  <c:v>184.5063675229128</c:v>
                </c:pt>
                <c:pt idx="128">
                  <c:v>185.95917356640032</c:v>
                </c:pt>
                <c:pt idx="129">
                  <c:v>187.41197960988782</c:v>
                </c:pt>
                <c:pt idx="130">
                  <c:v>188.86478565337532</c:v>
                </c:pt>
                <c:pt idx="131">
                  <c:v>190.31759169686285</c:v>
                </c:pt>
                <c:pt idx="132">
                  <c:v>191.77039774035032</c:v>
                </c:pt>
                <c:pt idx="133">
                  <c:v>193.22320378383782</c:v>
                </c:pt>
                <c:pt idx="134">
                  <c:v>194.67600982732532</c:v>
                </c:pt>
                <c:pt idx="135">
                  <c:v>196.12881587081284</c:v>
                </c:pt>
                <c:pt idx="136">
                  <c:v>197.58162191430034</c:v>
                </c:pt>
                <c:pt idx="137">
                  <c:v>199.03442795778784</c:v>
                </c:pt>
                <c:pt idx="138">
                  <c:v>200.48723400127537</c:v>
                </c:pt>
                <c:pt idx="139">
                  <c:v>201.94004004476284</c:v>
                </c:pt>
                <c:pt idx="140">
                  <c:v>203.39284608825034</c:v>
                </c:pt>
                <c:pt idx="141">
                  <c:v>204.84565213173784</c:v>
                </c:pt>
                <c:pt idx="142">
                  <c:v>206.29845817522536</c:v>
                </c:pt>
                <c:pt idx="143">
                  <c:v>207.75126421871286</c:v>
                </c:pt>
                <c:pt idx="144">
                  <c:v>209.20407026220036</c:v>
                </c:pt>
                <c:pt idx="145">
                  <c:v>210.65687630568783</c:v>
                </c:pt>
                <c:pt idx="146">
                  <c:v>212.10968234917536</c:v>
                </c:pt>
                <c:pt idx="147">
                  <c:v>213.56248839266286</c:v>
                </c:pt>
                <c:pt idx="148">
                  <c:v>215.01529443615036</c:v>
                </c:pt>
                <c:pt idx="149">
                  <c:v>216.46810047963788</c:v>
                </c:pt>
                <c:pt idx="150">
                  <c:v>217.92090652312538</c:v>
                </c:pt>
                <c:pt idx="151">
                  <c:v>219.37371256661288</c:v>
                </c:pt>
                <c:pt idx="152">
                  <c:v>220.82651861010035</c:v>
                </c:pt>
                <c:pt idx="153">
                  <c:v>222.27932465358788</c:v>
                </c:pt>
                <c:pt idx="154">
                  <c:v>223.73213069707538</c:v>
                </c:pt>
                <c:pt idx="155">
                  <c:v>225.18493674056288</c:v>
                </c:pt>
                <c:pt idx="156">
                  <c:v>226.63774278405037</c:v>
                </c:pt>
                <c:pt idx="157">
                  <c:v>228.0905488275379</c:v>
                </c:pt>
                <c:pt idx="158">
                  <c:v>229.5433548710254</c:v>
                </c:pt>
                <c:pt idx="159">
                  <c:v>230.99616091451287</c:v>
                </c:pt>
                <c:pt idx="160">
                  <c:v>232.44896695800037</c:v>
                </c:pt>
                <c:pt idx="161">
                  <c:v>233.9017730014879</c:v>
                </c:pt>
                <c:pt idx="162">
                  <c:v>235.3545790449754</c:v>
                </c:pt>
                <c:pt idx="163">
                  <c:v>236.80738508846289</c:v>
                </c:pt>
                <c:pt idx="164">
                  <c:v>238.26019113195042</c:v>
                </c:pt>
                <c:pt idx="165">
                  <c:v>239.71299717543792</c:v>
                </c:pt>
                <c:pt idx="166">
                  <c:v>241.16580321892539</c:v>
                </c:pt>
                <c:pt idx="167">
                  <c:v>242.61860926241289</c:v>
                </c:pt>
                <c:pt idx="168">
                  <c:v>244.07141530590042</c:v>
                </c:pt>
                <c:pt idx="169">
                  <c:v>245.52422134938791</c:v>
                </c:pt>
                <c:pt idx="170">
                  <c:v>246.97702739287541</c:v>
                </c:pt>
                <c:pt idx="171">
                  <c:v>248.42983343636294</c:v>
                </c:pt>
                <c:pt idx="172">
                  <c:v>249.88263947985041</c:v>
                </c:pt>
                <c:pt idx="173">
                  <c:v>251.33544552333791</c:v>
                </c:pt>
                <c:pt idx="174">
                  <c:v>252.78825156682541</c:v>
                </c:pt>
                <c:pt idx="175">
                  <c:v>254.24105761031294</c:v>
                </c:pt>
                <c:pt idx="176">
                  <c:v>255.69386365380043</c:v>
                </c:pt>
                <c:pt idx="177">
                  <c:v>257.14666969728796</c:v>
                </c:pt>
                <c:pt idx="178">
                  <c:v>258.59947574077546</c:v>
                </c:pt>
                <c:pt idx="179">
                  <c:v>260.0522817842629</c:v>
                </c:pt>
                <c:pt idx="180">
                  <c:v>261.50508782775046</c:v>
                </c:pt>
                <c:pt idx="181">
                  <c:v>262.95789387123796</c:v>
                </c:pt>
                <c:pt idx="182">
                  <c:v>264.41069991472546</c:v>
                </c:pt>
                <c:pt idx="183">
                  <c:v>265.86350595821295</c:v>
                </c:pt>
                <c:pt idx="184">
                  <c:v>267.31631200170045</c:v>
                </c:pt>
                <c:pt idx="185">
                  <c:v>268.76911804518795</c:v>
                </c:pt>
                <c:pt idx="186">
                  <c:v>270.22192408867545</c:v>
                </c:pt>
                <c:pt idx="187">
                  <c:v>271.67473013216295</c:v>
                </c:pt>
                <c:pt idx="188">
                  <c:v>273.12753617565045</c:v>
                </c:pt>
                <c:pt idx="189">
                  <c:v>274.58034221913795</c:v>
                </c:pt>
                <c:pt idx="190">
                  <c:v>276.03314826262545</c:v>
                </c:pt>
                <c:pt idx="191">
                  <c:v>277.485954306113</c:v>
                </c:pt>
                <c:pt idx="192">
                  <c:v>278.9387603496005</c:v>
                </c:pt>
                <c:pt idx="193">
                  <c:v>280.39156639308794</c:v>
                </c:pt>
                <c:pt idx="194">
                  <c:v>281.84437243657544</c:v>
                </c:pt>
                <c:pt idx="195">
                  <c:v>283.297178480063</c:v>
                </c:pt>
                <c:pt idx="196">
                  <c:v>284.74998452355049</c:v>
                </c:pt>
                <c:pt idx="197">
                  <c:v>286.20279056703799</c:v>
                </c:pt>
                <c:pt idx="198">
                  <c:v>287.65559661052549</c:v>
                </c:pt>
                <c:pt idx="199">
                  <c:v>289.10840265401299</c:v>
                </c:pt>
                <c:pt idx="200">
                  <c:v>290.56120869750049</c:v>
                </c:pt>
              </c:numCache>
            </c:numRef>
          </c:xVal>
          <c:yVal>
            <c:numRef>
              <c:f>'Adiabatic PFR'!$V$39:$V$239</c:f>
              <c:numCache>
                <c:formatCode>General</c:formatCode>
                <c:ptCount val="201"/>
                <c:pt idx="0">
                  <c:v>350</c:v>
                </c:pt>
                <c:pt idx="1">
                  <c:v>350.0684703720006</c:v>
                </c:pt>
                <c:pt idx="2">
                  <c:v>350.13738788114279</c:v>
                </c:pt>
                <c:pt idx="3">
                  <c:v>350.20675821583302</c:v>
                </c:pt>
                <c:pt idx="4">
                  <c:v>350.27658717240524</c:v>
                </c:pt>
                <c:pt idx="5">
                  <c:v>350.34688065785059</c:v>
                </c:pt>
                <c:pt idx="6">
                  <c:v>350.41764469263376</c:v>
                </c:pt>
                <c:pt idx="7">
                  <c:v>350.48888541359906</c:v>
                </c:pt>
                <c:pt idx="8">
                  <c:v>350.56060907696968</c:v>
                </c:pt>
                <c:pt idx="9">
                  <c:v>350.63282206144396</c:v>
                </c:pt>
                <c:pt idx="10">
                  <c:v>350.70553087139211</c:v>
                </c:pt>
                <c:pt idx="11">
                  <c:v>350.77874214015753</c:v>
                </c:pt>
                <c:pt idx="12">
                  <c:v>350.85246263346676</c:v>
                </c:pt>
                <c:pt idx="13">
                  <c:v>350.92669925295252</c:v>
                </c:pt>
                <c:pt idx="14">
                  <c:v>351.0014590397941</c:v>
                </c:pt>
                <c:pt idx="15">
                  <c:v>351.07674917847999</c:v>
                </c:pt>
                <c:pt idx="16">
                  <c:v>351.15257700069765</c:v>
                </c:pt>
                <c:pt idx="17">
                  <c:v>351.22894998935556</c:v>
                </c:pt>
                <c:pt idx="18">
                  <c:v>351.3058757827431</c:v>
                </c:pt>
                <c:pt idx="19">
                  <c:v>351.38336217883364</c:v>
                </c:pt>
                <c:pt idx="20">
                  <c:v>351.46141713973736</c:v>
                </c:pt>
                <c:pt idx="21">
                  <c:v>351.54004879630924</c:v>
                </c:pt>
                <c:pt idx="22">
                  <c:v>351.61926545291959</c:v>
                </c:pt>
                <c:pt idx="23">
                  <c:v>351.6990755923934</c:v>
                </c:pt>
                <c:pt idx="24">
                  <c:v>351.77948788112616</c:v>
                </c:pt>
                <c:pt idx="25">
                  <c:v>351.8605111743833</c:v>
                </c:pt>
                <c:pt idx="26">
                  <c:v>351.94215452179157</c:v>
                </c:pt>
                <c:pt idx="27">
                  <c:v>352.02442717303052</c:v>
                </c:pt>
                <c:pt idx="28">
                  <c:v>352.10733858373305</c:v>
                </c:pt>
                <c:pt idx="29">
                  <c:v>352.19089842160417</c:v>
                </c:pt>
                <c:pt idx="30">
                  <c:v>352.27511657276744</c:v>
                </c:pt>
                <c:pt idx="31">
                  <c:v>352.36000314835002</c:v>
                </c:pt>
                <c:pt idx="32">
                  <c:v>352.44556849131618</c:v>
                </c:pt>
                <c:pt idx="33">
                  <c:v>352.53182318356147</c:v>
                </c:pt>
                <c:pt idx="34">
                  <c:v>352.61877805327913</c:v>
                </c:pt>
                <c:pt idx="35">
                  <c:v>352.70644418261094</c:v>
                </c:pt>
                <c:pt idx="36">
                  <c:v>352.7948329155966</c:v>
                </c:pt>
                <c:pt idx="37">
                  <c:v>352.88395586643514</c:v>
                </c:pt>
                <c:pt idx="38">
                  <c:v>352.9738249280731</c:v>
                </c:pt>
                <c:pt idx="39">
                  <c:v>353.06445228113523</c:v>
                </c:pt>
                <c:pt idx="40">
                  <c:v>353.15585040321429</c:v>
                </c:pt>
                <c:pt idx="41">
                  <c:v>353.24803207853699</c:v>
                </c:pt>
                <c:pt idx="42">
                  <c:v>353.341010408025</c:v>
                </c:pt>
                <c:pt idx="43">
                  <c:v>353.43479881976975</c:v>
                </c:pt>
                <c:pt idx="44">
                  <c:v>353.52941107994241</c:v>
                </c:pt>
                <c:pt idx="45">
                  <c:v>353.62486130415988</c:v>
                </c:pt>
                <c:pt idx="46">
                  <c:v>353.72116396933103</c:v>
                </c:pt>
                <c:pt idx="47">
                  <c:v>353.81833392600623</c:v>
                </c:pt>
                <c:pt idx="48">
                  <c:v>353.91638641125724</c:v>
                </c:pt>
                <c:pt idx="49">
                  <c:v>354.0153370621141</c:v>
                </c:pt>
                <c:pt idx="50">
                  <c:v>354.11520192958847</c:v>
                </c:pt>
                <c:pt idx="51">
                  <c:v>354.21599749331421</c:v>
                </c:pt>
                <c:pt idx="52">
                  <c:v>354.31774067683796</c:v>
                </c:pt>
                <c:pt idx="53">
                  <c:v>354.42044886359463</c:v>
                </c:pt>
                <c:pt idx="54">
                  <c:v>354.52413991360476</c:v>
                </c:pt>
                <c:pt idx="55">
                  <c:v>354.62883218093316</c:v>
                </c:pt>
                <c:pt idx="56">
                  <c:v>354.73454453195046</c:v>
                </c:pt>
                <c:pt idx="57">
                  <c:v>354.84129636444288</c:v>
                </c:pt>
                <c:pt idx="58">
                  <c:v>354.94910762761674</c:v>
                </c:pt>
                <c:pt idx="59">
                  <c:v>355.05799884304918</c:v>
                </c:pt>
                <c:pt idx="60">
                  <c:v>355.16799112663875</c:v>
                </c:pt>
                <c:pt idx="61">
                  <c:v>355.27910621161345</c:v>
                </c:pt>
                <c:pt idx="62">
                  <c:v>355.39136647265781</c:v>
                </c:pt>
                <c:pt idx="63">
                  <c:v>355.50479495122482</c:v>
                </c:pt>
                <c:pt idx="64">
                  <c:v>355.61941538210306</c:v>
                </c:pt>
                <c:pt idx="65">
                  <c:v>355.7352522213136</c:v>
                </c:pt>
                <c:pt idx="66">
                  <c:v>355.85233067541822</c:v>
                </c:pt>
                <c:pt idx="67">
                  <c:v>355.97067673232397</c:v>
                </c:pt>
                <c:pt idx="68">
                  <c:v>356.09031719367738</c:v>
                </c:pt>
                <c:pt idx="69">
                  <c:v>356.21127970894673</c:v>
                </c:pt>
                <c:pt idx="70">
                  <c:v>356.33359281129918</c:v>
                </c:pt>
                <c:pt idx="71">
                  <c:v>356.45728595538668</c:v>
                </c:pt>
                <c:pt idx="72">
                  <c:v>356.58238955716354</c:v>
                </c:pt>
                <c:pt idx="73">
                  <c:v>356.70893503586791</c:v>
                </c:pt>
                <c:pt idx="74">
                  <c:v>356.83695485830867</c:v>
                </c:pt>
                <c:pt idx="75">
                  <c:v>356.96648258561191</c:v>
                </c:pt>
                <c:pt idx="76">
                  <c:v>357.09755292259081</c:v>
                </c:pt>
                <c:pt idx="77">
                  <c:v>357.23020176991838</c:v>
                </c:pt>
                <c:pt idx="78">
                  <c:v>357.36446627929445</c:v>
                </c:pt>
                <c:pt idx="79">
                  <c:v>357.50038491181522</c:v>
                </c:pt>
                <c:pt idx="80">
                  <c:v>357.63799749977028</c:v>
                </c:pt>
                <c:pt idx="81">
                  <c:v>357.77734531211058</c:v>
                </c:pt>
                <c:pt idx="82">
                  <c:v>357.9184711238513</c:v>
                </c:pt>
                <c:pt idx="83">
                  <c:v>358.06141928969538</c:v>
                </c:pt>
                <c:pt idx="84">
                  <c:v>358.20623582218923</c:v>
                </c:pt>
                <c:pt idx="85">
                  <c:v>358.35296847474757</c:v>
                </c:pt>
                <c:pt idx="86">
                  <c:v>358.50166682991517</c:v>
                </c:pt>
                <c:pt idx="87">
                  <c:v>358.65238239326499</c:v>
                </c:pt>
                <c:pt idx="88">
                  <c:v>358.80516869336924</c:v>
                </c:pt>
                <c:pt idx="89">
                  <c:v>358.96008138831854</c:v>
                </c:pt>
                <c:pt idx="90">
                  <c:v>359.11717837930894</c:v>
                </c:pt>
                <c:pt idx="91">
                  <c:v>359.2765199318651</c:v>
                </c:pt>
                <c:pt idx="92">
                  <c:v>359.43816880532165</c:v>
                </c:pt>
                <c:pt idx="93">
                  <c:v>359.60219039124433</c:v>
                </c:pt>
                <c:pt idx="94">
                  <c:v>359.76865286153941</c:v>
                </c:pt>
                <c:pt idx="95">
                  <c:v>359.93762732707347</c:v>
                </c:pt>
                <c:pt idx="96">
                  <c:v>360.10918800770742</c:v>
                </c:pt>
                <c:pt idx="97">
                  <c:v>360.2834124147418</c:v>
                </c:pt>
                <c:pt idx="98">
                  <c:v>360.46038154687153</c:v>
                </c:pt>
                <c:pt idx="99">
                  <c:v>360.64018010086397</c:v>
                </c:pt>
                <c:pt idx="100">
                  <c:v>360.82289669830283</c:v>
                </c:pt>
                <c:pt idx="101">
                  <c:v>361.00862412988494</c:v>
                </c:pt>
                <c:pt idx="102">
                  <c:v>361.19745961891925</c:v>
                </c:pt>
                <c:pt idx="103">
                  <c:v>361.38950510586096</c:v>
                </c:pt>
                <c:pt idx="104">
                  <c:v>361.58486755592003</c:v>
                </c:pt>
                <c:pt idx="105">
                  <c:v>361.78365929201743</c:v>
                </c:pt>
                <c:pt idx="106">
                  <c:v>361.98599835562686</c:v>
                </c:pt>
                <c:pt idx="107">
                  <c:v>362.19200889834048</c:v>
                </c:pt>
                <c:pt idx="108">
                  <c:v>362.40182160733872</c:v>
                </c:pt>
                <c:pt idx="109">
                  <c:v>362.61557416833415</c:v>
                </c:pt>
                <c:pt idx="110">
                  <c:v>362.83341177000335</c:v>
                </c:pt>
                <c:pt idx="111">
                  <c:v>363.05548765443103</c:v>
                </c:pt>
                <c:pt idx="112">
                  <c:v>363.28196371867375</c:v>
                </c:pt>
                <c:pt idx="113">
                  <c:v>363.51301117322271</c:v>
                </c:pt>
                <c:pt idx="114">
                  <c:v>363.74881126391927</c:v>
                </c:pt>
                <c:pt idx="115">
                  <c:v>363.98955606477148</c:v>
                </c:pt>
                <c:pt idx="116">
                  <c:v>364.23544935015684</c:v>
                </c:pt>
                <c:pt idx="117">
                  <c:v>364.48670755610061</c:v>
                </c:pt>
                <c:pt idx="118">
                  <c:v>364.74356084172251</c:v>
                </c:pt>
                <c:pt idx="119">
                  <c:v>365.00625426358465</c:v>
                </c:pt>
                <c:pt idx="120">
                  <c:v>365.27504907759482</c:v>
                </c:pt>
                <c:pt idx="121">
                  <c:v>365.55022418537976</c:v>
                </c:pt>
                <c:pt idx="122">
                  <c:v>365.83207774470782</c:v>
                </c:pt>
                <c:pt idx="123">
                  <c:v>366.12092896669651</c:v>
                </c:pt>
                <c:pt idx="124">
                  <c:v>366.41712012628761</c:v>
                </c:pt>
                <c:pt idx="125">
                  <c:v>366.72101881694221</c:v>
                </c:pt>
                <c:pt idx="126">
                  <c:v>367.03302048585658</c:v>
                </c:pt>
                <c:pt idx="127">
                  <c:v>367.35355129242873</c:v>
                </c:pt>
                <c:pt idx="128">
                  <c:v>367.68307134046421</c:v>
                </c:pt>
                <c:pt idx="129">
                  <c:v>368.02207834401599</c:v>
                </c:pt>
                <c:pt idx="130">
                  <c:v>368.3711117982092</c:v>
                </c:pt>
                <c:pt idx="131">
                  <c:v>368.73075774042343</c:v>
                </c:pt>
                <c:pt idx="132">
                  <c:v>369.10165420445429</c:v>
                </c:pt>
                <c:pt idx="133">
                  <c:v>369.48449749161193</c:v>
                </c:pt>
                <c:pt idx="134">
                  <c:v>369.88004940925339</c:v>
                </c:pt>
                <c:pt idx="135">
                  <c:v>370.28914566045853</c:v>
                </c:pt>
                <c:pt idx="136">
                  <c:v>370.71270561038534</c:v>
                </c:pt>
                <c:pt idx="137">
                  <c:v>371.15174370786929</c:v>
                </c:pt>
                <c:pt idx="138">
                  <c:v>371.60738290854215</c:v>
                </c:pt>
                <c:pt idx="139">
                  <c:v>372.08087053285897</c:v>
                </c:pt>
                <c:pt idx="140">
                  <c:v>372.57359710539538</c:v>
                </c:pt>
                <c:pt idx="141">
                  <c:v>373.08711886955064</c:v>
                </c:pt>
                <c:pt idx="142">
                  <c:v>373.62318486685115</c:v>
                </c:pt>
                <c:pt idx="143">
                  <c:v>374.18376973004985</c:v>
                </c:pt>
                <c:pt idx="144">
                  <c:v>374.77111368943218</c:v>
                </c:pt>
                <c:pt idx="145">
                  <c:v>375.38777176880438</c:v>
                </c:pt>
                <c:pt idx="146">
                  <c:v>376.03667480544527</c:v>
                </c:pt>
                <c:pt idx="147">
                  <c:v>376.7212058472993</c:v>
                </c:pt>
                <c:pt idx="148">
                  <c:v>377.44529678301672</c:v>
                </c:pt>
                <c:pt idx="149">
                  <c:v>378.21355193483623</c:v>
                </c:pt>
                <c:pt idx="150">
                  <c:v>379.03140808816448</c:v>
                </c:pt>
                <c:pt idx="151">
                  <c:v>379.90534452377938</c:v>
                </c:pt>
                <c:pt idx="152">
                  <c:v>380.84316284778805</c:v>
                </c:pt>
                <c:pt idx="153">
                  <c:v>381.8543661149771</c:v>
                </c:pt>
                <c:pt idx="154">
                  <c:v>382.95068223500408</c:v>
                </c:pt>
                <c:pt idx="155">
                  <c:v>384.14680211110834</c:v>
                </c:pt>
                <c:pt idx="156">
                  <c:v>385.46144616321487</c:v>
                </c:pt>
                <c:pt idx="157">
                  <c:v>386.91894892431844</c:v>
                </c:pt>
                <c:pt idx="158">
                  <c:v>388.55169096998702</c:v>
                </c:pt>
                <c:pt idx="159">
                  <c:v>390.40397645603161</c:v>
                </c:pt>
                <c:pt idx="160">
                  <c:v>392.53850374096601</c:v>
                </c:pt>
                <c:pt idx="161">
                  <c:v>395.04777758250719</c:v>
                </c:pt>
                <c:pt idx="162">
                  <c:v>398.07566737586257</c:v>
                </c:pt>
                <c:pt idx="163">
                  <c:v>401.86185626847993</c:v>
                </c:pt>
                <c:pt idx="164">
                  <c:v>406.84470630128095</c:v>
                </c:pt>
                <c:pt idx="165">
                  <c:v>413.94057006325596</c:v>
                </c:pt>
                <c:pt idx="166">
                  <c:v>425.50522212374153</c:v>
                </c:pt>
                <c:pt idx="167">
                  <c:v>450.24354464630602</c:v>
                </c:pt>
                <c:pt idx="168">
                  <c:v>560.26066563107531</c:v>
                </c:pt>
                <c:pt idx="169">
                  <c:v>16586.66302759045</c:v>
                </c:pt>
                <c:pt idx="170">
                  <c:v>8993668823149.5547</c:v>
                </c:pt>
                <c:pt idx="171">
                  <c:v>8993668859522.1855</c:v>
                </c:pt>
                <c:pt idx="172">
                  <c:v>9074770660781.7539</c:v>
                </c:pt>
                <c:pt idx="173">
                  <c:v>9074770678943.2266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CA-4BF0-B23E-826F9DC94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58490096"/>
        <c:axId val="-258481328"/>
      </c:scatterChart>
      <c:scatterChart>
        <c:scatterStyle val="smoothMarker"/>
        <c:varyColors val="0"/>
        <c:ser>
          <c:idx val="1"/>
          <c:order val="1"/>
          <c:tx>
            <c:v>Conversion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'Adiabatic PFR'!$R$39:$R$239</c:f>
              <c:numCache>
                <c:formatCode>0.00</c:formatCode>
                <c:ptCount val="201"/>
                <c:pt idx="0">
                  <c:v>0</c:v>
                </c:pt>
                <c:pt idx="1">
                  <c:v>1.4528060434875025</c:v>
                </c:pt>
                <c:pt idx="2">
                  <c:v>2.9056120869750051</c:v>
                </c:pt>
                <c:pt idx="3">
                  <c:v>4.3584181304625078</c:v>
                </c:pt>
                <c:pt idx="4">
                  <c:v>5.8112241739500101</c:v>
                </c:pt>
                <c:pt idx="5">
                  <c:v>7.2640302174375115</c:v>
                </c:pt>
                <c:pt idx="6">
                  <c:v>8.7168362609250156</c:v>
                </c:pt>
                <c:pt idx="7">
                  <c:v>10.169642304412518</c:v>
                </c:pt>
                <c:pt idx="8">
                  <c:v>11.62244834790002</c:v>
                </c:pt>
                <c:pt idx="9">
                  <c:v>13.075254391387523</c:v>
                </c:pt>
                <c:pt idx="10">
                  <c:v>14.528060434875023</c:v>
                </c:pt>
                <c:pt idx="11">
                  <c:v>15.980866478362527</c:v>
                </c:pt>
                <c:pt idx="12">
                  <c:v>17.433672521850031</c:v>
                </c:pt>
                <c:pt idx="13">
                  <c:v>18.88647856533753</c:v>
                </c:pt>
                <c:pt idx="14">
                  <c:v>20.339284608825036</c:v>
                </c:pt>
                <c:pt idx="15">
                  <c:v>21.792090652312535</c:v>
                </c:pt>
                <c:pt idx="16">
                  <c:v>23.24489669580004</c:v>
                </c:pt>
                <c:pt idx="17">
                  <c:v>24.697702739287543</c:v>
                </c:pt>
                <c:pt idx="18">
                  <c:v>26.150508782775045</c:v>
                </c:pt>
                <c:pt idx="19">
                  <c:v>27.603314826262544</c:v>
                </c:pt>
                <c:pt idx="20">
                  <c:v>29.056120869750046</c:v>
                </c:pt>
                <c:pt idx="21">
                  <c:v>30.508926913237552</c:v>
                </c:pt>
                <c:pt idx="22">
                  <c:v>31.961732956725054</c:v>
                </c:pt>
                <c:pt idx="23">
                  <c:v>33.414539000212557</c:v>
                </c:pt>
                <c:pt idx="24">
                  <c:v>34.867345043700062</c:v>
                </c:pt>
                <c:pt idx="25">
                  <c:v>36.320151087187561</c:v>
                </c:pt>
                <c:pt idx="26">
                  <c:v>37.77295713067506</c:v>
                </c:pt>
                <c:pt idx="27">
                  <c:v>39.225763174162566</c:v>
                </c:pt>
                <c:pt idx="28">
                  <c:v>40.678569217650072</c:v>
                </c:pt>
                <c:pt idx="29">
                  <c:v>42.13137526113757</c:v>
                </c:pt>
                <c:pt idx="30">
                  <c:v>43.584181304625069</c:v>
                </c:pt>
                <c:pt idx="31">
                  <c:v>45.036987348112582</c:v>
                </c:pt>
                <c:pt idx="32">
                  <c:v>46.489793391600081</c:v>
                </c:pt>
                <c:pt idx="33">
                  <c:v>47.94259943508758</c:v>
                </c:pt>
                <c:pt idx="34">
                  <c:v>49.395405478575086</c:v>
                </c:pt>
                <c:pt idx="35">
                  <c:v>50.848211522062584</c:v>
                </c:pt>
                <c:pt idx="36">
                  <c:v>52.30101756555009</c:v>
                </c:pt>
                <c:pt idx="37">
                  <c:v>53.753823609037589</c:v>
                </c:pt>
                <c:pt idx="38">
                  <c:v>55.206629652525088</c:v>
                </c:pt>
                <c:pt idx="39">
                  <c:v>56.659435696012594</c:v>
                </c:pt>
                <c:pt idx="40">
                  <c:v>58.112241739500092</c:v>
                </c:pt>
                <c:pt idx="41">
                  <c:v>59.565047782987605</c:v>
                </c:pt>
                <c:pt idx="42">
                  <c:v>61.017853826475104</c:v>
                </c:pt>
                <c:pt idx="43">
                  <c:v>62.470659869962603</c:v>
                </c:pt>
                <c:pt idx="44">
                  <c:v>63.923465913450109</c:v>
                </c:pt>
                <c:pt idx="45">
                  <c:v>65.376271956937615</c:v>
                </c:pt>
                <c:pt idx="46">
                  <c:v>66.829078000425113</c:v>
                </c:pt>
                <c:pt idx="47">
                  <c:v>68.281884043912612</c:v>
                </c:pt>
                <c:pt idx="48">
                  <c:v>69.734690087400125</c:v>
                </c:pt>
                <c:pt idx="49">
                  <c:v>71.187496130887624</c:v>
                </c:pt>
                <c:pt idx="50">
                  <c:v>72.640302174375122</c:v>
                </c:pt>
                <c:pt idx="51">
                  <c:v>74.093108217862621</c:v>
                </c:pt>
                <c:pt idx="52">
                  <c:v>75.54591426135012</c:v>
                </c:pt>
                <c:pt idx="53">
                  <c:v>76.998720304837633</c:v>
                </c:pt>
                <c:pt idx="54">
                  <c:v>78.451526348325132</c:v>
                </c:pt>
                <c:pt idx="55">
                  <c:v>79.90433239181263</c:v>
                </c:pt>
                <c:pt idx="56">
                  <c:v>81.357138435300143</c:v>
                </c:pt>
                <c:pt idx="57">
                  <c:v>82.809944478787642</c:v>
                </c:pt>
                <c:pt idx="58">
                  <c:v>84.262750522275141</c:v>
                </c:pt>
                <c:pt idx="59">
                  <c:v>85.71555656576264</c:v>
                </c:pt>
                <c:pt idx="60">
                  <c:v>87.168362609250138</c:v>
                </c:pt>
                <c:pt idx="61">
                  <c:v>88.621168652737651</c:v>
                </c:pt>
                <c:pt idx="62">
                  <c:v>90.073974696225164</c:v>
                </c:pt>
                <c:pt idx="63">
                  <c:v>91.526780739712649</c:v>
                </c:pt>
                <c:pt idx="64">
                  <c:v>92.979586783200162</c:v>
                </c:pt>
                <c:pt idx="65">
                  <c:v>94.432392826687661</c:v>
                </c:pt>
                <c:pt idx="66">
                  <c:v>95.885198870175159</c:v>
                </c:pt>
                <c:pt idx="67">
                  <c:v>97.338004913662658</c:v>
                </c:pt>
                <c:pt idx="68">
                  <c:v>98.790810957150171</c:v>
                </c:pt>
                <c:pt idx="69">
                  <c:v>100.24361700063768</c:v>
                </c:pt>
                <c:pt idx="70">
                  <c:v>101.69642304412517</c:v>
                </c:pt>
                <c:pt idx="71">
                  <c:v>103.14922908761268</c:v>
                </c:pt>
                <c:pt idx="72">
                  <c:v>104.60203513110018</c:v>
                </c:pt>
                <c:pt idx="73">
                  <c:v>106.05484117458768</c:v>
                </c:pt>
                <c:pt idx="74">
                  <c:v>107.50764721807518</c:v>
                </c:pt>
                <c:pt idx="75">
                  <c:v>108.96045326156269</c:v>
                </c:pt>
                <c:pt idx="76">
                  <c:v>110.41325930505018</c:v>
                </c:pt>
                <c:pt idx="77">
                  <c:v>111.86606534853769</c:v>
                </c:pt>
                <c:pt idx="78">
                  <c:v>113.31887139202519</c:v>
                </c:pt>
                <c:pt idx="79">
                  <c:v>114.7716774355127</c:v>
                </c:pt>
                <c:pt idx="80">
                  <c:v>116.22448347900018</c:v>
                </c:pt>
                <c:pt idx="81">
                  <c:v>117.6772895224877</c:v>
                </c:pt>
                <c:pt idx="82">
                  <c:v>119.13009556597521</c:v>
                </c:pt>
                <c:pt idx="83">
                  <c:v>120.5829016094627</c:v>
                </c:pt>
                <c:pt idx="84">
                  <c:v>122.03570765295021</c:v>
                </c:pt>
                <c:pt idx="85">
                  <c:v>123.48851369643771</c:v>
                </c:pt>
                <c:pt idx="86">
                  <c:v>124.94131973992521</c:v>
                </c:pt>
                <c:pt idx="87">
                  <c:v>126.3941257834127</c:v>
                </c:pt>
                <c:pt idx="88">
                  <c:v>127.84693182690022</c:v>
                </c:pt>
                <c:pt idx="89">
                  <c:v>129.29973787038773</c:v>
                </c:pt>
                <c:pt idx="90">
                  <c:v>130.75254391387523</c:v>
                </c:pt>
                <c:pt idx="91">
                  <c:v>132.20534995736273</c:v>
                </c:pt>
                <c:pt idx="92">
                  <c:v>133.65815600085023</c:v>
                </c:pt>
                <c:pt idx="93">
                  <c:v>135.11096204433773</c:v>
                </c:pt>
                <c:pt idx="94">
                  <c:v>136.56376808782522</c:v>
                </c:pt>
                <c:pt idx="95">
                  <c:v>138.01657413131272</c:v>
                </c:pt>
                <c:pt idx="96">
                  <c:v>139.46938017480025</c:v>
                </c:pt>
                <c:pt idx="97">
                  <c:v>140.92218621828772</c:v>
                </c:pt>
                <c:pt idx="98">
                  <c:v>142.37499226177525</c:v>
                </c:pt>
                <c:pt idx="99">
                  <c:v>143.82779830526275</c:v>
                </c:pt>
                <c:pt idx="100">
                  <c:v>145.28060434875024</c:v>
                </c:pt>
                <c:pt idx="101">
                  <c:v>146.73341039223774</c:v>
                </c:pt>
                <c:pt idx="102">
                  <c:v>148.18621643572524</c:v>
                </c:pt>
                <c:pt idx="103">
                  <c:v>149.63902247921274</c:v>
                </c:pt>
                <c:pt idx="104">
                  <c:v>151.09182852270024</c:v>
                </c:pt>
                <c:pt idx="105">
                  <c:v>152.54463456618777</c:v>
                </c:pt>
                <c:pt idx="106">
                  <c:v>153.99744060967527</c:v>
                </c:pt>
                <c:pt idx="107">
                  <c:v>155.45024665316276</c:v>
                </c:pt>
                <c:pt idx="108">
                  <c:v>156.90305269665026</c:v>
                </c:pt>
                <c:pt idx="109">
                  <c:v>158.35585874013776</c:v>
                </c:pt>
                <c:pt idx="110">
                  <c:v>159.80866478362526</c:v>
                </c:pt>
                <c:pt idx="111">
                  <c:v>161.26147082711276</c:v>
                </c:pt>
                <c:pt idx="112">
                  <c:v>162.71427687060029</c:v>
                </c:pt>
                <c:pt idx="113">
                  <c:v>164.16708291408776</c:v>
                </c:pt>
                <c:pt idx="114">
                  <c:v>165.61988895757528</c:v>
                </c:pt>
                <c:pt idx="115">
                  <c:v>167.07269500106278</c:v>
                </c:pt>
                <c:pt idx="116">
                  <c:v>168.52550104455028</c:v>
                </c:pt>
                <c:pt idx="117">
                  <c:v>169.97830708803781</c:v>
                </c:pt>
                <c:pt idx="118">
                  <c:v>171.43111313152528</c:v>
                </c:pt>
                <c:pt idx="119">
                  <c:v>172.88391917501278</c:v>
                </c:pt>
                <c:pt idx="120">
                  <c:v>174.33672521850028</c:v>
                </c:pt>
                <c:pt idx="121">
                  <c:v>175.7895312619878</c:v>
                </c:pt>
                <c:pt idx="122">
                  <c:v>177.2423373054753</c:v>
                </c:pt>
                <c:pt idx="123">
                  <c:v>178.6951433489628</c:v>
                </c:pt>
                <c:pt idx="124">
                  <c:v>180.14794939245033</c:v>
                </c:pt>
                <c:pt idx="125">
                  <c:v>181.6007554359378</c:v>
                </c:pt>
                <c:pt idx="126">
                  <c:v>183.0535614794253</c:v>
                </c:pt>
                <c:pt idx="127">
                  <c:v>184.5063675229128</c:v>
                </c:pt>
                <c:pt idx="128">
                  <c:v>185.95917356640032</c:v>
                </c:pt>
                <c:pt idx="129">
                  <c:v>187.41197960988782</c:v>
                </c:pt>
                <c:pt idx="130">
                  <c:v>188.86478565337532</c:v>
                </c:pt>
                <c:pt idx="131">
                  <c:v>190.31759169686285</c:v>
                </c:pt>
                <c:pt idx="132">
                  <c:v>191.77039774035032</c:v>
                </c:pt>
                <c:pt idx="133">
                  <c:v>193.22320378383782</c:v>
                </c:pt>
                <c:pt idx="134">
                  <c:v>194.67600982732532</c:v>
                </c:pt>
                <c:pt idx="135">
                  <c:v>196.12881587081284</c:v>
                </c:pt>
                <c:pt idx="136">
                  <c:v>197.58162191430034</c:v>
                </c:pt>
                <c:pt idx="137">
                  <c:v>199.03442795778784</c:v>
                </c:pt>
                <c:pt idx="138">
                  <c:v>200.48723400127537</c:v>
                </c:pt>
                <c:pt idx="139">
                  <c:v>201.94004004476284</c:v>
                </c:pt>
                <c:pt idx="140">
                  <c:v>203.39284608825034</c:v>
                </c:pt>
                <c:pt idx="141">
                  <c:v>204.84565213173784</c:v>
                </c:pt>
                <c:pt idx="142">
                  <c:v>206.29845817522536</c:v>
                </c:pt>
                <c:pt idx="143">
                  <c:v>207.75126421871286</c:v>
                </c:pt>
                <c:pt idx="144">
                  <c:v>209.20407026220036</c:v>
                </c:pt>
                <c:pt idx="145">
                  <c:v>210.65687630568783</c:v>
                </c:pt>
                <c:pt idx="146">
                  <c:v>212.10968234917536</c:v>
                </c:pt>
                <c:pt idx="147">
                  <c:v>213.56248839266286</c:v>
                </c:pt>
                <c:pt idx="148">
                  <c:v>215.01529443615036</c:v>
                </c:pt>
                <c:pt idx="149">
                  <c:v>216.46810047963788</c:v>
                </c:pt>
                <c:pt idx="150">
                  <c:v>217.92090652312538</c:v>
                </c:pt>
                <c:pt idx="151">
                  <c:v>219.37371256661288</c:v>
                </c:pt>
                <c:pt idx="152">
                  <c:v>220.82651861010035</c:v>
                </c:pt>
                <c:pt idx="153">
                  <c:v>222.27932465358788</c:v>
                </c:pt>
                <c:pt idx="154">
                  <c:v>223.73213069707538</c:v>
                </c:pt>
                <c:pt idx="155">
                  <c:v>225.18493674056288</c:v>
                </c:pt>
                <c:pt idx="156">
                  <c:v>226.63774278405037</c:v>
                </c:pt>
                <c:pt idx="157">
                  <c:v>228.0905488275379</c:v>
                </c:pt>
                <c:pt idx="158">
                  <c:v>229.5433548710254</c:v>
                </c:pt>
                <c:pt idx="159">
                  <c:v>230.99616091451287</c:v>
                </c:pt>
                <c:pt idx="160">
                  <c:v>232.44896695800037</c:v>
                </c:pt>
                <c:pt idx="161">
                  <c:v>233.9017730014879</c:v>
                </c:pt>
                <c:pt idx="162">
                  <c:v>235.3545790449754</c:v>
                </c:pt>
                <c:pt idx="163">
                  <c:v>236.80738508846289</c:v>
                </c:pt>
                <c:pt idx="164">
                  <c:v>238.26019113195042</c:v>
                </c:pt>
                <c:pt idx="165">
                  <c:v>239.71299717543792</c:v>
                </c:pt>
                <c:pt idx="166">
                  <c:v>241.16580321892539</c:v>
                </c:pt>
                <c:pt idx="167">
                  <c:v>242.61860926241289</c:v>
                </c:pt>
                <c:pt idx="168">
                  <c:v>244.07141530590042</c:v>
                </c:pt>
                <c:pt idx="169">
                  <c:v>245.52422134938791</c:v>
                </c:pt>
                <c:pt idx="170">
                  <c:v>246.97702739287541</c:v>
                </c:pt>
                <c:pt idx="171">
                  <c:v>248.42983343636294</c:v>
                </c:pt>
                <c:pt idx="172">
                  <c:v>249.88263947985041</c:v>
                </c:pt>
                <c:pt idx="173">
                  <c:v>251.33544552333791</c:v>
                </c:pt>
                <c:pt idx="174">
                  <c:v>252.78825156682541</c:v>
                </c:pt>
                <c:pt idx="175">
                  <c:v>254.24105761031294</c:v>
                </c:pt>
                <c:pt idx="176">
                  <c:v>255.69386365380043</c:v>
                </c:pt>
                <c:pt idx="177">
                  <c:v>257.14666969728796</c:v>
                </c:pt>
                <c:pt idx="178">
                  <c:v>258.59947574077546</c:v>
                </c:pt>
                <c:pt idx="179">
                  <c:v>260.0522817842629</c:v>
                </c:pt>
                <c:pt idx="180">
                  <c:v>261.50508782775046</c:v>
                </c:pt>
                <c:pt idx="181">
                  <c:v>262.95789387123796</c:v>
                </c:pt>
                <c:pt idx="182">
                  <c:v>264.41069991472546</c:v>
                </c:pt>
                <c:pt idx="183">
                  <c:v>265.86350595821295</c:v>
                </c:pt>
                <c:pt idx="184">
                  <c:v>267.31631200170045</c:v>
                </c:pt>
                <c:pt idx="185">
                  <c:v>268.76911804518795</c:v>
                </c:pt>
                <c:pt idx="186">
                  <c:v>270.22192408867545</c:v>
                </c:pt>
                <c:pt idx="187">
                  <c:v>271.67473013216295</c:v>
                </c:pt>
                <c:pt idx="188">
                  <c:v>273.12753617565045</c:v>
                </c:pt>
                <c:pt idx="189">
                  <c:v>274.58034221913795</c:v>
                </c:pt>
                <c:pt idx="190">
                  <c:v>276.03314826262545</c:v>
                </c:pt>
                <c:pt idx="191">
                  <c:v>277.485954306113</c:v>
                </c:pt>
                <c:pt idx="192">
                  <c:v>278.9387603496005</c:v>
                </c:pt>
                <c:pt idx="193">
                  <c:v>280.39156639308794</c:v>
                </c:pt>
                <c:pt idx="194">
                  <c:v>281.84437243657544</c:v>
                </c:pt>
                <c:pt idx="195">
                  <c:v>283.297178480063</c:v>
                </c:pt>
                <c:pt idx="196">
                  <c:v>284.74998452355049</c:v>
                </c:pt>
                <c:pt idx="197">
                  <c:v>286.20279056703799</c:v>
                </c:pt>
                <c:pt idx="198">
                  <c:v>287.65559661052549</c:v>
                </c:pt>
                <c:pt idx="199">
                  <c:v>289.10840265401299</c:v>
                </c:pt>
                <c:pt idx="200">
                  <c:v>290.56120869750049</c:v>
                </c:pt>
              </c:numCache>
            </c:numRef>
          </c:xVal>
          <c:yVal>
            <c:numRef>
              <c:f>'Adiabatic PFR'!$S$39:$S$239</c:f>
              <c:numCache>
                <c:formatCode>General</c:formatCode>
                <c:ptCount val="201"/>
                <c:pt idx="0">
                  <c:v>0</c:v>
                </c:pt>
                <c:pt idx="1">
                  <c:v>1.4052261722186446E-4</c:v>
                </c:pt>
                <c:pt idx="2">
                  <c:v>2.8196343294148018E-4</c:v>
                </c:pt>
                <c:pt idx="3">
                  <c:v>4.2433413206256028E-4</c:v>
                </c:pt>
                <c:pt idx="4" formatCode="0.00E+00">
                  <c:v>5.6764662123870229E-4</c:v>
                </c:pt>
                <c:pt idx="5">
                  <c:v>7.119130344830617E-4</c:v>
                </c:pt>
                <c:pt idx="6">
                  <c:v>8.5714573895578591E-4</c:v>
                </c:pt>
                <c:pt idx="7">
                  <c:v>1.0033573409359993E-3</c:v>
                </c:pt>
                <c:pt idx="8">
                  <c:v>1.1505606919854257E-3</c:v>
                </c:pt>
                <c:pt idx="9">
                  <c:v>1.2987688953110493E-3</c:v>
                </c:pt>
                <c:pt idx="10">
                  <c:v>1.4479953123345581E-3</c:v>
                </c:pt>
                <c:pt idx="11">
                  <c:v>1.5982535694766611E-3</c:v>
                </c:pt>
                <c:pt idx="12">
                  <c:v>1.7495575651647428E-3</c:v>
                </c:pt>
                <c:pt idx="13">
                  <c:v>1.9019214770727079E-3</c:v>
                </c:pt>
                <c:pt idx="14">
                  <c:v>2.0553597696022887E-3</c:v>
                </c:pt>
                <c:pt idx="15">
                  <c:v>2.2098872016155053E-3</c:v>
                </c:pt>
                <c:pt idx="16">
                  <c:v>2.3655188344284409E-3</c:v>
                </c:pt>
                <c:pt idx="17">
                  <c:v>2.5222700400769692E-3</c:v>
                </c:pt>
                <c:pt idx="18">
                  <c:v>2.6801565098655711E-3</c:v>
                </c:pt>
                <c:pt idx="19">
                  <c:v>2.8391942632109333E-3</c:v>
                </c:pt>
                <c:pt idx="20">
                  <c:v>2.9993996567925581E-3</c:v>
                </c:pt>
                <c:pt idx="21">
                  <c:v>3.1607893940232413E-3</c:v>
                </c:pt>
                <c:pt idx="22">
                  <c:v>3.3233805348528707E-3</c:v>
                </c:pt>
                <c:pt idx="23">
                  <c:v>3.4871905059197005E-3</c:v>
                </c:pt>
                <c:pt idx="24">
                  <c:v>3.6522371110639176E-3</c:v>
                </c:pt>
                <c:pt idx="25">
                  <c:v>3.8185385422191006E-3</c:v>
                </c:pt>
                <c:pt idx="26">
                  <c:v>3.9861133906979283E-3</c:v>
                </c:pt>
                <c:pt idx="27">
                  <c:v>4.1549806588893285E-3</c:v>
                </c:pt>
                <c:pt idx="28">
                  <c:v>4.3251597723851579E-3</c:v>
                </c:pt>
                <c:pt idx="29">
                  <c:v>4.4966705925554105E-3</c:v>
                </c:pt>
                <c:pt idx="30">
                  <c:v>4.6695334295919566E-3</c:v>
                </c:pt>
                <c:pt idx="31">
                  <c:v>4.8437690560418451E-3</c:v>
                </c:pt>
                <c:pt idx="32">
                  <c:v>5.0193987208523184E-3</c:v>
                </c:pt>
                <c:pt idx="33">
                  <c:v>5.1964441639508682E-3</c:v>
                </c:pt>
                <c:pt idx="34">
                  <c:v>5.3749276313848947E-3</c:v>
                </c:pt>
                <c:pt idx="35">
                  <c:v>5.5548718910468607E-3</c:v>
                </c:pt>
                <c:pt idx="36">
                  <c:v>5.7363002490122515E-3</c:v>
                </c:pt>
                <c:pt idx="37">
                  <c:v>5.9192365665191099E-3</c:v>
                </c:pt>
                <c:pt idx="38">
                  <c:v>6.1037052776195489E-3</c:v>
                </c:pt>
                <c:pt idx="39">
                  <c:v>6.2897314075352831E-3</c:v>
                </c:pt>
                <c:pt idx="40">
                  <c:v>6.4773405917510516E-3</c:v>
                </c:pt>
                <c:pt idx="41">
                  <c:v>6.6665590958817139E-3</c:v>
                </c:pt>
                <c:pt idx="42">
                  <c:v>6.8574138363507861E-3</c:v>
                </c:pt>
                <c:pt idx="43">
                  <c:v>7.0499324019204467E-3</c:v>
                </c:pt>
                <c:pt idx="44">
                  <c:v>7.2441430761152406E-3</c:v>
                </c:pt>
                <c:pt idx="45">
                  <c:v>7.440074860584265E-3</c:v>
                </c:pt>
                <c:pt idx="46">
                  <c:v>7.6377574994491958E-3</c:v>
                </c:pt>
                <c:pt idx="47">
                  <c:v>7.8372215046883607E-3</c:v>
                </c:pt>
                <c:pt idx="48">
                  <c:v>8.0384981826100172E-3</c:v>
                </c:pt>
                <c:pt idx="49">
                  <c:v>8.2416196614712289E-3</c:v>
                </c:pt>
                <c:pt idx="50">
                  <c:v>8.4466189203021864E-3</c:v>
                </c:pt>
                <c:pt idx="51">
                  <c:v>8.6535298189994014E-3</c:v>
                </c:pt>
                <c:pt idx="52">
                  <c:v>8.8623871297552302E-3</c:v>
                </c:pt>
                <c:pt idx="53">
                  <c:v>9.0732265698953048E-3</c:v>
                </c:pt>
                <c:pt idx="54">
                  <c:v>9.2860848361999964E-3</c:v>
                </c:pt>
                <c:pt idx="55">
                  <c:v>9.5009996407908869E-3</c:v>
                </c:pt>
                <c:pt idx="56">
                  <c:v>9.7180097486683475E-3</c:v>
                </c:pt>
                <c:pt idx="57">
                  <c:v>9.937155016991937E-3</c:v>
                </c:pt>
                <c:pt idx="58">
                  <c:v>1.0158476436201345E-2</c:v>
                </c:pt>
                <c:pt idx="59">
                  <c:v>1.0382016173081935E-2</c:v>
                </c:pt>
                <c:pt idx="60">
                  <c:v>1.0607817615885973E-2</c:v>
                </c:pt>
                <c:pt idx="61">
                  <c:v>1.083592542162802E-2</c:v>
                </c:pt>
                <c:pt idx="62">
                  <c:v>1.1066385565680981E-2</c:v>
                </c:pt>
                <c:pt idx="63">
                  <c:v>1.1299245393807993E-2</c:v>
                </c:pt>
                <c:pt idx="64">
                  <c:v>1.1534553676774658E-2</c:v>
                </c:pt>
                <c:pt idx="65">
                  <c:v>1.1772360667696128E-2</c:v>
                </c:pt>
                <c:pt idx="66">
                  <c:v>1.2012718162284568E-2</c:v>
                </c:pt>
                <c:pt idx="67">
                  <c:v>1.2255679562174163E-2</c:v>
                </c:pt>
                <c:pt idx="68">
                  <c:v>1.2501299941513644E-2</c:v>
                </c:pt>
                <c:pt idx="69">
                  <c:v>1.2749636117030012E-2</c:v>
                </c:pt>
                <c:pt idx="70">
                  <c:v>1.3000746721782199E-2</c:v>
                </c:pt>
                <c:pt idx="71">
                  <c:v>1.3254692282839476E-2</c:v>
                </c:pt>
                <c:pt idx="72">
                  <c:v>1.3511535303137027E-2</c:v>
                </c:pt>
                <c:pt idx="73">
                  <c:v>1.3771340347780313E-2</c:v>
                </c:pt>
                <c:pt idx="74">
                  <c:v>1.4034174135090439E-2</c:v>
                </c:pt>
                <c:pt idx="75">
                  <c:v>1.430010563270548E-2</c:v>
                </c:pt>
                <c:pt idx="76">
                  <c:v>1.4569206159077228E-2</c:v>
                </c:pt>
                <c:pt idx="77">
                  <c:v>1.4841549490729746E-2</c:v>
                </c:pt>
                <c:pt idx="78">
                  <c:v>1.511721197567524E-2</c:v>
                </c:pt>
                <c:pt idx="79">
                  <c:v>1.539627265341492E-2</c:v>
                </c:pt>
                <c:pt idx="80">
                  <c:v>1.5678813381987258E-2</c:v>
                </c:pt>
                <c:pt idx="81">
                  <c:v>1.5964918972564513E-2</c:v>
                </c:pt>
                <c:pt idx="82">
                  <c:v>1.6254677332140043E-2</c:v>
                </c:pt>
                <c:pt idx="83">
                  <c:v>1.6548179614895107E-2</c:v>
                </c:pt>
                <c:pt idx="84">
                  <c:v>1.6845520382884116E-2</c:v>
                </c:pt>
                <c:pt idx="85">
                  <c:v>1.7146797776732722E-2</c:v>
                </c:pt>
                <c:pt idx="86">
                  <c:v>1.7452113697104213E-2</c:v>
                </c:pt>
                <c:pt idx="87">
                  <c:v>1.7761573997756675E-2</c:v>
                </c:pt>
                <c:pt idx="88">
                  <c:v>1.8075288691087481E-2</c:v>
                </c:pt>
                <c:pt idx="89">
                  <c:v>1.8393372167143401E-2</c:v>
                </c:pt>
                <c:pt idx="90">
                  <c:v>1.8715943427164962E-2</c:v>
                </c:pt>
                <c:pt idx="91">
                  <c:v>1.9043126332833615E-2</c:v>
                </c:pt>
                <c:pt idx="92">
                  <c:v>1.9375049872501098E-2</c:v>
                </c:pt>
                <c:pt idx="93">
                  <c:v>1.9711848445803266E-2</c:v>
                </c:pt>
                <c:pt idx="94">
                  <c:v>2.0053662168197237E-2</c:v>
                </c:pt>
                <c:pt idx="95">
                  <c:v>2.0400637197112659E-2</c:v>
                </c:pt>
                <c:pt idx="96">
                  <c:v>2.0752926081577205E-2</c:v>
                </c:pt>
                <c:pt idx="97">
                  <c:v>2.1110688137365219E-2</c:v>
                </c:pt>
                <c:pt idx="98">
                  <c:v>2.1474089849929757E-2</c:v>
                </c:pt>
                <c:pt idx="99">
                  <c:v>2.1843305307614098E-2</c:v>
                </c:pt>
                <c:pt idx="100">
                  <c:v>2.2218516667904222E-2</c:v>
                </c:pt>
                <c:pt idx="101">
                  <c:v>2.2599914659780517E-2</c:v>
                </c:pt>
                <c:pt idx="102">
                  <c:v>2.2987699125561846E-2</c:v>
                </c:pt>
                <c:pt idx="103">
                  <c:v>2.3382079606011633E-2</c:v>
                </c:pt>
                <c:pt idx="104">
                  <c:v>2.378327597290102E-2</c:v>
                </c:pt>
                <c:pt idx="105">
                  <c:v>2.4191519113704835E-2</c:v>
                </c:pt>
                <c:pt idx="106">
                  <c:v>2.4607051673650859E-2</c:v>
                </c:pt>
                <c:pt idx="107">
                  <c:v>2.5030128860961173E-2</c:v>
                </c:pt>
                <c:pt idx="108">
                  <c:v>2.5461019321827226E-2</c:v>
                </c:pt>
                <c:pt idx="109">
                  <c:v>2.5900006092461826E-2</c:v>
                </c:pt>
                <c:pt idx="110">
                  <c:v>2.6347387636486246E-2</c:v>
                </c:pt>
                <c:pt idx="111">
                  <c:v>2.6803478976958124E-2</c:v>
                </c:pt>
                <c:pt idx="112">
                  <c:v>2.7268612933547612E-2</c:v>
                </c:pt>
                <c:pt idx="113">
                  <c:v>2.7743141476750947E-2</c:v>
                </c:pt>
                <c:pt idx="114">
                  <c:v>2.8227437212623857E-2</c:v>
                </c:pt>
                <c:pt idx="115">
                  <c:v>2.8721895013357538E-2</c:v>
                </c:pt>
                <c:pt idx="116">
                  <c:v>2.9226933811153731E-2</c:v>
                </c:pt>
                <c:pt idx="117">
                  <c:v>2.9742998575332913E-2</c:v>
                </c:pt>
                <c:pt idx="118">
                  <c:v>3.0270562495497377E-2</c:v>
                </c:pt>
                <c:pt idx="119">
                  <c:v>3.0810129396945145E-2</c:v>
                </c:pt>
                <c:pt idx="120">
                  <c:v>3.1362236418484561E-2</c:v>
                </c:pt>
                <c:pt idx="121">
                  <c:v>3.1927456987450011E-2</c:v>
                </c:pt>
                <c:pt idx="122">
                  <c:v>3.2506404132203438E-2</c:v>
                </c:pt>
                <c:pt idx="123">
                  <c:v>3.3099734178899616E-2</c:v>
                </c:pt>
                <c:pt idx="124">
                  <c:v>3.3708150887005225E-2</c:v>
                </c:pt>
                <c:pt idx="125">
                  <c:v>3.4332410087258312E-2</c:v>
                </c:pt>
                <c:pt idx="126">
                  <c:v>3.4973324896762373E-2</c:v>
                </c:pt>
                <c:pt idx="127">
                  <c:v>3.5631771599138176E-2</c:v>
                </c:pt>
                <c:pt idx="128">
                  <c:v>3.6308696293624459E-2</c:v>
                </c:pt>
                <c:pt idx="129">
                  <c:v>3.7005122436375493E-2</c:v>
                </c:pt>
                <c:pt idx="130">
                  <c:v>3.7722159420781075E-2</c:v>
                </c:pt>
                <c:pt idx="131">
                  <c:v>3.8461012372491124E-2</c:v>
                </c:pt>
                <c:pt idx="132">
                  <c:v>3.9222993370328633E-2</c:v>
                </c:pt>
                <c:pt idx="133">
                  <c:v>4.0009534348186493E-2</c:v>
                </c:pt>
                <c:pt idx="134">
                  <c:v>4.0822201987627274E-2</c:v>
                </c:pt>
                <c:pt idx="135">
                  <c:v>4.1662714979265242E-2</c:v>
                </c:pt>
                <c:pt idx="136">
                  <c:v>4.2532964117100155E-2</c:v>
                </c:pt>
                <c:pt idx="137">
                  <c:v>4.3435035799125499E-2</c:v>
                </c:pt>
                <c:pt idx="138">
                  <c:v>4.4371239646910136E-2</c:v>
                </c:pt>
                <c:pt idx="139">
                  <c:v>4.5344141136170746E-2</c:v>
                </c:pt>
                <c:pt idx="140">
                  <c:v>4.6356600362914432E-2</c:v>
                </c:pt>
                <c:pt idx="141">
                  <c:v>4.7411818373932699E-2</c:v>
                </c:pt>
                <c:pt idx="142">
                  <c:v>4.8513392891987979E-2</c:v>
                </c:pt>
                <c:pt idx="143">
                  <c:v>4.9665385801303717E-2</c:v>
                </c:pt>
                <c:pt idx="144">
                  <c:v>5.0872405479986726E-2</c:v>
                </c:pt>
                <c:pt idx="145">
                  <c:v>5.2139708048223619E-2</c:v>
                </c:pt>
                <c:pt idx="146">
                  <c:v>5.3473322955470887E-2</c:v>
                </c:pt>
                <c:pt idx="147">
                  <c:v>5.4880210222091746E-2</c:v>
                </c:pt>
                <c:pt idx="148">
                  <c:v>5.6368459332516059E-2</c:v>
                </c:pt>
                <c:pt idx="149">
                  <c:v>5.7947543636723192E-2</c:v>
                </c:pt>
                <c:pt idx="150">
                  <c:v>5.9628649767231416E-2</c:v>
                </c:pt>
                <c:pt idx="151">
                  <c:v>6.142511000591247E-2</c:v>
                </c:pt>
                <c:pt idx="152">
                  <c:v>6.3352978363913653E-2</c:v>
                </c:pt>
                <c:pt idx="153">
                  <c:v>6.5431811117112992E-2</c:v>
                </c:pt>
                <c:pt idx="154">
                  <c:v>6.7685744452417068E-2</c:v>
                </c:pt>
                <c:pt idx="155">
                  <c:v>7.014501432437914E-2</c:v>
                </c:pt>
                <c:pt idx="156">
                  <c:v>7.2848152617544584E-2</c:v>
                </c:pt>
                <c:pt idx="157">
                  <c:v>7.5845250356657207E-2</c:v>
                </c:pt>
                <c:pt idx="158">
                  <c:v>7.9202966265467564E-2</c:v>
                </c:pt>
                <c:pt idx="159">
                  <c:v>8.3012513277481992E-2</c:v>
                </c:pt>
                <c:pt idx="160">
                  <c:v>8.7402987338034949E-2</c:v>
                </c:pt>
                <c:pt idx="161">
                  <c:v>9.2564878035010095E-2</c:v>
                </c:pt>
                <c:pt idx="162">
                  <c:v>9.8794487319155577E-2</c:v>
                </c:pt>
                <c:pt idx="163">
                  <c:v>0.10658552709836783</c:v>
                </c:pt>
                <c:pt idx="164">
                  <c:v>0.11684113694781843</c:v>
                </c:pt>
                <c:pt idx="165">
                  <c:v>0.13144971957125481</c:v>
                </c:pt>
                <c:pt idx="166">
                  <c:v>0.15526770545138291</c:v>
                </c:pt>
                <c:pt idx="167">
                  <c:v>0.20624997524362826</c:v>
                </c:pt>
                <c:pt idx="168">
                  <c:v>0.4332889199008797</c:v>
                </c:pt>
                <c:pt idx="169">
                  <c:v>33.706830143082541</c:v>
                </c:pt>
                <c:pt idx="170">
                  <c:v>35149646526.112808</c:v>
                </c:pt>
                <c:pt idx="171">
                  <c:v>105545114432.25737</c:v>
                </c:pt>
                <c:pt idx="172">
                  <c:v>4.7132205396076301E+17</c:v>
                </c:pt>
                <c:pt idx="173">
                  <c:v>9.4264421375908314E+17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CA-4BF0-B23E-826F9DC94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58472000"/>
        <c:axId val="-258476288"/>
      </c:scatterChart>
      <c:valAx>
        <c:axId val="-25849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Reactor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481328"/>
        <c:crosses val="autoZero"/>
        <c:crossBetween val="midCat"/>
      </c:valAx>
      <c:valAx>
        <c:axId val="-258481328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490096"/>
        <c:crosses val="autoZero"/>
        <c:crossBetween val="midCat"/>
      </c:valAx>
      <c:valAx>
        <c:axId val="-258476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472000"/>
        <c:crosses val="max"/>
        <c:crossBetween val="midCat"/>
      </c:valAx>
      <c:valAx>
        <c:axId val="-25847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25847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Temperature Under</a:t>
            </a:r>
            <a:r>
              <a:rPr lang="en-US" baseline="0"/>
              <a:t> Adiabatic Conditions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859626763779706E-2"/>
          <c:y val="0.12958737070109799"/>
          <c:w val="0.900422578831368"/>
          <c:h val="0.6814636451928589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Results!$D$3</c:f>
              <c:strCache>
                <c:ptCount val="1"/>
                <c:pt idx="0">
                  <c:v>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Results!$N$3:$N$16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768.89038596530054</c:v>
                </c:pt>
                <c:pt idx="10">
                  <c:v>0</c:v>
                </c:pt>
                <c:pt idx="11">
                  <c:v>53833719.989243679</c:v>
                </c:pt>
                <c:pt idx="12">
                  <c:v>40221838.24858617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0-49DD-8B1B-E23E54141A0B}"/>
            </c:ext>
          </c:extLst>
        </c:ser>
        <c:ser>
          <c:idx val="1"/>
          <c:order val="1"/>
          <c:tx>
            <c:strRef>
              <c:f>Results!$D$17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Results!$C$17:$C$30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Results!$N$17:$N$30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743.89651023690305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0-49DD-8B1B-E23E54141A0B}"/>
            </c:ext>
          </c:extLst>
        </c:ser>
        <c:ser>
          <c:idx val="2"/>
          <c:order val="2"/>
          <c:tx>
            <c:strRef>
              <c:f>Results!$D$31</c:f>
              <c:strCache>
                <c:ptCount val="1"/>
                <c:pt idx="0">
                  <c:v>500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Results!$C$31:$C$44</c:f>
              <c:numCache>
                <c:formatCode>General</c:formatCode>
                <c:ptCount val="12"/>
                <c:pt idx="0">
                  <c:v>375</c:v>
                </c:pt>
                <c:pt idx="1">
                  <c:v>400</c:v>
                </c:pt>
                <c:pt idx="2">
                  <c:v>425</c:v>
                </c:pt>
                <c:pt idx="3">
                  <c:v>450</c:v>
                </c:pt>
                <c:pt idx="4">
                  <c:v>475</c:v>
                </c:pt>
                <c:pt idx="5">
                  <c:v>500</c:v>
                </c:pt>
                <c:pt idx="6">
                  <c:v>525</c:v>
                </c:pt>
                <c:pt idx="7">
                  <c:v>550</c:v>
                </c:pt>
                <c:pt idx="8">
                  <c:v>575</c:v>
                </c:pt>
                <c:pt idx="9">
                  <c:v>600</c:v>
                </c:pt>
                <c:pt idx="10">
                  <c:v>625</c:v>
                </c:pt>
                <c:pt idx="11">
                  <c:v>650</c:v>
                </c:pt>
              </c:numCache>
            </c:numRef>
          </c:xVal>
          <c:yVal>
            <c:numRef>
              <c:f>Results!$N$31:$N$44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718.90557039985413</c:v>
                </c:pt>
                <c:pt idx="7">
                  <c:v>9250041.5169433039</c:v>
                </c:pt>
                <c:pt idx="8">
                  <c:v>10451423.468215134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20-49DD-8B1B-E23E54141A0B}"/>
            </c:ext>
          </c:extLst>
        </c:ser>
        <c:ser>
          <c:idx val="3"/>
          <c:order val="3"/>
          <c:tx>
            <c:strRef>
              <c:f>Results!$D$45</c:f>
              <c:strCache>
                <c:ptCount val="1"/>
                <c:pt idx="0">
                  <c:v>1000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Results!$C$45:$C$58</c:f>
              <c:numCache>
                <c:formatCode>General</c:formatCode>
                <c:ptCount val="12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</c:numCache>
            </c:numRef>
          </c:xVal>
          <c:yVal>
            <c:numRef>
              <c:f>Results!$N$45:$N$58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693.91762888183268</c:v>
                </c:pt>
                <c:pt idx="7">
                  <c:v>0</c:v>
                </c:pt>
                <c:pt idx="8">
                  <c:v>1207.097452064243</c:v>
                </c:pt>
                <c:pt idx="9">
                  <c:v>0</c:v>
                </c:pt>
                <c:pt idx="10">
                  <c:v>12173696.31363434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20-49DD-8B1B-E23E54141A0B}"/>
            </c:ext>
          </c:extLst>
        </c:ser>
        <c:ser>
          <c:idx val="4"/>
          <c:order val="4"/>
          <c:tx>
            <c:strRef>
              <c:f>Results!$D$59</c:f>
              <c:strCache>
                <c:ptCount val="1"/>
                <c:pt idx="0">
                  <c:v>2500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Results!$C$59:$C$72</c:f>
              <c:numCache>
                <c:formatCode>General</c:formatCode>
                <c:ptCount val="11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</c:numCache>
            </c:numRef>
          </c:xVal>
          <c:yVal>
            <c:numRef>
              <c:f>Results!$N$59:$N$72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61692326.051012777</c:v>
                </c:pt>
                <c:pt idx="6">
                  <c:v>0</c:v>
                </c:pt>
                <c:pt idx="7">
                  <c:v>47649495.450797305</c:v>
                </c:pt>
                <c:pt idx="8">
                  <c:v>1196.1148917718751</c:v>
                </c:pt>
                <c:pt idx="9">
                  <c:v>163392076.20146853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20-49DD-8B1B-E23E54141A0B}"/>
            </c:ext>
          </c:extLst>
        </c:ser>
        <c:ser>
          <c:idx val="5"/>
          <c:order val="5"/>
          <c:tx>
            <c:strRef>
              <c:f>Results!$D$73</c:f>
              <c:strCache>
                <c:ptCount val="1"/>
                <c:pt idx="0">
                  <c:v>5000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Results!$C$73:$C$86</c:f>
              <c:numCache>
                <c:formatCode>General</c:formatCode>
                <c:ptCount val="10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</c:numCache>
            </c:numRef>
          </c:xVal>
          <c:yVal>
            <c:numRef>
              <c:f>Results!$N$73:$N$86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668.93484878224604</c:v>
                </c:pt>
                <c:pt idx="6">
                  <c:v>0</c:v>
                </c:pt>
                <c:pt idx="7">
                  <c:v>130531876.59057547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20-49DD-8B1B-E23E54141A0B}"/>
            </c:ext>
          </c:extLst>
        </c:ser>
        <c:ser>
          <c:idx val="6"/>
          <c:order val="6"/>
          <c:tx>
            <c:strRef>
              <c:f>Results!$D$87</c:f>
              <c:strCache>
                <c:ptCount val="1"/>
                <c:pt idx="0">
                  <c:v>10000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Results!$C$87:$C$100</c:f>
              <c:numCache>
                <c:formatCode>General</c:formatCode>
                <c:ptCount val="10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675</c:v>
                </c:pt>
              </c:numCache>
            </c:numRef>
          </c:xVal>
          <c:yVal>
            <c:numRef>
              <c:f>Results!$N$87:$N$100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90730080.246531203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320-49DD-8B1B-E23E54141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58319376"/>
        <c:axId val="-258310688"/>
      </c:scatterChart>
      <c:valAx>
        <c:axId val="-25831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Inlet</a:t>
                </a:r>
                <a:r>
                  <a:rPr lang="en-US" baseline="0"/>
                  <a:t> Temperature</a:t>
                </a:r>
                <a:r>
                  <a:rPr lang="en-US"/>
                  <a:t> [K]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310688"/>
        <c:crosses val="autoZero"/>
        <c:crossBetween val="midCat"/>
        <c:minorUnit val="10"/>
      </c:valAx>
      <c:valAx>
        <c:axId val="-25831068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Max.</a:t>
                </a:r>
                <a:r>
                  <a:rPr lang="en-US" baseline="0"/>
                  <a:t> Temperature [K]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31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 - </a:t>
            </a:r>
            <a:r>
              <a:rPr lang="en-US" baseline="0"/>
              <a:t>Isothermal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825101600051"/>
          <c:y val="0.19001093990037701"/>
          <c:w val="0.83977080425675599"/>
          <c:h val="0.593484330560117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Results!$D$3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Results!$F$3:$F$16</c:f>
              <c:numCache>
                <c:formatCode>General</c:formatCode>
                <c:ptCount val="14"/>
                <c:pt idx="0">
                  <c:v>164462449.49409199</c:v>
                </c:pt>
                <c:pt idx="1">
                  <c:v>17618131.18782936</c:v>
                </c:pt>
                <c:pt idx="2">
                  <c:v>2495262.6954646115</c:v>
                </c:pt>
                <c:pt idx="3">
                  <c:v>444771.20728469273</c:v>
                </c:pt>
                <c:pt idx="4">
                  <c:v>96023.385175508243</c:v>
                </c:pt>
                <c:pt idx="5">
                  <c:v>24361.124062626146</c:v>
                </c:pt>
                <c:pt idx="6">
                  <c:v>7089.0102370435197</c:v>
                </c:pt>
                <c:pt idx="7">
                  <c:v>2320.2359224640713</c:v>
                </c:pt>
                <c:pt idx="8">
                  <c:v>840.57109387453841</c:v>
                </c:pt>
                <c:pt idx="9">
                  <c:v>332.62961295954022</c:v>
                </c:pt>
                <c:pt idx="10">
                  <c:v>142.19964383187829</c:v>
                </c:pt>
                <c:pt idx="11">
                  <c:v>65.067048585361974</c:v>
                </c:pt>
                <c:pt idx="12">
                  <c:v>50</c:v>
                </c:pt>
                <c:pt idx="13">
                  <c:v>16.20836617287366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3-4251-B619-C8A70C351CB6}"/>
            </c:ext>
          </c:extLst>
        </c:ser>
        <c:ser>
          <c:idx val="1"/>
          <c:order val="1"/>
          <c:tx>
            <c:strRef>
              <c:f>Results!$D$17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Results!$F$17:$F$30</c:f>
              <c:numCache>
                <c:formatCode>General</c:formatCode>
                <c:ptCount val="14"/>
                <c:pt idx="0">
                  <c:v>65784980.88605307</c:v>
                </c:pt>
                <c:pt idx="1">
                  <c:v>7047252.3322143136</c:v>
                </c:pt>
                <c:pt idx="2">
                  <c:v>998105.07680831908</c:v>
                </c:pt>
                <c:pt idx="3">
                  <c:v>177908.48243094436</c:v>
                </c:pt>
                <c:pt idx="4">
                  <c:v>38409.354178500369</c:v>
                </c:pt>
                <c:pt idx="5">
                  <c:v>9744.4496340059832</c:v>
                </c:pt>
                <c:pt idx="6">
                  <c:v>2835.6041476368973</c:v>
                </c:pt>
                <c:pt idx="7">
                  <c:v>928.09435908291437</c:v>
                </c:pt>
                <c:pt idx="8">
                  <c:v>336.22843729238855</c:v>
                </c:pt>
                <c:pt idx="9">
                  <c:v>133.05184422782014</c:v>
                </c:pt>
                <c:pt idx="10">
                  <c:v>56.879855950281822</c:v>
                </c:pt>
                <c:pt idx="11">
                  <c:v>26.026817513585431</c:v>
                </c:pt>
                <c:pt idx="12">
                  <c:v>12.647420417069284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3-4251-B619-C8A70C351CB6}"/>
            </c:ext>
          </c:extLst>
        </c:ser>
        <c:ser>
          <c:idx val="2"/>
          <c:order val="2"/>
          <c:tx>
            <c:strRef>
              <c:f>Results!$D$31</c:f>
              <c:strCache>
                <c:ptCount val="1"/>
                <c:pt idx="0">
                  <c:v>500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Results!$F$31:$F$44</c:f>
              <c:numCache>
                <c:formatCode>General</c:formatCode>
                <c:ptCount val="12"/>
                <c:pt idx="0">
                  <c:v>3523626.1661069174</c:v>
                </c:pt>
                <c:pt idx="1">
                  <c:v>499052.53840320319</c:v>
                </c:pt>
                <c:pt idx="2">
                  <c:v>88954.241213625093</c:v>
                </c:pt>
                <c:pt idx="3">
                  <c:v>19204.677091243037</c:v>
                </c:pt>
                <c:pt idx="4">
                  <c:v>4872.2248191304307</c:v>
                </c:pt>
                <c:pt idx="5">
                  <c:v>1417.8020642963845</c:v>
                </c:pt>
                <c:pt idx="6">
                  <c:v>464.04718719169239</c:v>
                </c:pt>
                <c:pt idx="7">
                  <c:v>168.1142181842294</c:v>
                </c:pt>
                <c:pt idx="8">
                  <c:v>66.525922003229184</c:v>
                </c:pt>
                <c:pt idx="9">
                  <c:v>28.439927710849197</c:v>
                </c:pt>
                <c:pt idx="10">
                  <c:v>13.013408850654995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3-4251-B619-C8A70C351CB6}"/>
            </c:ext>
          </c:extLst>
        </c:ser>
        <c:ser>
          <c:idx val="3"/>
          <c:order val="3"/>
          <c:tx>
            <c:strRef>
              <c:f>Results!$D$45</c:f>
              <c:strCache>
                <c:ptCount val="1"/>
                <c:pt idx="0">
                  <c:v>1000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Results!$F$45:$F$58</c:f>
              <c:numCache>
                <c:formatCode>General</c:formatCode>
                <c:ptCount val="12"/>
                <c:pt idx="0">
                  <c:v>50</c:v>
                </c:pt>
                <c:pt idx="1">
                  <c:v>1761813.0830484289</c:v>
                </c:pt>
                <c:pt idx="2">
                  <c:v>249526.26920103701</c:v>
                </c:pt>
                <c:pt idx="3">
                  <c:v>44477.12060498324</c:v>
                </c:pt>
                <c:pt idx="4">
                  <c:v>9602.3385475646137</c:v>
                </c:pt>
                <c:pt idx="5">
                  <c:v>2436.1124114505778</c:v>
                </c:pt>
                <c:pt idx="6">
                  <c:v>708.901023905432</c:v>
                </c:pt>
                <c:pt idx="7">
                  <c:v>232.02359021467734</c:v>
                </c:pt>
                <c:pt idx="8">
                  <c:v>84.057109195861614</c:v>
                </c:pt>
                <c:pt idx="9">
                  <c:v>33.262960575831002</c:v>
                </c:pt>
                <c:pt idx="10">
                  <c:v>14.219963907322194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3-4251-B619-C8A70C351CB6}"/>
            </c:ext>
          </c:extLst>
        </c:ser>
        <c:ser>
          <c:idx val="4"/>
          <c:order val="4"/>
          <c:tx>
            <c:strRef>
              <c:f>Results!$D$60</c:f>
              <c:strCache>
                <c:ptCount val="1"/>
                <c:pt idx="0">
                  <c:v>2500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Results!$F$59:$F$72</c:f>
              <c:numCache>
                <c:formatCode>General</c:formatCode>
                <c:ptCount val="11"/>
                <c:pt idx="0">
                  <c:v>6578497.9557657177</c:v>
                </c:pt>
                <c:pt idx="1">
                  <c:v>704725.24623532861</c:v>
                </c:pt>
                <c:pt idx="2">
                  <c:v>99810.507815277597</c:v>
                </c:pt>
                <c:pt idx="3">
                  <c:v>17790.848520634954</c:v>
                </c:pt>
                <c:pt idx="4">
                  <c:v>3840.9354033548152</c:v>
                </c:pt>
                <c:pt idx="5">
                  <c:v>974.44496024688431</c:v>
                </c:pt>
                <c:pt idx="6">
                  <c:v>283.56041059137453</c:v>
                </c:pt>
                <c:pt idx="7">
                  <c:v>92.809436380957919</c:v>
                </c:pt>
                <c:pt idx="8">
                  <c:v>33.622843333300111</c:v>
                </c:pt>
                <c:pt idx="9">
                  <c:v>13.305184027986151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C3-4251-B619-C8A70C351CB6}"/>
            </c:ext>
          </c:extLst>
        </c:ser>
        <c:ser>
          <c:idx val="5"/>
          <c:order val="5"/>
          <c:tx>
            <c:strRef>
              <c:f>Results!$D$73</c:f>
              <c:strCache>
                <c:ptCount val="1"/>
                <c:pt idx="0">
                  <c:v>5000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3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25F-4F11-95FC-DF06B073538B}"/>
              </c:ext>
            </c:extLst>
          </c:dPt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Results!$F$73:$F$86</c:f>
              <c:numCache>
                <c:formatCode>General</c:formatCode>
                <c:ptCount val="10"/>
                <c:pt idx="0">
                  <c:v>3289248.977874008</c:v>
                </c:pt>
                <c:pt idx="1">
                  <c:v>352362.62310659193</c:v>
                </c:pt>
                <c:pt idx="2">
                  <c:v>49905.253906082355</c:v>
                </c:pt>
                <c:pt idx="3">
                  <c:v>8895.4242603471939</c:v>
                </c:pt>
                <c:pt idx="4">
                  <c:v>1920.4677009722438</c:v>
                </c:pt>
                <c:pt idx="5">
                  <c:v>487.22248848012958</c:v>
                </c:pt>
                <c:pt idx="6">
                  <c:v>141.78020590218608</c:v>
                </c:pt>
                <c:pt idx="7">
                  <c:v>46.404717683914086</c:v>
                </c:pt>
                <c:pt idx="8">
                  <c:v>16.8114221433414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6C3-4251-B619-C8A70C351CB6}"/>
            </c:ext>
          </c:extLst>
        </c:ser>
        <c:ser>
          <c:idx val="6"/>
          <c:order val="6"/>
          <c:tx>
            <c:strRef>
              <c:f>Results!$D$87</c:f>
              <c:strCache>
                <c:ptCount val="1"/>
                <c:pt idx="0">
                  <c:v>10000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9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E25F-4F11-95FC-DF06B073538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5F-4F11-95FC-DF06B073538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25F-4F11-95FC-DF06B073538B}"/>
              </c:ext>
            </c:extLst>
          </c:dPt>
          <c:dPt>
            <c:idx val="1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5F-4F11-95FC-DF06B073538B}"/>
              </c:ext>
            </c:extLst>
          </c:dPt>
          <c:dPt>
            <c:idx val="1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5F-4F11-95FC-DF06B073538B}"/>
              </c:ext>
            </c:extLst>
          </c:dPt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Results!$F$87:$F$100</c:f>
              <c:numCache>
                <c:formatCode>General</c:formatCode>
                <c:ptCount val="10"/>
                <c:pt idx="0">
                  <c:v>1644624.4889365078</c:v>
                </c:pt>
                <c:pt idx="1">
                  <c:v>176181.3115423831</c:v>
                </c:pt>
                <c:pt idx="2">
                  <c:v>24952.626951492766</c:v>
                </c:pt>
                <c:pt idx="3">
                  <c:v>4447.712130092712</c:v>
                </c:pt>
                <c:pt idx="4">
                  <c:v>960.23384978855711</c:v>
                </c:pt>
                <c:pt idx="5">
                  <c:v>243.61124118676275</c:v>
                </c:pt>
                <c:pt idx="6">
                  <c:v>70.890102349663024</c:v>
                </c:pt>
                <c:pt idx="7">
                  <c:v>23.202358778510288</c:v>
                </c:pt>
                <c:pt idx="8">
                  <c:v>0</c:v>
                </c:pt>
                <c:pt idx="9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6C3-4251-B619-C8A70C351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58203520"/>
        <c:axId val="-258194832"/>
      </c:scatterChart>
      <c:valAx>
        <c:axId val="-25820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Inlet</a:t>
                </a:r>
                <a:r>
                  <a:rPr lang="en-US" baseline="0"/>
                  <a:t> Temperature</a:t>
                </a:r>
                <a:r>
                  <a:rPr lang="en-US"/>
                  <a:t> [K]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194832"/>
        <c:crosses val="autoZero"/>
        <c:crossBetween val="midCat"/>
        <c:minorUnit val="10"/>
      </c:valAx>
      <c:valAx>
        <c:axId val="-25819483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[m^3]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20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644536576567601"/>
          <c:y val="0.91949862669335702"/>
          <c:w val="0.8035546826504526"/>
          <c:h val="6.74261019813736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 - </a:t>
            </a:r>
            <a:r>
              <a:rPr lang="en-US" baseline="0"/>
              <a:t>Adiabatic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825101600051"/>
          <c:y val="0.19001093990037701"/>
          <c:w val="0.83977080425675599"/>
          <c:h val="0.593484330560117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Results!$C$49:$C$62</c:f>
              <c:numCache>
                <c:formatCode>General</c:formatCode>
                <c:ptCount val="12"/>
                <c:pt idx="0">
                  <c:v>450</c:v>
                </c:pt>
                <c:pt idx="1">
                  <c:v>475</c:v>
                </c:pt>
                <c:pt idx="2">
                  <c:v>500</c:v>
                </c:pt>
                <c:pt idx="3">
                  <c:v>525</c:v>
                </c:pt>
                <c:pt idx="4">
                  <c:v>550</c:v>
                </c:pt>
                <c:pt idx="5">
                  <c:v>575</c:v>
                </c:pt>
                <c:pt idx="6">
                  <c:v>600</c:v>
                </c:pt>
                <c:pt idx="7">
                  <c:v>625</c:v>
                </c:pt>
                <c:pt idx="8">
                  <c:v>350</c:v>
                </c:pt>
                <c:pt idx="9">
                  <c:v>375</c:v>
                </c:pt>
                <c:pt idx="10">
                  <c:v>400</c:v>
                </c:pt>
                <c:pt idx="11">
                  <c:v>425</c:v>
                </c:pt>
              </c:numCache>
            </c:numRef>
          </c:xVal>
          <c:yVal>
            <c:numRef>
              <c:f>Results!$H$3:$H$16</c:f>
              <c:numCache>
                <c:formatCode>General</c:formatCode>
                <c:ptCount val="14"/>
                <c:pt idx="0">
                  <c:v>10485810</c:v>
                </c:pt>
                <c:pt idx="1">
                  <c:v>1310770</c:v>
                </c:pt>
                <c:pt idx="2">
                  <c:v>327730</c:v>
                </c:pt>
                <c:pt idx="3">
                  <c:v>41010</c:v>
                </c:pt>
                <c:pt idx="4">
                  <c:v>85451.879617241109</c:v>
                </c:pt>
                <c:pt idx="5">
                  <c:v>21464.417565989152</c:v>
                </c:pt>
                <c:pt idx="6">
                  <c:v>1330</c:v>
                </c:pt>
                <c:pt idx="7">
                  <c:v>1634.6689533311549</c:v>
                </c:pt>
                <c:pt idx="8">
                  <c:v>409.03031837519865</c:v>
                </c:pt>
                <c:pt idx="9">
                  <c:v>51.079774176026227</c:v>
                </c:pt>
                <c:pt idx="10">
                  <c:v>50.454226499586298</c:v>
                </c:pt>
                <c:pt idx="11">
                  <c:v>51.25</c:v>
                </c:pt>
                <c:pt idx="12">
                  <c:v>49.505915805813366</c:v>
                </c:pt>
                <c:pt idx="13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20 kPa</c:v>
                </c15:tx>
              </c15:filteredSeriesTitle>
            </c:ext>
            <c:ext xmlns:c16="http://schemas.microsoft.com/office/drawing/2014/chart" uri="{C3380CC4-5D6E-409C-BE32-E72D297353CC}">
              <c16:uniqueId val="{00000000-5F60-459A-9FC9-A098BD1A281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Results!$C$49:$C$62</c:f>
              <c:numCache>
                <c:formatCode>General</c:formatCode>
                <c:ptCount val="12"/>
                <c:pt idx="0">
                  <c:v>450</c:v>
                </c:pt>
                <c:pt idx="1">
                  <c:v>475</c:v>
                </c:pt>
                <c:pt idx="2">
                  <c:v>500</c:v>
                </c:pt>
                <c:pt idx="3">
                  <c:v>525</c:v>
                </c:pt>
                <c:pt idx="4">
                  <c:v>550</c:v>
                </c:pt>
                <c:pt idx="5">
                  <c:v>575</c:v>
                </c:pt>
                <c:pt idx="6">
                  <c:v>600</c:v>
                </c:pt>
                <c:pt idx="7">
                  <c:v>625</c:v>
                </c:pt>
                <c:pt idx="8">
                  <c:v>350</c:v>
                </c:pt>
                <c:pt idx="9">
                  <c:v>375</c:v>
                </c:pt>
                <c:pt idx="10">
                  <c:v>400</c:v>
                </c:pt>
                <c:pt idx="11">
                  <c:v>425</c:v>
                </c:pt>
              </c:numCache>
            </c:numRef>
          </c:xVal>
          <c:yVal>
            <c:numRef>
              <c:f>Results!$H$17:$H$30</c:f>
              <c:numCache>
                <c:formatCode>General</c:formatCode>
                <c:ptCount val="14"/>
                <c:pt idx="0">
                  <c:v>5242930</c:v>
                </c:pt>
                <c:pt idx="1">
                  <c:v>655410</c:v>
                </c:pt>
                <c:pt idx="2">
                  <c:v>81970</c:v>
                </c:pt>
                <c:pt idx="3">
                  <c:v>20530</c:v>
                </c:pt>
                <c:pt idx="4">
                  <c:v>32598.209708326172</c:v>
                </c:pt>
                <c:pt idx="5">
                  <c:v>8040.1516277980563</c:v>
                </c:pt>
                <c:pt idx="6">
                  <c:v>2093.4632121183554</c:v>
                </c:pt>
                <c:pt idx="7">
                  <c:v>453.91505887937819</c:v>
                </c:pt>
                <c:pt idx="8">
                  <c:v>47.089915864514523</c:v>
                </c:pt>
                <c:pt idx="9">
                  <c:v>50.3125</c:v>
                </c:pt>
                <c:pt idx="10">
                  <c:v>45</c:v>
                </c:pt>
                <c:pt idx="11">
                  <c:v>40</c:v>
                </c:pt>
                <c:pt idx="12">
                  <c:v>53.897530161727239</c:v>
                </c:pt>
                <c:pt idx="13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40 kPa</c:v>
                </c15:tx>
              </c15:filteredSeriesTitle>
            </c:ext>
            <c:ext xmlns:c16="http://schemas.microsoft.com/office/drawing/2014/chart" uri="{C3380CC4-5D6E-409C-BE32-E72D297353CC}">
              <c16:uniqueId val="{00000001-5F60-459A-9FC9-A098BD1A281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Results!$C$49:$C$62</c:f>
              <c:numCache>
                <c:formatCode>General</c:formatCode>
                <c:ptCount val="12"/>
                <c:pt idx="0">
                  <c:v>450</c:v>
                </c:pt>
                <c:pt idx="1">
                  <c:v>475</c:v>
                </c:pt>
                <c:pt idx="2">
                  <c:v>500</c:v>
                </c:pt>
                <c:pt idx="3">
                  <c:v>525</c:v>
                </c:pt>
                <c:pt idx="4">
                  <c:v>550</c:v>
                </c:pt>
                <c:pt idx="5">
                  <c:v>575</c:v>
                </c:pt>
                <c:pt idx="6">
                  <c:v>600</c:v>
                </c:pt>
                <c:pt idx="7">
                  <c:v>625</c:v>
                </c:pt>
                <c:pt idx="8">
                  <c:v>350</c:v>
                </c:pt>
                <c:pt idx="9">
                  <c:v>375</c:v>
                </c:pt>
                <c:pt idx="10">
                  <c:v>400</c:v>
                </c:pt>
                <c:pt idx="11">
                  <c:v>425</c:v>
                </c:pt>
              </c:numCache>
            </c:numRef>
          </c:xVal>
          <c:yVal>
            <c:numRef>
              <c:f>Results!$H$31:$H$44</c:f>
              <c:numCache>
                <c:formatCode>General</c:formatCode>
                <c:ptCount val="12"/>
                <c:pt idx="0">
                  <c:v>327730</c:v>
                </c:pt>
                <c:pt idx="1">
                  <c:v>41010</c:v>
                </c:pt>
                <c:pt idx="2">
                  <c:v>10290</c:v>
                </c:pt>
                <c:pt idx="3">
                  <c:v>2610</c:v>
                </c:pt>
                <c:pt idx="4">
                  <c:v>3742.2763111128706</c:v>
                </c:pt>
                <c:pt idx="5">
                  <c:v>811.16164665645408</c:v>
                </c:pt>
                <c:pt idx="6">
                  <c:v>58.986584951657484</c:v>
                </c:pt>
                <c:pt idx="7">
                  <c:v>51.25</c:v>
                </c:pt>
                <c:pt idx="8">
                  <c:v>47.5</c:v>
                </c:pt>
                <c:pt idx="9">
                  <c:v>50.3125</c:v>
                </c:pt>
                <c:pt idx="10">
                  <c:v>51.25</c:v>
                </c:pt>
                <c:pt idx="11">
                  <c:v>45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60 kPa</c:v>
                </c15:tx>
              </c15:filteredSeriesTitle>
            </c:ext>
            <c:ext xmlns:c16="http://schemas.microsoft.com/office/drawing/2014/chart" uri="{C3380CC4-5D6E-409C-BE32-E72D297353CC}">
              <c16:uniqueId val="{00000002-5F60-459A-9FC9-A098BD1A281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Results!$C$49:$C$62</c:f>
              <c:numCache>
                <c:formatCode>General</c:formatCode>
                <c:ptCount val="12"/>
                <c:pt idx="0">
                  <c:v>450</c:v>
                </c:pt>
                <c:pt idx="1">
                  <c:v>475</c:v>
                </c:pt>
                <c:pt idx="2">
                  <c:v>500</c:v>
                </c:pt>
                <c:pt idx="3">
                  <c:v>525</c:v>
                </c:pt>
                <c:pt idx="4">
                  <c:v>550</c:v>
                </c:pt>
                <c:pt idx="5">
                  <c:v>575</c:v>
                </c:pt>
                <c:pt idx="6">
                  <c:v>600</c:v>
                </c:pt>
                <c:pt idx="7">
                  <c:v>625</c:v>
                </c:pt>
                <c:pt idx="8">
                  <c:v>350</c:v>
                </c:pt>
                <c:pt idx="9">
                  <c:v>375</c:v>
                </c:pt>
                <c:pt idx="10">
                  <c:v>400</c:v>
                </c:pt>
                <c:pt idx="11">
                  <c:v>425</c:v>
                </c:pt>
              </c:numCache>
            </c:numRef>
          </c:xVal>
          <c:yVal>
            <c:numRef>
              <c:f>Results!$H$45:$H$48</c:f>
              <c:numCache>
                <c:formatCode>General</c:formatCode>
                <c:ptCount val="4"/>
                <c:pt idx="0">
                  <c:v>1310770</c:v>
                </c:pt>
                <c:pt idx="1">
                  <c:v>163890</c:v>
                </c:pt>
                <c:pt idx="2">
                  <c:v>20530</c:v>
                </c:pt>
                <c:pt idx="3">
                  <c:v>5170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80 kPa</c:v>
                </c15:tx>
              </c15:filteredSeriesTitle>
            </c:ext>
            <c:ext xmlns:c16="http://schemas.microsoft.com/office/drawing/2014/chart" uri="{C3380CC4-5D6E-409C-BE32-E72D297353CC}">
              <c16:uniqueId val="{00000003-5F60-459A-9FC9-A098BD1A281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Results!$C$49:$C$62</c:f>
              <c:numCache>
                <c:formatCode>General</c:formatCode>
                <c:ptCount val="12"/>
                <c:pt idx="0">
                  <c:v>450</c:v>
                </c:pt>
                <c:pt idx="1">
                  <c:v>475</c:v>
                </c:pt>
                <c:pt idx="2">
                  <c:v>500</c:v>
                </c:pt>
                <c:pt idx="3">
                  <c:v>525</c:v>
                </c:pt>
                <c:pt idx="4">
                  <c:v>550</c:v>
                </c:pt>
                <c:pt idx="5">
                  <c:v>575</c:v>
                </c:pt>
                <c:pt idx="6">
                  <c:v>600</c:v>
                </c:pt>
                <c:pt idx="7">
                  <c:v>625</c:v>
                </c:pt>
                <c:pt idx="8">
                  <c:v>350</c:v>
                </c:pt>
                <c:pt idx="9">
                  <c:v>375</c:v>
                </c:pt>
                <c:pt idx="10">
                  <c:v>400</c:v>
                </c:pt>
                <c:pt idx="11">
                  <c:v>425</c:v>
                </c:pt>
              </c:numCache>
            </c:numRef>
          </c:xVal>
          <c:yVal>
            <c:numRef>
              <c:f>Results!$H$49:$H$62</c:f>
              <c:numCache>
                <c:formatCode>General</c:formatCode>
                <c:ptCount val="12"/>
                <c:pt idx="0">
                  <c:v>1330</c:v>
                </c:pt>
                <c:pt idx="1">
                  <c:v>370</c:v>
                </c:pt>
                <c:pt idx="2">
                  <c:v>81.366577693933664</c:v>
                </c:pt>
                <c:pt idx="3">
                  <c:v>50</c:v>
                </c:pt>
                <c:pt idx="4">
                  <c:v>47.5</c:v>
                </c:pt>
                <c:pt idx="5">
                  <c:v>51.25</c:v>
                </c:pt>
                <c:pt idx="6">
                  <c:v>53.647406718326309</c:v>
                </c:pt>
                <c:pt idx="7">
                  <c:v>50</c:v>
                </c:pt>
                <c:pt idx="8">
                  <c:v>655410</c:v>
                </c:pt>
                <c:pt idx="9">
                  <c:v>81970</c:v>
                </c:pt>
                <c:pt idx="10">
                  <c:v>10290</c:v>
                </c:pt>
                <c:pt idx="11">
                  <c:v>2610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100 kPa</c:v>
                </c15:tx>
              </c15:filteredSeriesTitle>
            </c:ext>
            <c:ext xmlns:c16="http://schemas.microsoft.com/office/drawing/2014/chart" uri="{C3380CC4-5D6E-409C-BE32-E72D297353CC}">
              <c16:uniqueId val="{00000004-5F60-459A-9FC9-A098BD1A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58110432"/>
        <c:axId val="-258101856"/>
      </c:scatterChart>
      <c:valAx>
        <c:axId val="-25811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Inlet</a:t>
                </a:r>
                <a:r>
                  <a:rPr lang="en-US" baseline="0"/>
                  <a:t> Temperature</a:t>
                </a:r>
                <a:r>
                  <a:rPr lang="en-US"/>
                  <a:t> [K]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101856"/>
        <c:crosses val="autoZero"/>
        <c:crossBetween val="midCat"/>
        <c:minorUnit val="10"/>
      </c:valAx>
      <c:valAx>
        <c:axId val="-2581018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[m^3]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811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644536576567601"/>
          <c:y val="0.91949862669335702"/>
          <c:w val="0.60710904878098604"/>
          <c:h val="5.234803292389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 - </a:t>
            </a:r>
            <a:r>
              <a:rPr lang="en-US" baseline="0"/>
              <a:t>Adiabtic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825101600051"/>
          <c:y val="0.19001093990037701"/>
          <c:w val="0.83977080425675599"/>
          <c:h val="0.5934843305601179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Results!$D$3</c:f>
              <c:strCache>
                <c:ptCount val="1"/>
                <c:pt idx="0">
                  <c:v>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Results!$H$3:$H$16</c:f>
              <c:numCache>
                <c:formatCode>General</c:formatCode>
                <c:ptCount val="14"/>
                <c:pt idx="0">
                  <c:v>10485810</c:v>
                </c:pt>
                <c:pt idx="1">
                  <c:v>1310770</c:v>
                </c:pt>
                <c:pt idx="2">
                  <c:v>327730</c:v>
                </c:pt>
                <c:pt idx="3">
                  <c:v>41010</c:v>
                </c:pt>
                <c:pt idx="4">
                  <c:v>85451.879617241109</c:v>
                </c:pt>
                <c:pt idx="5">
                  <c:v>21464.417565989152</c:v>
                </c:pt>
                <c:pt idx="6">
                  <c:v>1330</c:v>
                </c:pt>
                <c:pt idx="7">
                  <c:v>1634.6689533311549</c:v>
                </c:pt>
                <c:pt idx="8">
                  <c:v>409.03031837519865</c:v>
                </c:pt>
                <c:pt idx="9">
                  <c:v>51.079774176026227</c:v>
                </c:pt>
                <c:pt idx="10">
                  <c:v>50.454226499586298</c:v>
                </c:pt>
                <c:pt idx="11">
                  <c:v>51.25</c:v>
                </c:pt>
                <c:pt idx="12">
                  <c:v>49.505915805813366</c:v>
                </c:pt>
                <c:pt idx="1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95-409F-B40F-4FA6F222B68F}"/>
            </c:ext>
          </c:extLst>
        </c:ser>
        <c:ser>
          <c:idx val="1"/>
          <c:order val="1"/>
          <c:tx>
            <c:strRef>
              <c:f>Results!$D$17</c:f>
              <c:strCache>
                <c:ptCount val="1"/>
                <c:pt idx="0">
                  <c:v>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Results!$H$17:$H$30</c:f>
              <c:numCache>
                <c:formatCode>General</c:formatCode>
                <c:ptCount val="14"/>
                <c:pt idx="0">
                  <c:v>5242930</c:v>
                </c:pt>
                <c:pt idx="1">
                  <c:v>655410</c:v>
                </c:pt>
                <c:pt idx="2">
                  <c:v>81970</c:v>
                </c:pt>
                <c:pt idx="3">
                  <c:v>20530</c:v>
                </c:pt>
                <c:pt idx="4">
                  <c:v>32598.209708326172</c:v>
                </c:pt>
                <c:pt idx="5">
                  <c:v>8040.1516277980563</c:v>
                </c:pt>
                <c:pt idx="6">
                  <c:v>2093.4632121183554</c:v>
                </c:pt>
                <c:pt idx="7">
                  <c:v>453.91505887937819</c:v>
                </c:pt>
                <c:pt idx="8">
                  <c:v>47.089915864514523</c:v>
                </c:pt>
                <c:pt idx="9">
                  <c:v>50.3125</c:v>
                </c:pt>
                <c:pt idx="10">
                  <c:v>45</c:v>
                </c:pt>
                <c:pt idx="11">
                  <c:v>40</c:v>
                </c:pt>
                <c:pt idx="12">
                  <c:v>53.897530161727239</c:v>
                </c:pt>
                <c:pt idx="1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95-409F-B40F-4FA6F222B68F}"/>
            </c:ext>
          </c:extLst>
        </c:ser>
        <c:ser>
          <c:idx val="2"/>
          <c:order val="2"/>
          <c:tx>
            <c:strRef>
              <c:f>Results!$D$31</c:f>
              <c:strCache>
                <c:ptCount val="1"/>
                <c:pt idx="0">
                  <c:v>500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Results!$H$31:$H$44</c:f>
              <c:numCache>
                <c:formatCode>General</c:formatCode>
                <c:ptCount val="12"/>
                <c:pt idx="0">
                  <c:v>327730</c:v>
                </c:pt>
                <c:pt idx="1">
                  <c:v>41010</c:v>
                </c:pt>
                <c:pt idx="2">
                  <c:v>10290</c:v>
                </c:pt>
                <c:pt idx="3">
                  <c:v>2610</c:v>
                </c:pt>
                <c:pt idx="4">
                  <c:v>3742.2763111128706</c:v>
                </c:pt>
                <c:pt idx="5">
                  <c:v>811.16164665645408</c:v>
                </c:pt>
                <c:pt idx="6">
                  <c:v>58.986584951657484</c:v>
                </c:pt>
                <c:pt idx="7">
                  <c:v>51.25</c:v>
                </c:pt>
                <c:pt idx="8">
                  <c:v>47.5</c:v>
                </c:pt>
                <c:pt idx="9">
                  <c:v>50.3125</c:v>
                </c:pt>
                <c:pt idx="10">
                  <c:v>51.25</c:v>
                </c:pt>
                <c:pt idx="1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95-409F-B40F-4FA6F222B68F}"/>
            </c:ext>
          </c:extLst>
        </c:ser>
        <c:ser>
          <c:idx val="3"/>
          <c:order val="3"/>
          <c:tx>
            <c:strRef>
              <c:f>Results!$D$45</c:f>
              <c:strCache>
                <c:ptCount val="1"/>
                <c:pt idx="0">
                  <c:v>1000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Results!$H$45:$H$58</c:f>
              <c:numCache>
                <c:formatCode>General</c:formatCode>
                <c:ptCount val="12"/>
                <c:pt idx="0">
                  <c:v>1310770</c:v>
                </c:pt>
                <c:pt idx="1">
                  <c:v>163890</c:v>
                </c:pt>
                <c:pt idx="2">
                  <c:v>20530</c:v>
                </c:pt>
                <c:pt idx="3">
                  <c:v>5170</c:v>
                </c:pt>
                <c:pt idx="4">
                  <c:v>1330</c:v>
                </c:pt>
                <c:pt idx="5">
                  <c:v>370</c:v>
                </c:pt>
                <c:pt idx="6">
                  <c:v>81.366577693933664</c:v>
                </c:pt>
                <c:pt idx="7">
                  <c:v>50</c:v>
                </c:pt>
                <c:pt idx="8">
                  <c:v>47.5</c:v>
                </c:pt>
                <c:pt idx="9">
                  <c:v>51.25</c:v>
                </c:pt>
                <c:pt idx="10">
                  <c:v>53.647406718326309</c:v>
                </c:pt>
                <c:pt idx="1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95-409F-B40F-4FA6F222B68F}"/>
            </c:ext>
          </c:extLst>
        </c:ser>
        <c:ser>
          <c:idx val="4"/>
          <c:order val="4"/>
          <c:tx>
            <c:strRef>
              <c:f>Results!$D$60</c:f>
              <c:strCache>
                <c:ptCount val="1"/>
                <c:pt idx="0">
                  <c:v>2500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Results!$H$59:$H$72</c:f>
              <c:numCache>
                <c:formatCode>General</c:formatCode>
                <c:ptCount val="11"/>
                <c:pt idx="0">
                  <c:v>655410</c:v>
                </c:pt>
                <c:pt idx="1">
                  <c:v>81970</c:v>
                </c:pt>
                <c:pt idx="2">
                  <c:v>10290</c:v>
                </c:pt>
                <c:pt idx="3">
                  <c:v>2610</c:v>
                </c:pt>
                <c:pt idx="4">
                  <c:v>2932.8372189092192</c:v>
                </c:pt>
                <c:pt idx="5">
                  <c:v>387.70125223607283</c:v>
                </c:pt>
                <c:pt idx="6">
                  <c:v>55</c:v>
                </c:pt>
                <c:pt idx="7">
                  <c:v>47.5</c:v>
                </c:pt>
                <c:pt idx="8">
                  <c:v>52.5</c:v>
                </c:pt>
                <c:pt idx="9">
                  <c:v>52.5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95-409F-B40F-4FA6F222B68F}"/>
            </c:ext>
          </c:extLst>
        </c:ser>
        <c:ser>
          <c:idx val="5"/>
          <c:order val="5"/>
          <c:tx>
            <c:strRef>
              <c:f>Results!$D$73</c:f>
              <c:strCache>
                <c:ptCount val="1"/>
                <c:pt idx="0">
                  <c:v>5000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Results!$H$73:$H$86</c:f>
              <c:numCache>
                <c:formatCode>General</c:formatCode>
                <c:ptCount val="10"/>
                <c:pt idx="0">
                  <c:v>327730</c:v>
                </c:pt>
                <c:pt idx="1">
                  <c:v>41010</c:v>
                </c:pt>
                <c:pt idx="2">
                  <c:v>5170.0000000000009</c:v>
                </c:pt>
                <c:pt idx="3">
                  <c:v>1330</c:v>
                </c:pt>
                <c:pt idx="4">
                  <c:v>461.37278513759867</c:v>
                </c:pt>
                <c:pt idx="5">
                  <c:v>50.221565762999617</c:v>
                </c:pt>
                <c:pt idx="6">
                  <c:v>52.5</c:v>
                </c:pt>
                <c:pt idx="7">
                  <c:v>52.5</c:v>
                </c:pt>
                <c:pt idx="8">
                  <c:v>50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95-409F-B40F-4FA6F222B68F}"/>
            </c:ext>
          </c:extLst>
        </c:ser>
        <c:ser>
          <c:idx val="6"/>
          <c:order val="6"/>
          <c:tx>
            <c:strRef>
              <c:f>Results!$D$87</c:f>
              <c:strCache>
                <c:ptCount val="1"/>
                <c:pt idx="0">
                  <c:v>10000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Results!$C$3:$C$16</c:f>
              <c:numCache>
                <c:formatCode>General</c:formatCode>
                <c:ptCount val="14"/>
                <c:pt idx="0">
                  <c:v>350</c:v>
                </c:pt>
                <c:pt idx="1">
                  <c:v>375</c:v>
                </c:pt>
                <c:pt idx="2">
                  <c:v>400</c:v>
                </c:pt>
                <c:pt idx="3">
                  <c:v>425</c:v>
                </c:pt>
                <c:pt idx="4">
                  <c:v>450</c:v>
                </c:pt>
                <c:pt idx="5">
                  <c:v>475</c:v>
                </c:pt>
                <c:pt idx="6">
                  <c:v>500</c:v>
                </c:pt>
                <c:pt idx="7">
                  <c:v>525</c:v>
                </c:pt>
                <c:pt idx="8">
                  <c:v>550</c:v>
                </c:pt>
                <c:pt idx="9">
                  <c:v>575</c:v>
                </c:pt>
                <c:pt idx="10">
                  <c:v>600</c:v>
                </c:pt>
                <c:pt idx="11">
                  <c:v>625</c:v>
                </c:pt>
                <c:pt idx="12">
                  <c:v>650</c:v>
                </c:pt>
                <c:pt idx="13">
                  <c:v>675</c:v>
                </c:pt>
              </c:numCache>
            </c:numRef>
          </c:xVal>
          <c:yVal>
            <c:numRef>
              <c:f>Results!$H$87:$H$100</c:f>
              <c:numCache>
                <c:formatCode>General</c:formatCode>
                <c:ptCount val="10"/>
                <c:pt idx="0">
                  <c:v>163889.99999999997</c:v>
                </c:pt>
                <c:pt idx="1">
                  <c:v>20530</c:v>
                </c:pt>
                <c:pt idx="2">
                  <c:v>2610</c:v>
                </c:pt>
                <c:pt idx="3">
                  <c:v>3431.1604754681207</c:v>
                </c:pt>
                <c:pt idx="4">
                  <c:v>361.81439679914797</c:v>
                </c:pt>
                <c:pt idx="5">
                  <c:v>50</c:v>
                </c:pt>
                <c:pt idx="6">
                  <c:v>47.5</c:v>
                </c:pt>
                <c:pt idx="7">
                  <c:v>47.5</c:v>
                </c:pt>
                <c:pt idx="8">
                  <c:v>50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95-409F-B40F-4FA6F222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57992464"/>
        <c:axId val="-257983776"/>
      </c:scatterChart>
      <c:valAx>
        <c:axId val="-25799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Inlet</a:t>
                </a:r>
                <a:r>
                  <a:rPr lang="en-US" baseline="0"/>
                  <a:t> Temperature</a:t>
                </a:r>
                <a:r>
                  <a:rPr lang="en-US"/>
                  <a:t> [K]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7983776"/>
        <c:crosses val="autoZero"/>
        <c:crossBetween val="midCat"/>
        <c:minorUnit val="10"/>
      </c:valAx>
      <c:valAx>
        <c:axId val="-25798377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[m^3]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7992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644536576567601"/>
          <c:y val="0.91949862669335702"/>
          <c:w val="0.72942375112463897"/>
          <c:h val="6.6424703115266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Equilibrium!$G$9</c:f>
              <c:strCache>
                <c:ptCount val="1"/>
                <c:pt idx="0">
                  <c:v>y,B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79132327209099"/>
                  <c:y val="0.400242782152231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Equilibrium!$A$10:$A$110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Equilibrium!$G$10:$G$110</c:f>
              <c:numCache>
                <c:formatCode>General</c:formatCode>
                <c:ptCount val="101"/>
                <c:pt idx="0">
                  <c:v>0</c:v>
                </c:pt>
                <c:pt idx="1">
                  <c:v>5.9085521816585836E-2</c:v>
                </c:pt>
                <c:pt idx="2">
                  <c:v>0.11380979111714541</c:v>
                </c:pt>
                <c:pt idx="3">
                  <c:v>0.16455768702673682</c:v>
                </c:pt>
                <c:pt idx="4">
                  <c:v>0.21167572625277029</c:v>
                </c:pt>
                <c:pt idx="5">
                  <c:v>0.25547621144607663</c:v>
                </c:pt>
                <c:pt idx="6">
                  <c:v>0.29624090810880283</c:v>
                </c:pt>
                <c:pt idx="7">
                  <c:v>0.3342243047486726</c:v>
                </c:pt>
                <c:pt idx="8">
                  <c:v>0.36965650469737116</c:v>
                </c:pt>
                <c:pt idx="9">
                  <c:v>0.40274579241675723</c:v>
                </c:pt>
                <c:pt idx="10">
                  <c:v>0.43368091214176524</c:v>
                </c:pt>
                <c:pt idx="11">
                  <c:v>0.46263309229080696</c:v>
                </c:pt>
                <c:pt idx="12">
                  <c:v>0.48975784515625104</c:v>
                </c:pt>
                <c:pt idx="13">
                  <c:v>0.5151965679171141</c:v>
                </c:pt>
                <c:pt idx="14">
                  <c:v>0.539077967945924</c:v>
                </c:pt>
                <c:pt idx="15">
                  <c:v>0.56151933266865739</c:v>
                </c:pt>
                <c:pt idx="16">
                  <c:v>0.58262766184149717</c:v>
                </c:pt>
                <c:pt idx="17">
                  <c:v>0.60250067799537321</c:v>
                </c:pt>
                <c:pt idx="18">
                  <c:v>0.62122772893703526</c:v>
                </c:pt>
                <c:pt idx="19">
                  <c:v>0.63889059455484687</c:v>
                </c:pt>
                <c:pt idx="20">
                  <c:v>0.65556420873300503</c:v>
                </c:pt>
                <c:pt idx="21">
                  <c:v>0.67131730590647043</c:v>
                </c:pt>
                <c:pt idx="22">
                  <c:v>0.68621300067000379</c:v>
                </c:pt>
                <c:pt idx="23">
                  <c:v>0.70030930787029999</c:v>
                </c:pt>
                <c:pt idx="24">
                  <c:v>0.71365960974404152</c:v>
                </c:pt>
                <c:pt idx="25">
                  <c:v>0.72631307590260163</c:v>
                </c:pt>
                <c:pt idx="26">
                  <c:v>0.73831504129347569</c:v>
                </c:pt>
                <c:pt idx="27">
                  <c:v>0.74970734667820016</c:v>
                </c:pt>
                <c:pt idx="28">
                  <c:v>0.76052864564680067</c:v>
                </c:pt>
                <c:pt idx="29">
                  <c:v>0.77081468173103296</c:v>
                </c:pt>
                <c:pt idx="30">
                  <c:v>0.78059853877534857</c:v>
                </c:pt>
                <c:pt idx="31">
                  <c:v>0.78991086736893024</c:v>
                </c:pt>
                <c:pt idx="32">
                  <c:v>0.79878008982855253</c:v>
                </c:pt>
                <c:pt idx="33">
                  <c:v>0.80723258594525082</c:v>
                </c:pt>
                <c:pt idx="34">
                  <c:v>0.81529286146339952</c:v>
                </c:pt>
                <c:pt idx="35">
                  <c:v>0.82298370104486274</c:v>
                </c:pt>
                <c:pt idx="36">
                  <c:v>0.83032630727994916</c:v>
                </c:pt>
                <c:pt idx="37">
                  <c:v>0.83734042713796653</c:v>
                </c:pt>
                <c:pt idx="38">
                  <c:v>0.84404446710059766</c:v>
                </c:pt>
                <c:pt idx="39">
                  <c:v>0.85045559808875215</c:v>
                </c:pt>
                <c:pt idx="40">
                  <c:v>0.85658985117602848</c:v>
                </c:pt>
                <c:pt idx="41">
                  <c:v>0.86246220497759618</c:v>
                </c:pt>
                <c:pt idx="42">
                  <c:v>0.86808666551064451</c:v>
                </c:pt>
                <c:pt idx="43">
                  <c:v>0.87347633924020818</c:v>
                </c:pt>
                <c:pt idx="44">
                  <c:v>0.87864349995088664</c:v>
                </c:pt>
                <c:pt idx="45">
                  <c:v>0.88359965001974827</c:v>
                </c:pt>
                <c:pt idx="46">
                  <c:v>0.88835557660757158</c:v>
                </c:pt>
                <c:pt idx="47">
                  <c:v>0.89292140323372615</c:v>
                </c:pt>
                <c:pt idx="48">
                  <c:v>0.89730663715371373</c:v>
                </c:pt>
                <c:pt idx="49">
                  <c:v>0.90152021291704265</c:v>
                </c:pt>
                <c:pt idx="50">
                  <c:v>0.90557053244613828</c:v>
                </c:pt>
                <c:pt idx="51">
                  <c:v>0.9094655019439063</c:v>
                </c:pt>
                <c:pt idx="52">
                  <c:v>0.91321256590793676</c:v>
                </c:pt>
                <c:pt idx="53">
                  <c:v>0.91681873850276407</c:v>
                </c:pt>
                <c:pt idx="54">
                  <c:v>0.92029063251777998</c:v>
                </c:pt>
                <c:pt idx="55">
                  <c:v>0.92363448611698051</c:v>
                </c:pt>
                <c:pt idx="56">
                  <c:v>0.9268561875675112</c:v>
                </c:pt>
                <c:pt idx="57">
                  <c:v>0.92996129811666584</c:v>
                </c:pt>
                <c:pt idx="58">
                  <c:v>0.93295507317143112</c:v>
                </c:pt>
                <c:pt idx="59">
                  <c:v>0.9358424819206338</c:v>
                </c:pt>
                <c:pt idx="60">
                  <c:v>0.93862822552710246</c:v>
                </c:pt>
                <c:pt idx="61">
                  <c:v>0.94131675400584192</c:v>
                </c:pt>
                <c:pt idx="62">
                  <c:v>0.94391228189390564</c:v>
                </c:pt>
                <c:pt idx="63">
                  <c:v>0.94641880280833435</c:v>
                </c:pt>
                <c:pt idx="64">
                  <c:v>0.94884010298010446</c:v>
                </c:pt>
                <c:pt idx="65">
                  <c:v>0.95117977384439445</c:v>
                </c:pt>
                <c:pt idx="66">
                  <c:v>0.95344122376056539</c:v>
                </c:pt>
                <c:pt idx="67">
                  <c:v>0.95562768892898697</c:v>
                </c:pt>
                <c:pt idx="68">
                  <c:v>0.95774224356614612</c:v>
                </c:pt>
                <c:pt idx="69">
                  <c:v>0.95978780939431685</c:v>
                </c:pt>
                <c:pt idx="70">
                  <c:v>0.9617671644973701</c:v>
                </c:pt>
                <c:pt idx="71">
                  <c:v>0.96368295159003992</c:v>
                </c:pt>
                <c:pt idx="72">
                  <c:v>0.96553768574407162</c:v>
                </c:pt>
                <c:pt idx="73">
                  <c:v>0.96733376161113904</c:v>
                </c:pt>
                <c:pt idx="74">
                  <c:v>0.96907346017920004</c:v>
                </c:pt>
                <c:pt idx="75">
                  <c:v>0.97075895509600674</c:v>
                </c:pt>
                <c:pt idx="76">
                  <c:v>0.97239231859081299</c:v>
                </c:pt>
                <c:pt idx="77">
                  <c:v>0.9739755270228575</c:v>
                </c:pt>
                <c:pt idx="78">
                  <c:v>0.97551046608297343</c:v>
                </c:pt>
                <c:pt idx="79">
                  <c:v>0.97699893567261009</c:v>
                </c:pt>
                <c:pt idx="80">
                  <c:v>0.97844265448268952</c:v>
                </c:pt>
                <c:pt idx="81">
                  <c:v>0.9798432642929904</c:v>
                </c:pt>
                <c:pt idx="82">
                  <c:v>0.98120233401118773</c:v>
                </c:pt>
                <c:pt idx="83">
                  <c:v>0.98252136346922325</c:v>
                </c:pt>
                <c:pt idx="84">
                  <c:v>0.98380178699335963</c:v>
                </c:pt>
                <c:pt idx="85">
                  <c:v>0.98504497676305891</c:v>
                </c:pt>
                <c:pt idx="86">
                  <c:v>0.98625224597269623</c:v>
                </c:pt>
                <c:pt idx="87">
                  <c:v>0.98742485180910555</c:v>
                </c:pt>
                <c:pt idx="88">
                  <c:v>0.98856399825699659</c:v>
                </c:pt>
                <c:pt idx="89">
                  <c:v>0.98967083874341744</c:v>
                </c:pt>
                <c:pt idx="90">
                  <c:v>0.9907464786316349</c:v>
                </c:pt>
                <c:pt idx="91">
                  <c:v>0.99179197757406501</c:v>
                </c:pt>
                <c:pt idx="92">
                  <c:v>0.99280835173320259</c:v>
                </c:pt>
                <c:pt idx="93">
                  <c:v>0.99379657587887205</c:v>
                </c:pt>
                <c:pt idx="94">
                  <c:v>0.99475758536954517</c:v>
                </c:pt>
                <c:pt idx="95">
                  <c:v>0.99569227802492188</c:v>
                </c:pt>
                <c:pt idx="96">
                  <c:v>0.99660151589649182</c:v>
                </c:pt>
                <c:pt idx="97">
                  <c:v>0.99748612694232486</c:v>
                </c:pt>
                <c:pt idx="98">
                  <c:v>0.99834690661191283</c:v>
                </c:pt>
                <c:pt idx="99">
                  <c:v>0.99918461934650527</c:v>
                </c:pt>
                <c:pt idx="1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4D-422C-A2B0-7EC5B31CC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254064"/>
        <c:axId val="1450429456"/>
      </c:scatterChart>
      <c:valAx>
        <c:axId val="144825406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429456"/>
        <c:crosses val="autoZero"/>
        <c:crossBetween val="midCat"/>
      </c:valAx>
      <c:valAx>
        <c:axId val="1450429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54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114804</xdr:colOff>
      <xdr:row>23</xdr:row>
      <xdr:rowOff>49719</xdr:rowOff>
    </xdr:from>
    <xdr:to>
      <xdr:col>14</xdr:col>
      <xdr:colOff>377447</xdr:colOff>
      <xdr:row>36</xdr:row>
      <xdr:rowOff>41252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20159</xdr:colOff>
      <xdr:row>11</xdr:row>
      <xdr:rowOff>84666</xdr:rowOff>
    </xdr:from>
    <xdr:to>
      <xdr:col>28</xdr:col>
      <xdr:colOff>789794</xdr:colOff>
      <xdr:row>24</xdr:row>
      <xdr:rowOff>76199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647700</xdr:colOff>
          <xdr:row>20</xdr:row>
          <xdr:rowOff>190500</xdr:rowOff>
        </xdr:from>
        <xdr:to>
          <xdr:col>22</xdr:col>
          <xdr:colOff>142875</xdr:colOff>
          <xdr:row>25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Isothermal Volume Macro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18</xdr:row>
          <xdr:rowOff>114300</xdr:rowOff>
        </xdr:from>
        <xdr:to>
          <xdr:col>7</xdr:col>
          <xdr:colOff>695325</xdr:colOff>
          <xdr:row>23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Isothermal Volume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251968</xdr:colOff>
      <xdr:row>22</xdr:row>
      <xdr:rowOff>3814</xdr:rowOff>
    </xdr:from>
    <xdr:to>
      <xdr:col>13</xdr:col>
      <xdr:colOff>446576</xdr:colOff>
      <xdr:row>34</xdr:row>
      <xdr:rowOff>194263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22</xdr:row>
          <xdr:rowOff>123825</xdr:rowOff>
        </xdr:from>
        <xdr:to>
          <xdr:col>21</xdr:col>
          <xdr:colOff>457200</xdr:colOff>
          <xdr:row>26</xdr:row>
          <xdr:rowOff>180975</xdr:rowOff>
        </xdr:to>
        <xdr:sp macro="" textlink="">
          <xdr:nvSpPr>
            <xdr:cNvPr id="4328" name="Button 232" hidden="1">
              <a:extLst>
                <a:ext uri="{63B3BB69-23CF-44E3-9099-C40C66FF867C}">
                  <a14:compatExt spid="_x0000_s4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Adiabatic Volume Macro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505984</xdr:colOff>
      <xdr:row>19</xdr:row>
      <xdr:rowOff>140304</xdr:rowOff>
    </xdr:from>
    <xdr:to>
      <xdr:col>33</xdr:col>
      <xdr:colOff>824492</xdr:colOff>
      <xdr:row>33</xdr:row>
      <xdr:rowOff>61282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216747</xdr:colOff>
      <xdr:row>4</xdr:row>
      <xdr:rowOff>172324</xdr:rowOff>
    </xdr:from>
    <xdr:to>
      <xdr:col>26</xdr:col>
      <xdr:colOff>301573</xdr:colOff>
      <xdr:row>25</xdr:row>
      <xdr:rowOff>151060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403647</xdr:colOff>
      <xdr:row>28</xdr:row>
      <xdr:rowOff>81133</xdr:rowOff>
    </xdr:from>
    <xdr:to>
      <xdr:col>23</xdr:col>
      <xdr:colOff>16718</xdr:colOff>
      <xdr:row>46</xdr:row>
      <xdr:rowOff>32341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657969</xdr:colOff>
      <xdr:row>29</xdr:row>
      <xdr:rowOff>22060</xdr:rowOff>
    </xdr:from>
    <xdr:to>
      <xdr:col>39</xdr:col>
      <xdr:colOff>251443</xdr:colOff>
      <xdr:row>46</xdr:row>
      <xdr:rowOff>177375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795867</xdr:colOff>
      <xdr:row>28</xdr:row>
      <xdr:rowOff>0</xdr:rowOff>
    </xdr:from>
    <xdr:to>
      <xdr:col>29</xdr:col>
      <xdr:colOff>408938</xdr:colOff>
      <xdr:row>45</xdr:row>
      <xdr:rowOff>154408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186358</xdr:colOff>
      <xdr:row>0</xdr:row>
      <xdr:rowOff>165652</xdr:rowOff>
    </xdr:from>
    <xdr:to>
      <xdr:col>15</xdr:col>
      <xdr:colOff>61292</xdr:colOff>
      <xdr:row>14</xdr:row>
      <xdr:rowOff>90880</xdr:rowOff>
    </xdr:to>
    <xdr:pic>
      <xdr:nvPicPr>
        <xdr:cNvPr id="4" name="Picture 3" descr="https://lh6.googleusercontent.com/Oa5tBpTWCpUI9kLRl12Vyz1eaTwRgiMYT_mzdpFfcJL2enq4-ceeG2zF1puSG1Y6h7qvbbOpcDz17LSDlJqVe6jLPf5Fl8gJtnPlGOykAVW52qLcbdc59zFK9GfQ8ZlwABhnef6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3505" y="165652"/>
          <a:ext cx="5051564" cy="2679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</xdr:colOff>
      <xdr:row>0</xdr:row>
      <xdr:rowOff>54429</xdr:rowOff>
    </xdr:from>
    <xdr:to>
      <xdr:col>14</xdr:col>
      <xdr:colOff>1194227</xdr:colOff>
      <xdr:row>15</xdr:row>
      <xdr:rowOff>25451</xdr:rowOff>
    </xdr:to>
    <xdr:pic>
      <xdr:nvPicPr>
        <xdr:cNvPr id="3" name="Picture 2" descr="https://lh6.googleusercontent.com/Oa5tBpTWCpUI9kLRl12Vyz1eaTwRgiMYT_mzdpFfcJL2enq4-ceeG2zF1puSG1Y6h7qvbbOpcDz17LSDlJqVe6jLPf5Fl8gJtnPlGOykAVW52qLcbdc59zFK9GfQ8ZlwABhnef6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1" y="54429"/>
          <a:ext cx="5510892" cy="3032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3</xdr:row>
      <xdr:rowOff>38100</xdr:rowOff>
    </xdr:from>
    <xdr:to>
      <xdr:col>16</xdr:col>
      <xdr:colOff>635000</xdr:colOff>
      <xdr:row>16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2</xdr:row>
          <xdr:rowOff>85725</xdr:rowOff>
        </xdr:from>
        <xdr:to>
          <xdr:col>10</xdr:col>
          <xdr:colOff>190500</xdr:colOff>
          <xdr:row>6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Find Equilibrium Data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usjo/Downloads/PFR_Design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othermal PFR"/>
      <sheetName val="Adiabatic PFR"/>
      <sheetName val="Results"/>
      <sheetName val="Balance_No_Recycle"/>
      <sheetName val="Balance_With_Recycle"/>
      <sheetName val="Sheet1"/>
      <sheetName val="Sheet2"/>
      <sheetName val="Summary"/>
      <sheetName val="IsothermalFormulas"/>
    </sheetNames>
    <definedNames>
      <definedName name="Eqbm"/>
    </defined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G9" t="str">
            <v>y,B</v>
          </cell>
        </row>
        <row r="10">
          <cell r="A10">
            <v>0</v>
          </cell>
          <cell r="G10">
            <v>0</v>
          </cell>
        </row>
        <row r="11">
          <cell r="A11">
            <v>0.01</v>
          </cell>
          <cell r="G11">
            <v>4.5189114305249314E-2</v>
          </cell>
        </row>
        <row r="12">
          <cell r="A12">
            <v>0.02</v>
          </cell>
          <cell r="G12">
            <v>8.7851853977756855E-2</v>
          </cell>
        </row>
        <row r="13">
          <cell r="A13">
            <v>0.03</v>
          </cell>
          <cell r="G13">
            <v>0.12816701475605338</v>
          </cell>
        </row>
        <row r="14">
          <cell r="A14">
            <v>0.04</v>
          </cell>
          <cell r="G14">
            <v>0.16628374816196023</v>
          </cell>
        </row>
        <row r="15">
          <cell r="A15">
            <v>0.05</v>
          </cell>
          <cell r="G15">
            <v>0.20235620392527362</v>
          </cell>
        </row>
        <row r="16">
          <cell r="A16">
            <v>6.0000000000000005E-2</v>
          </cell>
          <cell r="G16">
            <v>0.23652033118897742</v>
          </cell>
        </row>
        <row r="17">
          <cell r="A17">
            <v>7.0000000000000007E-2</v>
          </cell>
          <cell r="G17">
            <v>0.26890124623967732</v>
          </cell>
        </row>
        <row r="18">
          <cell r="A18">
            <v>0.08</v>
          </cell>
          <cell r="G18">
            <v>0.29961675021583867</v>
          </cell>
        </row>
        <row r="19">
          <cell r="A19">
            <v>0.09</v>
          </cell>
          <cell r="G19">
            <v>0.32876692665539509</v>
          </cell>
        </row>
        <row r="20">
          <cell r="A20">
            <v>9.9999999999999992E-2</v>
          </cell>
          <cell r="G20">
            <v>0.35646633002242145</v>
          </cell>
        </row>
        <row r="21">
          <cell r="A21">
            <v>0.10999999999999999</v>
          </cell>
          <cell r="G21">
            <v>0.38277254899020674</v>
          </cell>
        </row>
        <row r="22">
          <cell r="A22">
            <v>0.11999999999999998</v>
          </cell>
          <cell r="G22">
            <v>0.40780298162725803</v>
          </cell>
        </row>
        <row r="23">
          <cell r="A23">
            <v>0.12999999999999998</v>
          </cell>
          <cell r="G23">
            <v>0.43162479904318135</v>
          </cell>
        </row>
        <row r="24">
          <cell r="A24">
            <v>0.13999999999999999</v>
          </cell>
          <cell r="G24">
            <v>0.45431078516447831</v>
          </cell>
        </row>
        <row r="25">
          <cell r="A25">
            <v>0.15</v>
          </cell>
          <cell r="G25">
            <v>0.47592855845583776</v>
          </cell>
        </row>
        <row r="26">
          <cell r="A26">
            <v>0.16</v>
          </cell>
          <cell r="G26">
            <v>0.49654098589898604</v>
          </cell>
        </row>
        <row r="27">
          <cell r="A27">
            <v>0.17</v>
          </cell>
          <cell r="G27">
            <v>0.51620726937389549</v>
          </cell>
        </row>
        <row r="28">
          <cell r="A28">
            <v>0.18000000000000002</v>
          </cell>
          <cell r="G28">
            <v>0.53498363625925449</v>
          </cell>
        </row>
        <row r="29">
          <cell r="A29">
            <v>0.19000000000000003</v>
          </cell>
          <cell r="G29">
            <v>0.55291791204953444</v>
          </cell>
        </row>
        <row r="30">
          <cell r="A30">
            <v>0.20000000000000004</v>
          </cell>
          <cell r="G30">
            <v>0.57005746647393674</v>
          </cell>
        </row>
        <row r="31">
          <cell r="A31">
            <v>0.21000000000000005</v>
          </cell>
          <cell r="G31">
            <v>0.58644648435690183</v>
          </cell>
        </row>
        <row r="32">
          <cell r="A32">
            <v>0.22000000000000006</v>
          </cell>
          <cell r="G32">
            <v>0.60212621301047131</v>
          </cell>
        </row>
        <row r="33">
          <cell r="A33">
            <v>0.23000000000000007</v>
          </cell>
          <cell r="G33">
            <v>0.61713518809437806</v>
          </cell>
        </row>
        <row r="34">
          <cell r="A34">
            <v>0.24000000000000007</v>
          </cell>
          <cell r="G34">
            <v>0.6315094399049439</v>
          </cell>
        </row>
        <row r="35">
          <cell r="A35">
            <v>0.25000000000000006</v>
          </cell>
          <cell r="G35">
            <v>0.64528268191484828</v>
          </cell>
        </row>
        <row r="36">
          <cell r="A36">
            <v>0.26000000000000006</v>
          </cell>
          <cell r="G36">
            <v>0.65848648323335301</v>
          </cell>
        </row>
        <row r="37">
          <cell r="A37">
            <v>0.27000000000000007</v>
          </cell>
          <cell r="G37">
            <v>0.67115042650337198</v>
          </cell>
        </row>
        <row r="38">
          <cell r="A38">
            <v>0.28000000000000008</v>
          </cell>
          <cell r="G38">
            <v>0.68330225260510025</v>
          </cell>
        </row>
        <row r="39">
          <cell r="A39">
            <v>0.29000000000000009</v>
          </cell>
          <cell r="G39">
            <v>0.6949831339570347</v>
          </cell>
        </row>
        <row r="40">
          <cell r="A40">
            <v>0.3000000000000001</v>
          </cell>
          <cell r="G40">
            <v>0.70618338546501824</v>
          </cell>
        </row>
        <row r="41">
          <cell r="A41">
            <v>0.31000000000000011</v>
          </cell>
          <cell r="G41">
            <v>0.71694585473502759</v>
          </cell>
        </row>
        <row r="42">
          <cell r="A42">
            <v>0.32000000000000012</v>
          </cell>
          <cell r="G42">
            <v>0.72729195485056441</v>
          </cell>
        </row>
        <row r="43">
          <cell r="A43">
            <v>0.33000000000000013</v>
          </cell>
          <cell r="G43">
            <v>0.73724185587157587</v>
          </cell>
        </row>
        <row r="44">
          <cell r="A44">
            <v>0.34000000000000014</v>
          </cell>
          <cell r="G44">
            <v>0.74681456681263825</v>
          </cell>
        </row>
        <row r="45">
          <cell r="A45">
            <v>0.35000000000000014</v>
          </cell>
          <cell r="G45">
            <v>0.7560280115839636</v>
          </cell>
        </row>
        <row r="46">
          <cell r="A46">
            <v>0.36000000000000015</v>
          </cell>
          <cell r="G46">
            <v>0.76489909941314072</v>
          </cell>
        </row>
        <row r="47">
          <cell r="A47">
            <v>0.37000000000000016</v>
          </cell>
          <cell r="G47">
            <v>0.77344379020645615</v>
          </cell>
        </row>
        <row r="48">
          <cell r="A48">
            <v>0.38000000000000017</v>
          </cell>
          <cell r="G48">
            <v>0.78167715525947246</v>
          </cell>
        </row>
        <row r="49">
          <cell r="A49">
            <v>0.39000000000000018</v>
          </cell>
          <cell r="G49">
            <v>0.78961343368507431</v>
          </cell>
        </row>
        <row r="50">
          <cell r="A50">
            <v>0.40000000000000019</v>
          </cell>
          <cell r="G50">
            <v>0.79726608489180428</v>
          </cell>
        </row>
        <row r="51">
          <cell r="A51">
            <v>0.4100000000000002</v>
          </cell>
          <cell r="G51">
            <v>0.80464783741472334</v>
          </cell>
        </row>
        <row r="52">
          <cell r="A52">
            <v>0.42000000000000021</v>
          </cell>
          <cell r="G52">
            <v>0.81177073437434211</v>
          </cell>
        </row>
        <row r="53">
          <cell r="A53">
            <v>0.43000000000000022</v>
          </cell>
          <cell r="G53">
            <v>0.81864617581562593</v>
          </cell>
        </row>
        <row r="54">
          <cell r="A54">
            <v>0.44000000000000022</v>
          </cell>
          <cell r="G54">
            <v>0.82529426550900908</v>
          </cell>
        </row>
        <row r="55">
          <cell r="A55">
            <v>0.45000000000000023</v>
          </cell>
          <cell r="G55">
            <v>0.83170287180381264</v>
          </cell>
        </row>
        <row r="56">
          <cell r="A56">
            <v>0.46000000000000024</v>
          </cell>
          <cell r="G56">
            <v>0.83789594795770117</v>
          </cell>
        </row>
        <row r="57">
          <cell r="A57">
            <v>0.47000000000000025</v>
          </cell>
          <cell r="G57">
            <v>0.84388242080335008</v>
          </cell>
        </row>
        <row r="58">
          <cell r="A58">
            <v>0.48000000000000026</v>
          </cell>
          <cell r="G58">
            <v>0.84967078329511214</v>
          </cell>
        </row>
        <row r="59">
          <cell r="A59">
            <v>0.49000000000000027</v>
          </cell>
          <cell r="G59">
            <v>0.85526911885242096</v>
          </cell>
        </row>
        <row r="60">
          <cell r="A60">
            <v>0.50000000000000022</v>
          </cell>
          <cell r="G60">
            <v>0.86068837524833053</v>
          </cell>
        </row>
        <row r="61">
          <cell r="A61">
            <v>0.51000000000000023</v>
          </cell>
          <cell r="G61">
            <v>0.86592613012824038</v>
          </cell>
        </row>
        <row r="62">
          <cell r="A62">
            <v>0.52000000000000024</v>
          </cell>
          <cell r="G62">
            <v>0.87099912241131039</v>
          </cell>
        </row>
        <row r="63">
          <cell r="A63">
            <v>0.53000000000000025</v>
          </cell>
          <cell r="G63">
            <v>0.87591075945317398</v>
          </cell>
        </row>
        <row r="64">
          <cell r="A64">
            <v>0.54000000000000026</v>
          </cell>
          <cell r="G64">
            <v>0.88066739029084973</v>
          </cell>
        </row>
        <row r="65">
          <cell r="A65">
            <v>0.55000000000000027</v>
          </cell>
          <cell r="G65">
            <v>0.88527507091965429</v>
          </cell>
        </row>
        <row r="66">
          <cell r="A66">
            <v>0.56000000000000028</v>
          </cell>
          <cell r="G66">
            <v>0.88974083565081363</v>
          </cell>
        </row>
        <row r="67">
          <cell r="A67">
            <v>0.57000000000000028</v>
          </cell>
          <cell r="G67">
            <v>0.8940666332607855</v>
          </cell>
        </row>
        <row r="68">
          <cell r="A68">
            <v>0.58000000000000029</v>
          </cell>
          <cell r="G68">
            <v>0.89826180977267811</v>
          </cell>
        </row>
        <row r="69">
          <cell r="A69">
            <v>0.5900000000000003</v>
          </cell>
          <cell r="G69">
            <v>0.90233006394709114</v>
          </cell>
        </row>
        <row r="70">
          <cell r="A70">
            <v>0.60000000000000031</v>
          </cell>
          <cell r="G70">
            <v>0.90627612674414071</v>
          </cell>
        </row>
        <row r="71">
          <cell r="A71">
            <v>0.61000000000000032</v>
          </cell>
          <cell r="G71">
            <v>0.9101045224432267</v>
          </cell>
        </row>
        <row r="72">
          <cell r="A72">
            <v>0.62000000000000033</v>
          </cell>
          <cell r="G72">
            <v>0.91381957893668442</v>
          </cell>
        </row>
        <row r="73">
          <cell r="A73">
            <v>0.63000000000000034</v>
          </cell>
          <cell r="G73">
            <v>0.91742505185315593</v>
          </cell>
        </row>
        <row r="74">
          <cell r="A74">
            <v>0.64000000000000035</v>
          </cell>
          <cell r="G74">
            <v>0.9209260616739432</v>
          </cell>
        </row>
        <row r="75">
          <cell r="A75">
            <v>0.65000000000000036</v>
          </cell>
          <cell r="G75">
            <v>0.92432524650126269</v>
          </cell>
        </row>
        <row r="76">
          <cell r="A76">
            <v>0.66000000000000036</v>
          </cell>
          <cell r="G76">
            <v>0.92762662613730817</v>
          </cell>
        </row>
        <row r="77">
          <cell r="A77">
            <v>0.67000000000000037</v>
          </cell>
          <cell r="G77">
            <v>0.93083368187723614</v>
          </cell>
        </row>
        <row r="78">
          <cell r="A78">
            <v>0.68000000000000038</v>
          </cell>
          <cell r="G78">
            <v>0.93394974941966002</v>
          </cell>
        </row>
        <row r="79">
          <cell r="A79">
            <v>0.69000000000000039</v>
          </cell>
          <cell r="G79">
            <v>0.93697802579490397</v>
          </cell>
        </row>
        <row r="80">
          <cell r="A80">
            <v>0.7000000000000004</v>
          </cell>
          <cell r="G80">
            <v>0.93992157592409042</v>
          </cell>
        </row>
        <row r="81">
          <cell r="A81">
            <v>0.71000000000000041</v>
          </cell>
          <cell r="G81">
            <v>0.94278333883115983</v>
          </cell>
        </row>
        <row r="82">
          <cell r="A82">
            <v>0.72000000000000042</v>
          </cell>
          <cell r="G82">
            <v>0.94557158639512717</v>
          </cell>
        </row>
        <row r="83">
          <cell r="A83">
            <v>0.73000000000000043</v>
          </cell>
          <cell r="G83">
            <v>0.94827935757585957</v>
          </cell>
        </row>
        <row r="84">
          <cell r="A84">
            <v>0.74000000000000044</v>
          </cell>
          <cell r="G84">
            <v>0.95091354233384784</v>
          </cell>
        </row>
        <row r="85">
          <cell r="A85">
            <v>0.75000000000000044</v>
          </cell>
          <cell r="G85">
            <v>0.95347661239694492</v>
          </cell>
        </row>
        <row r="86">
          <cell r="A86">
            <v>0.76000000000000045</v>
          </cell>
          <cell r="G86">
            <v>0.95597093878152473</v>
          </cell>
        </row>
        <row r="87">
          <cell r="A87">
            <v>0.77000000000000046</v>
          </cell>
          <cell r="G87">
            <v>0.95839879662253369</v>
          </cell>
        </row>
        <row r="88">
          <cell r="A88">
            <v>0.78000000000000047</v>
          </cell>
          <cell r="G88">
            <v>0.96076236973862572</v>
          </cell>
        </row>
        <row r="89">
          <cell r="A89">
            <v>0.79000000000000048</v>
          </cell>
          <cell r="G89">
            <v>0.96306375494856522</v>
          </cell>
        </row>
        <row r="90">
          <cell r="A90">
            <v>0.80000000000000049</v>
          </cell>
          <cell r="G90">
            <v>0.96530496615401695</v>
          </cell>
        </row>
        <row r="91">
          <cell r="A91">
            <v>0.8100000000000005</v>
          </cell>
          <cell r="G91">
            <v>0.96748793820282619</v>
          </cell>
        </row>
        <row r="92">
          <cell r="A92">
            <v>0.82000000000000051</v>
          </cell>
          <cell r="G92">
            <v>0.96961453054597779</v>
          </cell>
        </row>
        <row r="93">
          <cell r="A93">
            <v>0.83000000000000052</v>
          </cell>
          <cell r="G93">
            <v>0.97168653070055033</v>
          </cell>
        </row>
        <row r="94">
          <cell r="A94">
            <v>0.84000000000000052</v>
          </cell>
          <cell r="G94">
            <v>0.97370565753018012</v>
          </cell>
        </row>
        <row r="95">
          <cell r="A95">
            <v>0.85000000000000053</v>
          </cell>
          <cell r="G95">
            <v>0.97567356435380193</v>
          </cell>
        </row>
        <row r="96">
          <cell r="A96">
            <v>0.86000000000000054</v>
          </cell>
          <cell r="G96">
            <v>0.9775918418927394</v>
          </cell>
        </row>
        <row r="97">
          <cell r="A97">
            <v>0.87000000000000055</v>
          </cell>
          <cell r="G97">
            <v>0.97946202106556834</v>
          </cell>
        </row>
        <row r="98">
          <cell r="A98">
            <v>0.88000000000000056</v>
          </cell>
          <cell r="G98">
            <v>0.98128557563957408</v>
          </cell>
        </row>
        <row r="99">
          <cell r="A99">
            <v>0.89000000000000057</v>
          </cell>
          <cell r="G99">
            <v>0.98306392474706428</v>
          </cell>
        </row>
        <row r="100">
          <cell r="A100">
            <v>0.90000000000000058</v>
          </cell>
          <cell r="G100">
            <v>0.98479843527427302</v>
          </cell>
        </row>
        <row r="101">
          <cell r="A101">
            <v>0.91000000000000059</v>
          </cell>
          <cell r="G101">
            <v>0.98649042413010724</v>
          </cell>
        </row>
        <row r="102">
          <cell r="A102">
            <v>0.9200000000000006</v>
          </cell>
          <cell r="G102">
            <v>0.98814116040153099</v>
          </cell>
        </row>
        <row r="103">
          <cell r="A103">
            <v>0.9300000000000006</v>
          </cell>
          <cell r="G103">
            <v>0.98975186740196119</v>
          </cell>
        </row>
        <row r="104">
          <cell r="A104">
            <v>0.94000000000000061</v>
          </cell>
          <cell r="G104">
            <v>0.99132372461864993</v>
          </cell>
        </row>
        <row r="105">
          <cell r="A105">
            <v>0.95000000000000062</v>
          </cell>
          <cell r="G105">
            <v>0.9928578695646656</v>
          </cell>
        </row>
        <row r="106">
          <cell r="A106">
            <v>0.96000000000000063</v>
          </cell>
          <cell r="G106">
            <v>0.99435539954073648</v>
          </cell>
        </row>
        <row r="107">
          <cell r="A107">
            <v>0.97000000000000064</v>
          </cell>
          <cell r="G107">
            <v>0.99581737331190179</v>
          </cell>
        </row>
        <row r="108">
          <cell r="A108">
            <v>0.98000000000000065</v>
          </cell>
          <cell r="G108">
            <v>0.99724481270361476</v>
          </cell>
        </row>
        <row r="109">
          <cell r="A109">
            <v>0.99000000000000066</v>
          </cell>
          <cell r="G109">
            <v>0.99863870412166122</v>
          </cell>
        </row>
        <row r="110">
          <cell r="A110">
            <v>1.0000000000000007</v>
          </cell>
          <cell r="G110">
            <v>1.0000000000000002</v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6B7992-5419-CF46-AF06-2EB49FBA55BB}">
  <we:reference id="wa104100404" version="2.0.0.0" store="en-US" storeType="OMEX"/>
  <we:alternateReferences>
    <we:reference id="WA104100404" version="2.0.0.0" store="WA104100404" storeType="OMEX"/>
  </we:alternateReferences>
  <we:properties>
    <we:property name="UniqueID" value="&quot;2018241520195836902&quot;"/>
    <we:property name="JiQp" value="&quot;&quot;"/>
    <we:property name="IDUsPDFQPCAoKnUxITpPJiQp" value="&quot;&quot;"/>
    <we:property name="IDUsPDFQPCAoKnUxITpPJCc7BTBb" value="&quot;WA==&quot;"/>
    <we:property name="IDUsPDFQPCAoKnUxITpPPycxIThXIig6" value="&quot;&quot;"/>
    <we:property name="OTQsLCxWOm0ELy1AFAcCHyMxFzdAIw==" value="&quot;Ww==&quot;"/>
    <we:property name="OTQsLCxWOm0ELy1AFAcCHyMxFytQInw=" value="&quot;SXp+aA==&quot;"/>
    <we:property name="OTQsLCxWOm0ELy1AFAcCHyMxFytQIn8=" value="&quot;SXh+aA==&quot;"/>
    <we:property name="OTQsLCxWOm0ELy1AFAcCHyMxFzVdPXw=" value="&quot;TQVneWgPag5td2A=&quot;"/>
    <we:property name="OTQsLCxWOm0ELy1AFAcCHyMxFytdPXw=" value="&quot;TQRneWgPag9td2A=&quot;"/>
    <we:property name="OTQsLCxWOm0ELy1AFAcCHyMxFzVdPX8=" value="&quot;TQJncWMRCGlw&quot;"/>
    <we:property name="OTQsLCxWOm0ELy1AFAcCHyMxFytdPX8=" value="&quot;WQ==&quot;"/>
    <we:property name="OTQsLCxWOm0ELy1AMQkcACchJDxG" value="&quot;TQJncWMRCGlw&quot;"/>
    <we:property name="OTQsLCxWOm0ELy1AKAoE" value="&quot;TQJneWE=&quot;"/>
    <we:property name="OTQsLCxWOm0ELy1AKgkWJC8t" value="&quot;WA==&quot;"/>
    <we:property name="OTQsLCxWOm0ELy1AFAcCHyMxFzxbKQ==" value="&quot;WQ==&quot;"/>
    <we:property name="OTQsLCxWOm0ELy1BVkkdBio1LStqIDgk" value="&quot;Ww==&quot;"/>
    <we:property name="OTQsLCxWOm0ELy1BVkkdBio1LStqPCgldw==" value="&quot;SXp+aA==&quot;"/>
    <we:property name="OTQsLCxWOm0ELy1BVkkdBio1LStqPCgldA==" value="&quot;SXh+aA==&quot;"/>
    <we:property name="OTQsLCxWOm0ELy1BVkkdBio1LStqIiU6dw==" value="&quot;TQVneWgPag5td2A=&quot;"/>
    <we:property name="OTQsLCxWOm0ELy1BVkkdBio1LStqPCU6dw==" value="&quot;TQRneWgPag9td2A=&quot;"/>
    <we:property name="OTQsLCxWOm0ELy1BVkkdBio1LStqIiU6dA==" value="&quot;TQJncWMRCGlw&quot;"/>
    <we:property name="OTQsLCxWOm0ELy1BVkkdBio1LStqPCU6dA==" value="&quot;WQ==&quot;"/>
    <we:property name="OTQsLCxWOm0ELy1BVkk4CDQqKTtZKz4=" value="&quot;TQJncWMRCGlw&quot;"/>
    <we:property name="OTQsLCxWOm0ELy1BVkkhCyw=" value="&quot;TQJneWE=&quot;"/>
    <we:property name="OTQsLCxWOm0ELy1BVkkjCD4OITc=" value="&quot;WA==&quot;"/>
    <we:property name="OTQsLCxWOm0ELy1BVkkdBio1LStqKyMu" value="&quot;WQ==&quot;"/>
    <we:property name="IDUsPDFQPCAoKnUxITpPGikvPjxHESgnIQ==" value="&quot;WQ==&quot;"/>
    <we:property name="IDUsPDFQPCAoKnUxITpPGikvPjxHESM8Kw==" value="&quot;WQ==&quot;"/>
    <we:property name="IDUsPDFQPCAoKnUxITpPGikvPjxHETsoKg==" value="&quot;WQ==&quot;"/>
    <we:property name="IDUsPDFQPCAoKnUxITpPGikvPjxHET07Iw==" value="&quot;WWhzeGkFfnw=&quot;"/>
    <we:property name="IDUsPDFQPCAoKnUxITpPGikvPjxHET4qKg==" value="&quot;WA==&quot;"/>
    <we:property name="IDUsPDFQPCAoKnUxITpPGikvPjxHET8lPg==" value="&quot;WQ==&quot;"/>
    <we:property name="IDUsPDFQPCAoKnUxITpPGikvPjxHETkmKg==" value="&quot;WWhzeQ==&quot;"/>
    <we:property name="IDUsPDFQPCAoKnUxITpPGikvPjxHES4/IQ==" value="&quot;WWhzeGkE&quot;"/>
    <we:property name="IDUsPDFQPCAoKnUxITpPGikvPjxHESA6Kg==" value="&quot;WQ==&quot;"/>
    <we:property name="IDUsPDFQPCAoKnUxITpPGikvPjxHET46PA==" value="&quot;WHZz&quot;"/>
    <we:property name="IDUsPDFQPCAoKnUxITpPGikvPjxHET86Ig==" value="&quot;WQ==&quot;"/>
    <we:property name="IDUsPDFQPCAoKnUxITpPGikvPjxHESA7Mg==" value="&quot;WWhzf2w=&quot;"/>
    <we:property name="IDUsPDFQPCAoKnUxITpPGikvPjxHESAnLw==" value="&quot;WnY=&quot;"/>
    <we:property name="IDUsPDFQPCAoKnUxITpPGikvPjxHET8rMA==" value="&quot;WA==&quot;"/>
    <we:property name="IDUsPDFQPCAoKnUxITpPGikvPjxHESMsIQ==" value="&quot;WA==&quot;"/>
    <we:property name="IDUsPDFQPCAoKnUxITpPGikvPjxHESwqJQ==" value="&quot;WWhzeGg=&quot;"/>
    <we:property name="IDUsPDFQPCAoKnUxITpPGikvPjxHET8sNQ==" value="&quot;XA==&quot;"/>
    <we:property name="IDUsPDFQPCAoKnUxITpPGikvPjxHESw7NQ==" value="&quot;WA==&quot;"/>
    <we:property name="IDUsPDFQPCAoKnUxITpPGikvPjxHET49Jw==" value="&quot;WQ==&quot;"/>
    <we:property name="IDUsPDFQPCAoKnUxITpPGikvPjxHESAsMg==" value="&quot;WA==&quot;"/>
    <we:property name="IDUsPDFQPCAoKnUxITpPGikvPjxHET4mJQ==" value="&quot;WQ==&quot;"/>
    <we:property name="IDUsPDFQPCAoKnUxITpPGikvPjxHESE5Mg==" value="&quot;WQ==&quot;"/>
    <we:property name="IDUsPDFQPCAoKnUxITpPGikvPjxHESE5Ng==" value="&quot;WQ==&quot;"/>
    <we:property name="IDUsPDFQPCAoKnUxITpPGikvPjxHESooNg==" value="&quot;WWhzeGkFfnw=&quot;"/>
    <we:property name="IDUsPDFQPCAoKnUxITpPGikvPjxHESQ5NQ==" value="&quot;WWh6cQ==&quot;"/>
    <we:property name="IDUsPDFQPCAoKnUxITpPGikvPjxHESssJw==" value="&quot;WWhzeGkFfnw=&quot;"/>
    <we:property name="IDUsPDFQPCAoKnUxITpPGikvPjxHESQ5Lw==" value="&quot;WA==&quot;"/>
    <we:property name="IDUsPDFQPCAoKnUxITpPGikvPjxHESQ5Ig==" value="&quot;Wg==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40"/>
  <sheetViews>
    <sheetView topLeftCell="B1" zoomScale="55" zoomScaleNormal="55" zoomScalePageLayoutView="50" workbookViewId="0">
      <selection activeCell="L44" sqref="L44"/>
    </sheetView>
  </sheetViews>
  <sheetFormatPr defaultColWidth="11" defaultRowHeight="15.75" x14ac:dyDescent="0.25"/>
  <cols>
    <col min="1" max="1" width="19" customWidth="1"/>
    <col min="2" max="2" width="12.625" bestFit="1" customWidth="1"/>
    <col min="3" max="3" width="12.125" bestFit="1" customWidth="1"/>
    <col min="6" max="6" width="10.875" customWidth="1"/>
    <col min="7" max="7" width="12" customWidth="1"/>
    <col min="8" max="8" width="10.875" customWidth="1"/>
    <col min="9" max="9" width="12.125" customWidth="1"/>
    <col min="10" max="10" width="10.875" customWidth="1"/>
    <col min="11" max="11" width="13.5" customWidth="1"/>
    <col min="12" max="12" width="13.375" customWidth="1"/>
    <col min="13" max="13" width="12.125" bestFit="1" customWidth="1"/>
    <col min="14" max="14" width="11.375" customWidth="1"/>
    <col min="17" max="17" width="12.125" bestFit="1" customWidth="1"/>
    <col min="23" max="23" width="13.375" bestFit="1" customWidth="1"/>
    <col min="25" max="25" width="12" bestFit="1" customWidth="1"/>
  </cols>
  <sheetData>
    <row r="1" spans="1:16" x14ac:dyDescent="0.25">
      <c r="A1" t="s">
        <v>0</v>
      </c>
      <c r="D1" t="s">
        <v>2</v>
      </c>
    </row>
    <row r="3" spans="1:16" x14ac:dyDescent="0.25">
      <c r="A3" t="s">
        <v>1</v>
      </c>
      <c r="D3" t="s">
        <v>3</v>
      </c>
      <c r="K3" t="s">
        <v>35</v>
      </c>
      <c r="L3" t="s">
        <v>36</v>
      </c>
      <c r="M3" t="s">
        <v>37</v>
      </c>
      <c r="N3" t="s">
        <v>38</v>
      </c>
    </row>
    <row r="4" spans="1:16" x14ac:dyDescent="0.25">
      <c r="A4" s="22" t="s">
        <v>221</v>
      </c>
      <c r="B4" s="22" t="str">
        <f>IF(B14=0.4, "No", "Yes")</f>
        <v>No</v>
      </c>
      <c r="K4" t="s">
        <v>33</v>
      </c>
      <c r="L4">
        <f ca="1">B9</f>
        <v>7.2223608915513382E-2</v>
      </c>
      <c r="M4" s="2" t="s">
        <v>40</v>
      </c>
      <c r="N4" s="2" t="s">
        <v>41</v>
      </c>
    </row>
    <row r="5" spans="1:16" x14ac:dyDescent="0.25">
      <c r="A5" t="s">
        <v>4</v>
      </c>
      <c r="B5">
        <v>78.11</v>
      </c>
      <c r="C5" t="s">
        <v>5</v>
      </c>
      <c r="K5" t="s">
        <v>32</v>
      </c>
      <c r="L5">
        <f ca="1">B10</f>
        <v>2.9367724354134754E-2</v>
      </c>
      <c r="M5" s="2" t="s">
        <v>40</v>
      </c>
      <c r="N5" t="s">
        <v>42</v>
      </c>
    </row>
    <row r="6" spans="1:16" x14ac:dyDescent="0.25">
      <c r="A6" t="s">
        <v>7</v>
      </c>
      <c r="B6">
        <v>42.08</v>
      </c>
      <c r="C6" t="s">
        <v>5</v>
      </c>
      <c r="F6" t="s">
        <v>22</v>
      </c>
      <c r="K6" t="s">
        <v>34</v>
      </c>
      <c r="L6">
        <f>B12</f>
        <v>0</v>
      </c>
      <c r="M6" t="s">
        <v>43</v>
      </c>
      <c r="N6" t="s">
        <v>44</v>
      </c>
    </row>
    <row r="7" spans="1:16" x14ac:dyDescent="0.25">
      <c r="A7" t="s">
        <v>6</v>
      </c>
      <c r="B7" s="5">
        <v>120.19</v>
      </c>
      <c r="C7" t="s">
        <v>5</v>
      </c>
      <c r="F7" t="s">
        <v>28</v>
      </c>
      <c r="K7" t="s">
        <v>45</v>
      </c>
      <c r="L7" s="2" t="s">
        <v>46</v>
      </c>
      <c r="N7" t="s">
        <v>47</v>
      </c>
    </row>
    <row r="8" spans="1:16" x14ac:dyDescent="0.25">
      <c r="F8" t="s">
        <v>51</v>
      </c>
      <c r="K8" t="s">
        <v>45</v>
      </c>
      <c r="L8">
        <f ca="1">SUM(L4:L6)</f>
        <v>0.10159133326964814</v>
      </c>
      <c r="N8">
        <f ca="1">L8</f>
        <v>0.10159133326964814</v>
      </c>
      <c r="O8">
        <f ca="1">-L4</f>
        <v>-7.2223608915513382E-2</v>
      </c>
      <c r="P8" t="s">
        <v>48</v>
      </c>
    </row>
    <row r="9" spans="1:16" x14ac:dyDescent="0.25">
      <c r="A9" t="s">
        <v>24</v>
      </c>
      <c r="B9" s="3">
        <f ca="1">Balance_With_Recycle!E4/1000</f>
        <v>7.2223608915513382E-2</v>
      </c>
      <c r="C9" t="s">
        <v>12</v>
      </c>
    </row>
    <row r="10" spans="1:16" x14ac:dyDescent="0.25">
      <c r="A10" t="s">
        <v>27</v>
      </c>
      <c r="B10" s="3">
        <f ca="1">Balance_With_Recycle!E5/1000</f>
        <v>2.9367724354134754E-2</v>
      </c>
      <c r="C10" t="s">
        <v>12</v>
      </c>
      <c r="F10" t="s">
        <v>29</v>
      </c>
      <c r="L10" t="s">
        <v>52</v>
      </c>
    </row>
    <row r="11" spans="1:16" x14ac:dyDescent="0.25">
      <c r="A11" t="s">
        <v>39</v>
      </c>
      <c r="B11" s="3">
        <f ca="1">Balance_With_Recycle!E6/1000</f>
        <v>4.0156326557025503E-3</v>
      </c>
      <c r="C11" t="s">
        <v>12</v>
      </c>
      <c r="L11" t="s">
        <v>53</v>
      </c>
    </row>
    <row r="12" spans="1:16" x14ac:dyDescent="0.25">
      <c r="A12" t="s">
        <v>25</v>
      </c>
      <c r="B12" s="4">
        <v>0</v>
      </c>
      <c r="F12" t="s">
        <v>66</v>
      </c>
      <c r="L12" t="s">
        <v>55</v>
      </c>
    </row>
    <row r="13" spans="1:16" x14ac:dyDescent="0.25">
      <c r="A13" t="s">
        <v>143</v>
      </c>
      <c r="B13" s="1">
        <v>0</v>
      </c>
    </row>
    <row r="14" spans="1:16" x14ac:dyDescent="0.25">
      <c r="A14" t="s">
        <v>142</v>
      </c>
      <c r="B14" s="1">
        <v>0.4</v>
      </c>
      <c r="F14" t="s">
        <v>67</v>
      </c>
    </row>
    <row r="15" spans="1:16" x14ac:dyDescent="0.25">
      <c r="A15" t="s">
        <v>8</v>
      </c>
      <c r="B15">
        <v>300</v>
      </c>
      <c r="C15" t="s">
        <v>9</v>
      </c>
      <c r="F15" t="s">
        <v>68</v>
      </c>
    </row>
    <row r="16" spans="1:16" x14ac:dyDescent="0.25">
      <c r="A16" t="s">
        <v>8</v>
      </c>
      <c r="B16">
        <f>B15*1000/24/3600</f>
        <v>3.4722222222222223</v>
      </c>
      <c r="C16" t="s">
        <v>73</v>
      </c>
    </row>
    <row r="17" spans="1:22" x14ac:dyDescent="0.25">
      <c r="A17" t="s">
        <v>8</v>
      </c>
      <c r="B17">
        <f>B15*1000*1000/B7</f>
        <v>2496047.9241201431</v>
      </c>
      <c r="C17" t="s">
        <v>10</v>
      </c>
    </row>
    <row r="18" spans="1:22" x14ac:dyDescent="0.25">
      <c r="A18" t="s">
        <v>8</v>
      </c>
      <c r="B18">
        <f>B17/24/3600</f>
        <v>28.889443566205362</v>
      </c>
      <c r="C18" t="s">
        <v>11</v>
      </c>
    </row>
    <row r="19" spans="1:22" x14ac:dyDescent="0.25">
      <c r="A19" t="s">
        <v>8</v>
      </c>
      <c r="B19">
        <f>B18/1000</f>
        <v>2.8889443566205361E-2</v>
      </c>
      <c r="C19" t="s">
        <v>12</v>
      </c>
      <c r="L19" t="s">
        <v>80</v>
      </c>
    </row>
    <row r="20" spans="1:22" x14ac:dyDescent="0.25">
      <c r="A20" t="s">
        <v>8</v>
      </c>
      <c r="B20">
        <f>B18*3600/1000</f>
        <v>104.00199683833929</v>
      </c>
      <c r="C20" t="s">
        <v>79</v>
      </c>
      <c r="L20" t="s">
        <v>82</v>
      </c>
    </row>
    <row r="21" spans="1:22" x14ac:dyDescent="0.25">
      <c r="A21" t="s">
        <v>13</v>
      </c>
      <c r="L21" t="s">
        <v>81</v>
      </c>
    </row>
    <row r="23" spans="1:22" x14ac:dyDescent="0.25">
      <c r="A23" t="s">
        <v>16</v>
      </c>
      <c r="Q23" t="s">
        <v>16</v>
      </c>
    </row>
    <row r="24" spans="1:22" x14ac:dyDescent="0.25">
      <c r="A24" t="s">
        <v>17</v>
      </c>
      <c r="B24">
        <v>950</v>
      </c>
      <c r="C24" t="s">
        <v>18</v>
      </c>
      <c r="Q24" t="s">
        <v>17</v>
      </c>
      <c r="R24">
        <v>950</v>
      </c>
      <c r="S24" t="s">
        <v>18</v>
      </c>
    </row>
    <row r="25" spans="1:22" x14ac:dyDescent="0.25">
      <c r="A25" s="7" t="s">
        <v>19</v>
      </c>
      <c r="B25" s="3">
        <f>97500/8.314</f>
        <v>11727.207120519606</v>
      </c>
      <c r="C25" t="s">
        <v>20</v>
      </c>
      <c r="Q25" s="7" t="s">
        <v>19</v>
      </c>
      <c r="R25" s="3">
        <f>97500/8.314</f>
        <v>11727.207120519606</v>
      </c>
      <c r="S25" t="s">
        <v>20</v>
      </c>
    </row>
    <row r="26" spans="1:22" x14ac:dyDescent="0.25">
      <c r="A26" s="4" t="s">
        <v>49</v>
      </c>
      <c r="B26" s="1">
        <v>2500</v>
      </c>
      <c r="C26" s="4" t="s">
        <v>50</v>
      </c>
      <c r="Q26" s="4" t="s">
        <v>89</v>
      </c>
      <c r="R26" s="1">
        <v>2500</v>
      </c>
      <c r="S26" s="4" t="s">
        <v>50</v>
      </c>
    </row>
    <row r="27" spans="1:22" x14ac:dyDescent="0.25">
      <c r="A27" s="4" t="s">
        <v>14</v>
      </c>
      <c r="B27" s="1">
        <v>550</v>
      </c>
      <c r="C27" s="4" t="s">
        <v>15</v>
      </c>
      <c r="Q27" s="4" t="s">
        <v>14</v>
      </c>
      <c r="R27" s="1">
        <v>550</v>
      </c>
      <c r="S27" s="4" t="s">
        <v>15</v>
      </c>
    </row>
    <row r="28" spans="1:22" x14ac:dyDescent="0.25">
      <c r="A28" t="s">
        <v>21</v>
      </c>
      <c r="B28">
        <f>B24*EXP(-B25/B27)</f>
        <v>5.2192977958184277E-7</v>
      </c>
      <c r="F28" t="s">
        <v>78</v>
      </c>
      <c r="Q28" t="s">
        <v>21</v>
      </c>
      <c r="R28">
        <f>R24*EXP(-R25/R27)</f>
        <v>5.2192977958184277E-7</v>
      </c>
      <c r="T28" t="s">
        <v>78</v>
      </c>
    </row>
    <row r="29" spans="1:22" x14ac:dyDescent="0.25">
      <c r="A29" t="s">
        <v>114</v>
      </c>
      <c r="B29" s="1">
        <v>3</v>
      </c>
      <c r="F29" t="s">
        <v>75</v>
      </c>
      <c r="G29" t="s">
        <v>76</v>
      </c>
      <c r="H29" t="s">
        <v>77</v>
      </c>
      <c r="Q29" t="s">
        <v>114</v>
      </c>
      <c r="R29" s="1">
        <v>3</v>
      </c>
      <c r="T29" t="s">
        <v>75</v>
      </c>
      <c r="U29" t="s">
        <v>76</v>
      </c>
      <c r="V29" t="s">
        <v>77</v>
      </c>
    </row>
    <row r="30" spans="1:22" x14ac:dyDescent="0.25">
      <c r="A30" t="s">
        <v>62</v>
      </c>
      <c r="B30" s="27">
        <v>50</v>
      </c>
      <c r="C30" t="s">
        <v>64</v>
      </c>
      <c r="F30">
        <f>B14</f>
        <v>0.4</v>
      </c>
      <c r="G30">
        <f ca="1">C239</f>
        <v>0.56529291360125622</v>
      </c>
      <c r="H30">
        <f ca="1">G30-F30</f>
        <v>0.1652929136012562</v>
      </c>
      <c r="Q30" t="s">
        <v>62</v>
      </c>
      <c r="R30" s="14">
        <v>33.622843156561125</v>
      </c>
      <c r="S30" t="s">
        <v>64</v>
      </c>
      <c r="T30">
        <f>B14</f>
        <v>0.4</v>
      </c>
      <c r="U30">
        <f ca="1">S239</f>
        <v>0.39999999634383837</v>
      </c>
      <c r="V30">
        <f ca="1">U30-T30</f>
        <v>-3.6561616512109651E-9</v>
      </c>
    </row>
    <row r="31" spans="1:22" x14ac:dyDescent="0.25">
      <c r="A31" t="s">
        <v>74</v>
      </c>
      <c r="B31" s="3">
        <f>B33/B29</f>
        <v>2.7685537280513817</v>
      </c>
      <c r="C31" t="s">
        <v>65</v>
      </c>
      <c r="Q31" t="s">
        <v>74</v>
      </c>
      <c r="R31" s="3">
        <f>R33/R29</f>
        <v>2.4255362310271726</v>
      </c>
      <c r="S31" t="s">
        <v>65</v>
      </c>
    </row>
    <row r="32" spans="1:22" x14ac:dyDescent="0.25">
      <c r="A32" t="s">
        <v>63</v>
      </c>
      <c r="B32" s="3">
        <f>PI()*B31^2/4</f>
        <v>6.0199903284511338</v>
      </c>
      <c r="C32" t="s">
        <v>64</v>
      </c>
      <c r="Q32" t="s">
        <v>63</v>
      </c>
      <c r="R32" s="3">
        <f>PI()*R31^2/4</f>
        <v>4.6206749015553301</v>
      </c>
      <c r="S32" t="s">
        <v>64</v>
      </c>
    </row>
    <row r="33" spans="1:40" x14ac:dyDescent="0.25">
      <c r="A33" t="s">
        <v>31</v>
      </c>
      <c r="B33">
        <f xml:space="preserve"> (4*B30*B29^2/(PI()))^(1/3)</f>
        <v>8.305661184154145</v>
      </c>
      <c r="C33" t="s">
        <v>65</v>
      </c>
      <c r="F33" t="s">
        <v>70</v>
      </c>
      <c r="Q33" t="s">
        <v>31</v>
      </c>
      <c r="R33">
        <f xml:space="preserve"> (4*R30*R29^2/(PI()))^(1/3)</f>
        <v>7.2766086930815179</v>
      </c>
      <c r="S33" t="s">
        <v>65</v>
      </c>
    </row>
    <row r="34" spans="1:40" x14ac:dyDescent="0.25">
      <c r="Q34" s="11" t="s">
        <v>93</v>
      </c>
      <c r="R34" s="10">
        <v>3.0000000000000001E-5</v>
      </c>
      <c r="S34" s="11" t="s">
        <v>94</v>
      </c>
    </row>
    <row r="35" spans="1:40" x14ac:dyDescent="0.25">
      <c r="A35" s="9" t="s">
        <v>88</v>
      </c>
      <c r="F35" t="s">
        <v>68</v>
      </c>
      <c r="Q35" s="9" t="s">
        <v>87</v>
      </c>
      <c r="AK35" t="s">
        <v>96</v>
      </c>
    </row>
    <row r="36" spans="1:40" x14ac:dyDescent="0.25">
      <c r="A36" t="s">
        <v>54</v>
      </c>
      <c r="B36">
        <v>200</v>
      </c>
      <c r="F36" t="s">
        <v>55</v>
      </c>
      <c r="Q36" t="s">
        <v>54</v>
      </c>
      <c r="R36">
        <v>200</v>
      </c>
      <c r="U36" t="s">
        <v>97</v>
      </c>
    </row>
    <row r="38" spans="1:40" x14ac:dyDescent="0.25">
      <c r="A38" t="s">
        <v>30</v>
      </c>
      <c r="B38" t="s">
        <v>31</v>
      </c>
      <c r="C38" t="s">
        <v>56</v>
      </c>
      <c r="D38" t="s">
        <v>32</v>
      </c>
      <c r="E38" t="s">
        <v>57</v>
      </c>
      <c r="F38" t="s">
        <v>14</v>
      </c>
      <c r="G38" t="s">
        <v>69</v>
      </c>
      <c r="H38" t="s">
        <v>71</v>
      </c>
      <c r="I38" t="s">
        <v>72</v>
      </c>
      <c r="J38" t="s">
        <v>58</v>
      </c>
      <c r="K38" t="s">
        <v>59</v>
      </c>
      <c r="L38" t="s">
        <v>60</v>
      </c>
      <c r="M38" t="s">
        <v>61</v>
      </c>
      <c r="Q38" t="s">
        <v>30</v>
      </c>
      <c r="R38" t="s">
        <v>31</v>
      </c>
      <c r="S38" s="8" t="s">
        <v>56</v>
      </c>
      <c r="T38" s="8" t="s">
        <v>150</v>
      </c>
      <c r="U38" s="8" t="s">
        <v>232</v>
      </c>
      <c r="V38" s="8" t="s">
        <v>14</v>
      </c>
      <c r="W38" s="8" t="s">
        <v>69</v>
      </c>
      <c r="X38" s="8" t="s">
        <v>85</v>
      </c>
      <c r="Y38" s="8" t="s">
        <v>72</v>
      </c>
      <c r="Z38" s="8" t="s">
        <v>83</v>
      </c>
      <c r="AA38" s="8" t="s">
        <v>58</v>
      </c>
      <c r="AB38" s="8" t="s">
        <v>59</v>
      </c>
      <c r="AC38" s="8" t="s">
        <v>60</v>
      </c>
      <c r="AD38" s="8" t="s">
        <v>61</v>
      </c>
      <c r="AE38" s="8" t="s">
        <v>90</v>
      </c>
      <c r="AF38" s="8"/>
      <c r="AG38" s="8" t="s">
        <v>91</v>
      </c>
      <c r="AH38" s="8"/>
      <c r="AI38" s="8" t="s">
        <v>92</v>
      </c>
      <c r="AJ38" s="8"/>
      <c r="AK38" s="8" t="s">
        <v>86</v>
      </c>
      <c r="AL38" s="8" t="s">
        <v>95</v>
      </c>
      <c r="AM38" s="8" t="s">
        <v>84</v>
      </c>
      <c r="AN38" s="8" t="s">
        <v>23</v>
      </c>
    </row>
    <row r="39" spans="1:40" x14ac:dyDescent="0.25">
      <c r="A39">
        <v>0</v>
      </c>
      <c r="B39">
        <f t="shared" ref="B39:B102" si="0">$B$33*A39/$B$36</f>
        <v>0</v>
      </c>
      <c r="C39">
        <v>0</v>
      </c>
      <c r="D39">
        <f t="shared" ref="D39:D102" si="1">$B$26</f>
        <v>2500</v>
      </c>
      <c r="E39">
        <f ca="1">D39*$B$9*(1-C39)/($B$9+$B$10-$B$9*C39)</f>
        <v>1777.3073398843565</v>
      </c>
      <c r="F39">
        <f t="shared" ref="F39:F102" si="2">$B$27</f>
        <v>550</v>
      </c>
      <c r="G39">
        <f t="shared" ref="G39:G102" si="3">$B$24*EXP(-$B$25/F39)</f>
        <v>5.2192977958184277E-7</v>
      </c>
      <c r="H39">
        <f ca="1">G39*E39</f>
        <v>9.2762962815503343E-4</v>
      </c>
      <c r="I39">
        <f t="shared" ref="I39:I102" ca="1" si="4">H39*$B$32/$B$9</f>
        <v>7.7319888520255453E-2</v>
      </c>
      <c r="J39">
        <f ca="1">B9</f>
        <v>7.2223608915513382E-2</v>
      </c>
      <c r="K39">
        <f ca="1">B10</f>
        <v>2.9367724354134754E-2</v>
      </c>
      <c r="L39">
        <f ca="1">$B$11+$B$9*C39</f>
        <v>4.0156326557025503E-3</v>
      </c>
      <c r="M39">
        <f ca="1">J39+K39+L39</f>
        <v>0.1056069659253507</v>
      </c>
      <c r="Q39">
        <v>0</v>
      </c>
      <c r="R39" s="26">
        <f t="shared" ref="R39:R47" si="5">$R$33*Q39/$R$36</f>
        <v>0</v>
      </c>
      <c r="S39">
        <v>0</v>
      </c>
      <c r="T39" s="23">
        <f>R26</f>
        <v>2500</v>
      </c>
      <c r="U39">
        <f ca="1">T39*$B$9*(1-S39)/($B$9+$B$10-$B$9*S39)</f>
        <v>1777.3073398843565</v>
      </c>
      <c r="V39">
        <f>$R$27</f>
        <v>550</v>
      </c>
      <c r="W39">
        <f>$R$24*EXP(-$R$25/V39)</f>
        <v>5.2192977958184277E-7</v>
      </c>
      <c r="X39">
        <f ca="1">W39*U39</f>
        <v>9.2762962815503343E-4</v>
      </c>
      <c r="Y39">
        <f ca="1">X39*$R$32/$B$9</f>
        <v>5.9347282766901301E-2</v>
      </c>
      <c r="Z39" s="6">
        <f ca="1">-32*AN39*AK39*AE39^2/PI()^2/$R$31^5</f>
        <v>-2.3585284371913995E-4</v>
      </c>
      <c r="AA39">
        <f ca="1">$B$9*(1-S39)</f>
        <v>7.2223608915513382E-2</v>
      </c>
      <c r="AB39">
        <f ca="1">$B$10</f>
        <v>2.9367724354134754E-2</v>
      </c>
      <c r="AC39">
        <f ca="1">$B$11</f>
        <v>4.0156326557025503E-3</v>
      </c>
      <c r="AD39">
        <f ca="1">AA39+AB39+AC39</f>
        <v>0.1056069659253507</v>
      </c>
      <c r="AE39">
        <f ca="1">8.314*AD39*V39/T39</f>
        <v>0.19316358923474045</v>
      </c>
      <c r="AG39">
        <f ca="1">AE39/$R$32</f>
        <v>4.1804193835346677E-2</v>
      </c>
      <c r="AI39">
        <f ca="1">(AA39*$B$5+AB39*$B$6+AC39*$B$7)/AD39/1000</f>
        <v>6.9690656838905768E-2</v>
      </c>
      <c r="AK39">
        <f ca="1">AD39*1000*AI39/AE39</f>
        <v>38.101480984377815</v>
      </c>
      <c r="AL39" s="6">
        <f>$R$34</f>
        <v>3.0000000000000001E-5</v>
      </c>
      <c r="AM39" s="6">
        <f ca="1">$R$31*AG39*AK39/AL39</f>
        <v>128779.94078883997</v>
      </c>
      <c r="AN39" s="6">
        <f ca="1">0.0014+0.125*AM39^-0.32</f>
        <v>4.2957334457796236E-3</v>
      </c>
    </row>
    <row r="40" spans="1:40" x14ac:dyDescent="0.25">
      <c r="A40">
        <f>A39+1</f>
        <v>1</v>
      </c>
      <c r="B40">
        <f t="shared" si="0"/>
        <v>4.1528305920770725E-2</v>
      </c>
      <c r="C40">
        <f ca="1">C39+(B40-B39)*I39</f>
        <v>3.210963984229057E-3</v>
      </c>
      <c r="D40">
        <f t="shared" si="1"/>
        <v>2500</v>
      </c>
      <c r="E40">
        <f t="shared" ref="E40:E103" ca="1" si="6">D40*$B$9*(1-C40)/($B$9+$B$10-$B$9*C40)</f>
        <v>1775.6538401780681</v>
      </c>
      <c r="F40">
        <f t="shared" si="2"/>
        <v>550</v>
      </c>
      <c r="G40">
        <f t="shared" si="3"/>
        <v>5.2192977958184277E-7</v>
      </c>
      <c r="H40">
        <f t="shared" ref="H40:H103" ca="1" si="7">G40*E40</f>
        <v>9.2676661741779179E-4</v>
      </c>
      <c r="I40">
        <f t="shared" ca="1" si="4"/>
        <v>7.7247954752758155E-2</v>
      </c>
      <c r="J40">
        <f ca="1">$B$9*(1-C40)</f>
        <v>7.1991701508474629E-2</v>
      </c>
      <c r="K40">
        <f ca="1">$B$10-$B$9*C40</f>
        <v>2.9135816947095997E-2</v>
      </c>
      <c r="L40">
        <f ca="1">$B$11+$B$9*C40</f>
        <v>4.247540062741308E-3</v>
      </c>
      <c r="M40">
        <f t="shared" ref="M40:M103" ca="1" si="8">J40+K40+L40</f>
        <v>0.10537505851831193</v>
      </c>
      <c r="Q40">
        <f>Q39+1</f>
        <v>1</v>
      </c>
      <c r="R40" s="26">
        <f t="shared" si="5"/>
        <v>3.6383043465407591E-2</v>
      </c>
      <c r="S40" s="6">
        <f ca="1">S39+(R40-R39)*Y39</f>
        <v>2.1592347684620049E-3</v>
      </c>
      <c r="T40" s="26">
        <f ca="1">T39+(R40-R39)*Z39/1000</f>
        <v>2499.9999999914189</v>
      </c>
      <c r="U40">
        <f t="shared" ref="U40:U103" ca="1" si="9">T40*$B$9*(1-S40)/($B$9+$B$10-$B$9*S40)</f>
        <v>1776.1962653020169</v>
      </c>
      <c r="V40">
        <f t="shared" ref="V40:V103" si="10">$R$27</f>
        <v>550</v>
      </c>
      <c r="W40">
        <f>$R$24*EXP(-$R$25/V40)</f>
        <v>5.2192977958184277E-7</v>
      </c>
      <c r="X40">
        <f ca="1">W40*U40</f>
        <v>9.2704972524317399E-4</v>
      </c>
      <c r="Y40">
        <f ca="1">X40*$R$32/$B$9</f>
        <v>5.9310182116983599E-2</v>
      </c>
      <c r="Z40" s="6">
        <f t="shared" ref="Z40:Z103" ca="1" si="11">-32*AN40*AK40*AE40^2/PI()^2/$R$31^5</f>
        <v>-2.355045644689155E-4</v>
      </c>
      <c r="AA40">
        <f ca="1">$B$9*(1-S40)</f>
        <v>7.20676611880392E-2</v>
      </c>
      <c r="AB40">
        <f ca="1">$B$10-$B$9*S40</f>
        <v>2.9211776626660576E-2</v>
      </c>
      <c r="AC40">
        <f ca="1">$B$11+$B$9*S40</f>
        <v>4.1715803831767293E-3</v>
      </c>
      <c r="AD40">
        <f t="shared" ref="AD40:AD103" ca="1" si="12">AA40+AB40+AC40</f>
        <v>0.10545101819787651</v>
      </c>
      <c r="AE40">
        <f t="shared" ref="AE40:AE103" ca="1" si="13">8.314*AD40*V40/T40</f>
        <v>0.19287834836603401</v>
      </c>
      <c r="AG40">
        <f t="shared" ref="AG40:AG103" ca="1" si="14">AE40/$R$32</f>
        <v>4.1742462405461742E-2</v>
      </c>
      <c r="AI40">
        <f t="shared" ref="AI40:AI103" ca="1" si="15">(AA40*$B$5+AB40*$B$6+AC40*$B$7)/AD40/1000</f>
        <v>6.9793719850965233E-2</v>
      </c>
      <c r="AK40">
        <f t="shared" ref="AK40:AK103" ca="1" si="16">AD40*1000*AI40/AE40</f>
        <v>38.15782789748161</v>
      </c>
      <c r="AL40" s="6">
        <f t="shared" ref="AL40:AL103" si="17">$R$34</f>
        <v>3.0000000000000001E-5</v>
      </c>
      <c r="AM40" s="6">
        <f t="shared" ref="AM40:AM103" ca="1" si="18">$R$31*AG40*AK40/AL40</f>
        <v>128779.94078883996</v>
      </c>
      <c r="AN40" s="6">
        <f t="shared" ref="AN40:AN103" ca="1" si="19">0.0014+0.125*AM40^-0.32</f>
        <v>4.2957334457796236E-3</v>
      </c>
    </row>
    <row r="41" spans="1:40" x14ac:dyDescent="0.25">
      <c r="A41">
        <f t="shared" ref="A41:A104" si="20">A40+1</f>
        <v>2</v>
      </c>
      <c r="B41">
        <f t="shared" si="0"/>
        <v>8.305661184154145E-2</v>
      </c>
      <c r="C41">
        <f t="shared" ref="C41:C104" ca="1" si="21">C40+(B41-B40)*I40</f>
        <v>6.4189406809554532E-3</v>
      </c>
      <c r="D41">
        <f t="shared" si="1"/>
        <v>2500</v>
      </c>
      <c r="E41">
        <f t="shared" ca="1" si="6"/>
        <v>1773.9943057149621</v>
      </c>
      <c r="F41">
        <f t="shared" si="2"/>
        <v>550</v>
      </c>
      <c r="G41">
        <f t="shared" si="3"/>
        <v>5.2192977958184277E-7</v>
      </c>
      <c r="H41">
        <f t="shared" ca="1" si="7"/>
        <v>9.2590045696125443E-4</v>
      </c>
      <c r="I41">
        <f t="shared" ca="1" si="4"/>
        <v>7.7175758449505846E-2</v>
      </c>
      <c r="J41">
        <f t="shared" ref="J41:J104" ca="1" si="22">$B$9*(1-C41)</f>
        <v>7.1760009854120177E-2</v>
      </c>
      <c r="K41">
        <f t="shared" ref="K41:K104" ca="1" si="23">$B$10-$B$9*C41</f>
        <v>2.8904125292741549E-2</v>
      </c>
      <c r="L41">
        <f t="shared" ref="L41:L104" ca="1" si="24">$B$11+$B$9*C41</f>
        <v>4.4792317170957562E-3</v>
      </c>
      <c r="M41">
        <f t="shared" ca="1" si="8"/>
        <v>0.10514336686395749</v>
      </c>
      <c r="Q41">
        <f t="shared" ref="Q41:Q104" si="25">Q40+1</f>
        <v>2</v>
      </c>
      <c r="R41" s="26">
        <f t="shared" si="5"/>
        <v>7.2766086930815183E-2</v>
      </c>
      <c r="S41">
        <f t="shared" ref="S41:S104" ca="1" si="26">S40+(R41-R40)*Y40</f>
        <v>4.3171197023654587E-3</v>
      </c>
      <c r="T41" s="23">
        <f t="shared" ref="T41:T104" ca="1" si="27">T40+(R41-R40)*Z40/1000</f>
        <v>2499.9999999828506</v>
      </c>
      <c r="U41">
        <f ca="1">T41*$B$9*(1-S41)/($B$9+$B$10-$B$9*S41)</f>
        <v>1775.0824668997191</v>
      </c>
      <c r="V41">
        <f t="shared" si="10"/>
        <v>550</v>
      </c>
      <c r="W41">
        <f t="shared" ref="W41:W104" si="28">$R$24*EXP(-$R$25/V41)</f>
        <v>5.2192977958184277E-7</v>
      </c>
      <c r="X41">
        <f t="shared" ref="X41:X103" ca="1" si="29">W41*U41</f>
        <v>9.264684006885641E-4</v>
      </c>
      <c r="Y41">
        <f t="shared" ref="Y41:Y104" ca="1" si="30">X41*$R$32/$B$9</f>
        <v>5.9272990514134087E-2</v>
      </c>
      <c r="Z41" s="6">
        <f ca="1">-32*AN41*AK41*AE41^2/PI()^2/$R$31^5</f>
        <v>-2.351565029436779E-4</v>
      </c>
      <c r="AA41">
        <f t="shared" ref="AA41:AA104" ca="1" si="31">$B$9*(1-S41)</f>
        <v>7.1911810950488278E-2</v>
      </c>
      <c r="AB41">
        <f t="shared" ref="AB41:AB104" ca="1" si="32">$B$10-$B$9*S41</f>
        <v>2.9055926389109654E-2</v>
      </c>
      <c r="AC41">
        <f t="shared" ref="AC41:AC104" ca="1" si="33">$B$11+$B$9*S41</f>
        <v>4.3274306207276509E-3</v>
      </c>
      <c r="AD41">
        <f t="shared" ca="1" si="12"/>
        <v>0.10529516796032559</v>
      </c>
      <c r="AE41">
        <f t="shared" ca="1" si="13"/>
        <v>0.19259328581419349</v>
      </c>
      <c r="AG41">
        <f t="shared" ca="1" si="14"/>
        <v>4.1680769566663549E-2</v>
      </c>
      <c r="AI41">
        <f t="shared" ca="1" si="15"/>
        <v>6.9897023431072847E-2</v>
      </c>
      <c r="AK41">
        <f t="shared" ca="1" si="16"/>
        <v>38.21430633465642</v>
      </c>
      <c r="AL41" s="6">
        <f t="shared" si="17"/>
        <v>3.0000000000000001E-5</v>
      </c>
      <c r="AM41" s="6">
        <f t="shared" ca="1" si="18"/>
        <v>128779.94078883996</v>
      </c>
      <c r="AN41" s="6">
        <f t="shared" ca="1" si="19"/>
        <v>4.2957334457796236E-3</v>
      </c>
    </row>
    <row r="42" spans="1:40" x14ac:dyDescent="0.25">
      <c r="A42">
        <f t="shared" si="20"/>
        <v>3</v>
      </c>
      <c r="B42">
        <f t="shared" si="0"/>
        <v>0.12458491776231216</v>
      </c>
      <c r="C42">
        <f t="shared" ca="1" si="21"/>
        <v>9.6239191875140372E-3</v>
      </c>
      <c r="D42">
        <f t="shared" si="1"/>
        <v>2500</v>
      </c>
      <c r="E42">
        <f t="shared" ca="1" si="6"/>
        <v>1772.3287112466166</v>
      </c>
      <c r="F42">
        <f t="shared" si="2"/>
        <v>550</v>
      </c>
      <c r="G42">
        <f t="shared" si="3"/>
        <v>5.2192977958184277E-7</v>
      </c>
      <c r="H42">
        <f t="shared" ca="1" si="7"/>
        <v>9.2503113360751805E-4</v>
      </c>
      <c r="I42">
        <f t="shared" ca="1" si="4"/>
        <v>7.7103298512092411E-2</v>
      </c>
      <c r="J42">
        <f t="shared" ca="1" si="22"/>
        <v>7.1528534739879857E-2</v>
      </c>
      <c r="K42">
        <f t="shared" ca="1" si="23"/>
        <v>2.8672650178501236E-2</v>
      </c>
      <c r="L42">
        <f t="shared" ca="1" si="24"/>
        <v>4.7107068313360697E-3</v>
      </c>
      <c r="M42">
        <f t="shared" ca="1" si="8"/>
        <v>0.10491189174971716</v>
      </c>
      <c r="Q42">
        <f t="shared" si="25"/>
        <v>3</v>
      </c>
      <c r="R42" s="26">
        <f t="shared" si="5"/>
        <v>0.10914913039622277</v>
      </c>
      <c r="S42">
        <f t="shared" ca="1" si="26"/>
        <v>6.4736514925658913E-3</v>
      </c>
      <c r="T42" s="23">
        <f ca="1">T41+(R42-R41)*Z41/1000</f>
        <v>2499.999999974295</v>
      </c>
      <c r="U42">
        <f t="shared" ca="1" si="9"/>
        <v>1773.9659370209981</v>
      </c>
      <c r="V42">
        <f t="shared" si="10"/>
        <v>550</v>
      </c>
      <c r="W42">
        <f t="shared" si="28"/>
        <v>5.2192977958184277E-7</v>
      </c>
      <c r="X42">
        <f t="shared" ca="1" si="29"/>
        <v>9.2588565049506676E-4</v>
      </c>
      <c r="Y42">
        <f t="shared" ca="1" si="30"/>
        <v>5.9235707702690543E-2</v>
      </c>
      <c r="Z42" s="6">
        <f t="shared" ca="1" si="11"/>
        <v>-2.3480865967718382E-4</v>
      </c>
      <c r="AA42">
        <f t="shared" ca="1" si="31"/>
        <v>7.1756058441858978E-2</v>
      </c>
      <c r="AB42">
        <f t="shared" ca="1" si="32"/>
        <v>2.8900173880480346E-2</v>
      </c>
      <c r="AC42">
        <f t="shared" ca="1" si="33"/>
        <v>4.4831831293569591E-3</v>
      </c>
      <c r="AD42">
        <f t="shared" ca="1" si="12"/>
        <v>0.10513941545169628</v>
      </c>
      <c r="AE42">
        <f t="shared" ca="1" si="13"/>
        <v>0.19230840201636595</v>
      </c>
      <c r="AG42">
        <f t="shared" ca="1" si="14"/>
        <v>4.1619115413558845E-2</v>
      </c>
      <c r="AI42">
        <f t="shared" ca="1" si="15"/>
        <v>7.0000568202539776E-2</v>
      </c>
      <c r="AK42">
        <f t="shared" ca="1" si="16"/>
        <v>38.270916636680752</v>
      </c>
      <c r="AL42" s="6">
        <f t="shared" si="17"/>
        <v>3.0000000000000001E-5</v>
      </c>
      <c r="AM42" s="6">
        <f t="shared" ca="1" si="18"/>
        <v>128779.94078883997</v>
      </c>
      <c r="AN42" s="6">
        <f t="shared" ca="1" si="19"/>
        <v>4.2957334457796236E-3</v>
      </c>
    </row>
    <row r="43" spans="1:40" x14ac:dyDescent="0.25">
      <c r="A43">
        <f t="shared" si="20"/>
        <v>4</v>
      </c>
      <c r="B43" s="6">
        <f t="shared" si="0"/>
        <v>0.1661132236830829</v>
      </c>
      <c r="C43">
        <f t="shared" ca="1" si="21"/>
        <v>1.2825888555624719E-2</v>
      </c>
      <c r="D43">
        <f t="shared" si="1"/>
        <v>2500</v>
      </c>
      <c r="E43">
        <f t="shared" ca="1" si="6"/>
        <v>1770.6570314463747</v>
      </c>
      <c r="F43">
        <f t="shared" si="2"/>
        <v>550</v>
      </c>
      <c r="G43">
        <f t="shared" si="3"/>
        <v>5.2192977958184277E-7</v>
      </c>
      <c r="H43">
        <f t="shared" ca="1" si="7"/>
        <v>9.2415863413784641E-4</v>
      </c>
      <c r="I43">
        <f t="shared" ca="1" si="4"/>
        <v>7.7030573838708316E-2</v>
      </c>
      <c r="J43">
        <f t="shared" ca="1" si="22"/>
        <v>7.1297276956477987E-2</v>
      </c>
      <c r="K43">
        <f t="shared" ca="1" si="23"/>
        <v>2.8441392395099355E-2</v>
      </c>
      <c r="L43">
        <f t="shared" ca="1" si="24"/>
        <v>4.941964614737949E-3</v>
      </c>
      <c r="M43">
        <f t="shared" ca="1" si="8"/>
        <v>0.10468063396631529</v>
      </c>
      <c r="Q43">
        <f t="shared" si="25"/>
        <v>4</v>
      </c>
      <c r="R43" s="26">
        <f t="shared" si="5"/>
        <v>0.14553217386163037</v>
      </c>
      <c r="S43" s="6">
        <f ca="1">S42+(R43-R42)*Y42</f>
        <v>8.6288268206170596E-3</v>
      </c>
      <c r="T43" s="23">
        <f t="shared" ca="1" si="27"/>
        <v>2499.9999999657521</v>
      </c>
      <c r="U43">
        <f t="shared" ca="1" si="9"/>
        <v>1772.8466679933924</v>
      </c>
      <c r="V43">
        <f t="shared" si="10"/>
        <v>550</v>
      </c>
      <c r="W43">
        <f t="shared" si="28"/>
        <v>5.2192977958184277E-7</v>
      </c>
      <c r="X43">
        <f t="shared" ca="1" si="29"/>
        <v>9.253014706581957E-4</v>
      </c>
      <c r="Y43">
        <f t="shared" ca="1" si="30"/>
        <v>5.9198333426456549E-2</v>
      </c>
      <c r="Z43" s="6">
        <f t="shared" ca="1" si="11"/>
        <v>-2.3446103520469066E-4</v>
      </c>
      <c r="AA43">
        <f t="shared" ca="1" si="31"/>
        <v>7.1600403901821444E-2</v>
      </c>
      <c r="AB43">
        <f t="shared" ca="1" si="32"/>
        <v>2.8744519340442816E-2</v>
      </c>
      <c r="AC43">
        <f t="shared" ca="1" si="33"/>
        <v>4.6388376693944893E-3</v>
      </c>
      <c r="AD43">
        <f t="shared" ca="1" si="12"/>
        <v>0.10498376091165876</v>
      </c>
      <c r="AE43">
        <f t="shared" ca="1" si="13"/>
        <v>0.19202369741092737</v>
      </c>
      <c r="AG43">
        <f t="shared" ca="1" si="14"/>
        <v>4.1557500041020358E-2</v>
      </c>
      <c r="AI43">
        <f t="shared" ca="1" si="15"/>
        <v>7.0104354789639667E-2</v>
      </c>
      <c r="AK43">
        <f t="shared" ca="1" si="16"/>
        <v>38.327659144859332</v>
      </c>
      <c r="AL43" s="6">
        <f>$R$34</f>
        <v>3.0000000000000001E-5</v>
      </c>
      <c r="AM43" s="6">
        <f t="shared" ca="1" si="18"/>
        <v>128779.94078884</v>
      </c>
      <c r="AN43" s="6">
        <f t="shared" ca="1" si="19"/>
        <v>4.2957334457796236E-3</v>
      </c>
    </row>
    <row r="44" spans="1:40" x14ac:dyDescent="0.25">
      <c r="A44">
        <f t="shared" si="20"/>
        <v>5</v>
      </c>
      <c r="B44">
        <f t="shared" si="0"/>
        <v>0.20764152960385363</v>
      </c>
      <c r="C44">
        <f t="shared" ca="1" si="21"/>
        <v>1.6024837791251117E-2</v>
      </c>
      <c r="D44">
        <f t="shared" si="1"/>
        <v>2500</v>
      </c>
      <c r="E44">
        <f t="shared" ca="1" si="6"/>
        <v>1768.9792409098143</v>
      </c>
      <c r="F44">
        <f t="shared" si="2"/>
        <v>550</v>
      </c>
      <c r="G44">
        <f t="shared" si="3"/>
        <v>5.2192977958184277E-7</v>
      </c>
      <c r="H44">
        <f t="shared" ca="1" si="7"/>
        <v>9.232829452929149E-4</v>
      </c>
      <c r="I44">
        <f t="shared" ca="1" si="4"/>
        <v>7.6957583324160819E-2</v>
      </c>
      <c r="J44">
        <f t="shared" ca="1" si="22"/>
        <v>7.1066237297943521E-2</v>
      </c>
      <c r="K44">
        <f t="shared" ca="1" si="23"/>
        <v>2.8210352736564893E-2</v>
      </c>
      <c r="L44">
        <f t="shared" ca="1" si="24"/>
        <v>5.1730042732724101E-3</v>
      </c>
      <c r="M44">
        <f t="shared" ca="1" si="8"/>
        <v>0.10444959430778084</v>
      </c>
      <c r="Q44">
        <f t="shared" si="25"/>
        <v>5</v>
      </c>
      <c r="R44" s="26">
        <f t="shared" si="5"/>
        <v>0.18191521732703794</v>
      </c>
      <c r="S44">
        <f t="shared" ca="1" si="26"/>
        <v>1.0782642358751518E-2</v>
      </c>
      <c r="T44" s="23">
        <f t="shared" ca="1" si="27"/>
        <v>2499.9999999572215</v>
      </c>
      <c r="U44">
        <f t="shared" ca="1" si="9"/>
        <v>1771.7246521285033</v>
      </c>
      <c r="V44">
        <f t="shared" si="10"/>
        <v>550</v>
      </c>
      <c r="W44">
        <f t="shared" si="28"/>
        <v>5.2192977958184277E-7</v>
      </c>
      <c r="X44">
        <f t="shared" ca="1" si="29"/>
        <v>9.247158571651468E-4</v>
      </c>
      <c r="Y44">
        <f t="shared" ca="1" si="30"/>
        <v>5.9160867428703523E-2</v>
      </c>
      <c r="Z44" s="6">
        <f t="shared" ca="1" si="11"/>
        <v>-2.3411363006295885E-4</v>
      </c>
      <c r="AA44">
        <f t="shared" ca="1" si="31"/>
        <v>7.1444847570719061E-2</v>
      </c>
      <c r="AB44">
        <f t="shared" ca="1" si="32"/>
        <v>2.8588963009340437E-2</v>
      </c>
      <c r="AC44">
        <f t="shared" ca="1" si="33"/>
        <v>4.7943940004968686E-3</v>
      </c>
      <c r="AD44">
        <f t="shared" ca="1" si="12"/>
        <v>0.10482820458055638</v>
      </c>
      <c r="AE44">
        <f t="shared" ca="1" si="13"/>
        <v>0.19173917243748498</v>
      </c>
      <c r="AG44">
        <f t="shared" ca="1" si="14"/>
        <v>4.1495923544187262E-2</v>
      </c>
      <c r="AI44">
        <f t="shared" ca="1" si="15"/>
        <v>7.0208383817600306E-2</v>
      </c>
      <c r="AK44">
        <f t="shared" ca="1" si="16"/>
        <v>38.384534201018511</v>
      </c>
      <c r="AL44" s="6">
        <f t="shared" si="17"/>
        <v>3.0000000000000001E-5</v>
      </c>
      <c r="AM44" s="6">
        <f ca="1">$R$31*AG44*AK44/AL44</f>
        <v>128779.94078883993</v>
      </c>
      <c r="AN44" s="6">
        <f t="shared" ca="1" si="19"/>
        <v>4.2957334457796236E-3</v>
      </c>
    </row>
    <row r="45" spans="1:40" x14ac:dyDescent="0.25">
      <c r="A45">
        <f t="shared" si="20"/>
        <v>6</v>
      </c>
      <c r="B45">
        <f t="shared" si="0"/>
        <v>0.24916983552462432</v>
      </c>
      <c r="C45">
        <f t="shared" ca="1" si="21"/>
        <v>1.9220755854460068E-2</v>
      </c>
      <c r="D45">
        <f t="shared" si="1"/>
        <v>2500</v>
      </c>
      <c r="E45">
        <f ca="1">D45*$B$9*(1-C45)/($B$9+$B$10-$B$9*C45)</f>
        <v>1767.2953141552364</v>
      </c>
      <c r="F45">
        <f t="shared" si="2"/>
        <v>550</v>
      </c>
      <c r="G45">
        <f t="shared" si="3"/>
        <v>5.2192977958184277E-7</v>
      </c>
      <c r="H45">
        <f t="shared" ca="1" si="7"/>
        <v>9.2240405377306612E-4</v>
      </c>
      <c r="I45">
        <f t="shared" ca="1" si="4"/>
        <v>7.6884325859895394E-2</v>
      </c>
      <c r="J45">
        <f t="shared" ca="1" si="22"/>
        <v>7.083541656162029E-2</v>
      </c>
      <c r="K45">
        <f t="shared" ca="1" si="23"/>
        <v>2.7979532000241666E-2</v>
      </c>
      <c r="L45">
        <f t="shared" ca="1" si="24"/>
        <v>5.4038250095956386E-3</v>
      </c>
      <c r="M45">
        <f t="shared" ca="1" si="8"/>
        <v>0.1042187735714576</v>
      </c>
      <c r="Q45">
        <f t="shared" si="25"/>
        <v>6</v>
      </c>
      <c r="R45" s="26">
        <f t="shared" si="5"/>
        <v>0.21829826079244555</v>
      </c>
      <c r="S45">
        <f t="shared" ca="1" si="26"/>
        <v>1.2935094769861256E-2</v>
      </c>
      <c r="T45" s="23">
        <f t="shared" ca="1" si="27"/>
        <v>2499.9999999487036</v>
      </c>
      <c r="U45">
        <f ca="1">T45*$B$9*(1-S45)/($B$9+$B$10-$B$9*S45)</f>
        <v>1770.5998817220641</v>
      </c>
      <c r="V45">
        <f t="shared" si="10"/>
        <v>550</v>
      </c>
      <c r="W45">
        <f t="shared" si="28"/>
        <v>5.2192977958184277E-7</v>
      </c>
      <c r="X45">
        <f t="shared" ca="1" si="29"/>
        <v>9.2412880599483378E-4</v>
      </c>
      <c r="Y45">
        <f t="shared" ca="1" si="30"/>
        <v>5.9123309452173069E-2</v>
      </c>
      <c r="Z45" s="6">
        <f t="shared" ca="1" si="11"/>
        <v>-2.3376644479025603E-4</v>
      </c>
      <c r="AA45">
        <f t="shared" ca="1" si="31"/>
        <v>7.1289389689569826E-2</v>
      </c>
      <c r="AB45">
        <f t="shared" ca="1" si="32"/>
        <v>2.8433505128191192E-2</v>
      </c>
      <c r="AC45">
        <f t="shared" ca="1" si="33"/>
        <v>4.9498518816461119E-3</v>
      </c>
      <c r="AD45">
        <f t="shared" ca="1" si="12"/>
        <v>0.10467274669940713</v>
      </c>
      <c r="AE45">
        <f t="shared" ca="1" si="13"/>
        <v>0.19145482753687998</v>
      </c>
      <c r="AG45">
        <f t="shared" ca="1" si="14"/>
        <v>4.1434386018465795E-2</v>
      </c>
      <c r="AI45">
        <f t="shared" ca="1" si="15"/>
        <v>7.0312655912595029E-2</v>
      </c>
      <c r="AK45">
        <f t="shared" ca="1" si="16"/>
        <v>38.441542147501643</v>
      </c>
      <c r="AL45" s="6">
        <f t="shared" si="17"/>
        <v>3.0000000000000001E-5</v>
      </c>
      <c r="AM45" s="6">
        <f t="shared" ca="1" si="18"/>
        <v>128779.94078883997</v>
      </c>
      <c r="AN45" s="6">
        <f ca="1">0.0014+0.125*AM45^-0.32</f>
        <v>4.2957334457796236E-3</v>
      </c>
    </row>
    <row r="46" spans="1:40" x14ac:dyDescent="0.25">
      <c r="A46">
        <f t="shared" si="20"/>
        <v>7</v>
      </c>
      <c r="B46">
        <f t="shared" si="0"/>
        <v>0.29069814144539508</v>
      </c>
      <c r="C46">
        <f t="shared" ca="1" si="21"/>
        <v>2.2413631659282028E-2</v>
      </c>
      <c r="D46">
        <f t="shared" si="1"/>
        <v>2500</v>
      </c>
      <c r="E46">
        <f t="shared" ca="1" si="6"/>
        <v>1765.6052256241703</v>
      </c>
      <c r="F46">
        <f t="shared" si="2"/>
        <v>550</v>
      </c>
      <c r="G46">
        <f t="shared" si="3"/>
        <v>5.2192977958184277E-7</v>
      </c>
      <c r="H46">
        <f t="shared" ca="1" si="7"/>
        <v>9.2152194623857297E-4</v>
      </c>
      <c r="I46">
        <f t="shared" ca="1" si="4"/>
        <v>7.6810800334017645E-2</v>
      </c>
      <c r="J46">
        <f t="shared" ca="1" si="22"/>
        <v>7.0604815548177033E-2</v>
      </c>
      <c r="K46">
        <f t="shared" ca="1" si="23"/>
        <v>2.7748930986798398E-2</v>
      </c>
      <c r="L46">
        <f t="shared" ca="1" si="24"/>
        <v>5.6344260230389047E-3</v>
      </c>
      <c r="M46">
        <f t="shared" ca="1" si="8"/>
        <v>0.10398817255801433</v>
      </c>
      <c r="Q46">
        <f t="shared" si="25"/>
        <v>7</v>
      </c>
      <c r="R46" s="26">
        <f t="shared" si="5"/>
        <v>0.25468130425785312</v>
      </c>
      <c r="S46">
        <f t="shared" ca="1" si="26"/>
        <v>1.508618070747841E-2</v>
      </c>
      <c r="T46" s="23">
        <f t="shared" ca="1" si="27"/>
        <v>2499.9999999401984</v>
      </c>
      <c r="U46">
        <f t="shared" ca="1" si="9"/>
        <v>1769.4723490540046</v>
      </c>
      <c r="V46">
        <f t="shared" si="10"/>
        <v>550</v>
      </c>
      <c r="W46">
        <f t="shared" si="28"/>
        <v>5.2192977958184277E-7</v>
      </c>
      <c r="X46">
        <f t="shared" ca="1" si="29"/>
        <v>9.2354031311792215E-4</v>
      </c>
      <c r="Y46">
        <f t="shared" ca="1" si="30"/>
        <v>5.9085659239079026E-2</v>
      </c>
      <c r="Z46" s="6">
        <f t="shared" ca="1" si="11"/>
        <v>-2.3341947992635903E-4</v>
      </c>
      <c r="AA46">
        <f t="shared" ca="1" si="31"/>
        <v>7.1134030500067696E-2</v>
      </c>
      <c r="AB46">
        <f t="shared" ca="1" si="32"/>
        <v>2.8278145938689072E-2</v>
      </c>
      <c r="AC46">
        <f t="shared" ca="1" si="33"/>
        <v>5.1052110711482341E-3</v>
      </c>
      <c r="AD46">
        <f t="shared" ca="1" si="12"/>
        <v>0.10451738750990501</v>
      </c>
      <c r="AE46">
        <f t="shared" ca="1" si="13"/>
        <v>0.19117066315118997</v>
      </c>
      <c r="AG46">
        <f t="shared" ca="1" si="14"/>
        <v>4.1372887559529774E-2</v>
      </c>
      <c r="AI46">
        <f t="shared" ca="1" si="15"/>
        <v>7.0417171701733824E-2</v>
      </c>
      <c r="AK46">
        <f t="shared" ca="1" si="16"/>
        <v>38.498683327164152</v>
      </c>
      <c r="AL46" s="6">
        <f t="shared" si="17"/>
        <v>3.0000000000000001E-5</v>
      </c>
      <c r="AM46" s="6">
        <f t="shared" ca="1" si="18"/>
        <v>128779.94078884002</v>
      </c>
      <c r="AN46" s="6">
        <f t="shared" ca="1" si="19"/>
        <v>4.2957334457796236E-3</v>
      </c>
    </row>
    <row r="47" spans="1:40" x14ac:dyDescent="0.25">
      <c r="A47">
        <f t="shared" si="20"/>
        <v>8</v>
      </c>
      <c r="B47">
        <f t="shared" si="0"/>
        <v>0.3322264473661658</v>
      </c>
      <c r="C47">
        <f t="shared" ca="1" si="21"/>
        <v>2.5603454073572351E-2</v>
      </c>
      <c r="D47">
        <f t="shared" si="1"/>
        <v>2500</v>
      </c>
      <c r="E47">
        <f t="shared" ca="1" si="6"/>
        <v>1763.9089496818945</v>
      </c>
      <c r="F47">
        <f t="shared" si="2"/>
        <v>550</v>
      </c>
      <c r="G47">
        <f t="shared" si="3"/>
        <v>5.2192977958184277E-7</v>
      </c>
      <c r="H47">
        <f t="shared" ca="1" si="7"/>
        <v>9.2063660930991097E-4</v>
      </c>
      <c r="I47">
        <f t="shared" ca="1" si="4"/>
        <v>7.6737005631315913E-2</v>
      </c>
      <c r="J47">
        <f t="shared" ca="1" si="22"/>
        <v>7.0374435061617391E-2</v>
      </c>
      <c r="K47">
        <f t="shared" ca="1" si="23"/>
        <v>2.7518550500238756E-2</v>
      </c>
      <c r="L47">
        <f t="shared" ca="1" si="24"/>
        <v>5.8648065095985476E-3</v>
      </c>
      <c r="M47">
        <f t="shared" ca="1" si="8"/>
        <v>0.10375779207145469</v>
      </c>
      <c r="Q47">
        <f t="shared" si="25"/>
        <v>8</v>
      </c>
      <c r="R47" s="26">
        <f t="shared" si="5"/>
        <v>0.29106434772326073</v>
      </c>
      <c r="S47">
        <f t="shared" ca="1" si="26"/>
        <v>1.7235896815756085E-2</v>
      </c>
      <c r="T47" s="23">
        <f t="shared" ca="1" si="27"/>
        <v>2499.999999931706</v>
      </c>
      <c r="U47">
        <f t="shared" ca="1" si="9"/>
        <v>1768.3420463885172</v>
      </c>
      <c r="V47">
        <f t="shared" si="10"/>
        <v>550</v>
      </c>
      <c r="W47">
        <f t="shared" si="28"/>
        <v>5.2192977958184277E-7</v>
      </c>
      <c r="X47">
        <f t="shared" ca="1" si="29"/>
        <v>9.2295037449686361E-4</v>
      </c>
      <c r="Y47">
        <f t="shared" ca="1" si="30"/>
        <v>5.9047916531109787E-2</v>
      </c>
      <c r="Z47" s="6">
        <f t="shared" ca="1" si="11"/>
        <v>-2.3307273601255775E-4</v>
      </c>
      <c r="AA47">
        <f t="shared" ca="1" si="31"/>
        <v>7.0978770244584072E-2</v>
      </c>
      <c r="AB47">
        <f t="shared" ca="1" si="32"/>
        <v>2.8122885683205444E-2</v>
      </c>
      <c r="AC47">
        <f t="shared" ca="1" si="33"/>
        <v>5.2604713266318597E-3</v>
      </c>
      <c r="AD47">
        <f t="shared" ca="1" si="12"/>
        <v>0.10436212725442139</v>
      </c>
      <c r="AE47">
        <f t="shared" ca="1" si="13"/>
        <v>0.19088667972373163</v>
      </c>
      <c r="AG47">
        <f t="shared" ca="1" si="14"/>
        <v>4.1311428263321168E-2</v>
      </c>
      <c r="AI47">
        <f t="shared" ca="1" si="15"/>
        <v>7.0521931813054578E-2</v>
      </c>
      <c r="AK47">
        <f t="shared" ca="1" si="16"/>
        <v>38.555958083368736</v>
      </c>
      <c r="AL47" s="6">
        <f t="shared" si="17"/>
        <v>3.0000000000000001E-5</v>
      </c>
      <c r="AM47" s="6">
        <f t="shared" ca="1" si="18"/>
        <v>128779.94078883996</v>
      </c>
      <c r="AN47" s="6">
        <f t="shared" ca="1" si="19"/>
        <v>4.2957334457796236E-3</v>
      </c>
    </row>
    <row r="48" spans="1:40" x14ac:dyDescent="0.25">
      <c r="A48">
        <f t="shared" si="20"/>
        <v>9</v>
      </c>
      <c r="B48">
        <f t="shared" si="0"/>
        <v>0.37375475328693653</v>
      </c>
      <c r="C48">
        <f t="shared" ca="1" si="21"/>
        <v>2.8790211918873543E-2</v>
      </c>
      <c r="D48">
        <f t="shared" si="1"/>
        <v>2500</v>
      </c>
      <c r="E48">
        <f t="shared" ca="1" si="6"/>
        <v>1762.206460617977</v>
      </c>
      <c r="F48">
        <f t="shared" si="2"/>
        <v>550</v>
      </c>
      <c r="G48">
        <f t="shared" si="3"/>
        <v>5.2192977958184277E-7</v>
      </c>
      <c r="H48">
        <f t="shared" ca="1" si="7"/>
        <v>9.1974802956804004E-4</v>
      </c>
      <c r="I48">
        <f t="shared" ca="1" si="4"/>
        <v>7.6662940633284896E-2</v>
      </c>
      <c r="J48">
        <f t="shared" ca="1" si="22"/>
        <v>7.0144275909289913E-2</v>
      </c>
      <c r="K48">
        <f t="shared" ca="1" si="23"/>
        <v>2.7288391347911278E-2</v>
      </c>
      <c r="L48">
        <f t="shared" ca="1" si="24"/>
        <v>6.0949656619260252E-3</v>
      </c>
      <c r="M48">
        <f t="shared" ca="1" si="8"/>
        <v>0.10352763291912721</v>
      </c>
      <c r="Q48">
        <f t="shared" si="25"/>
        <v>9</v>
      </c>
      <c r="R48" s="26">
        <f t="shared" ref="R48:R111" si="34">$R$33*Q48/$R$36</f>
        <v>0.32744739118866834</v>
      </c>
      <c r="S48">
        <f t="shared" ca="1" si="26"/>
        <v>1.9384239729449214E-2</v>
      </c>
      <c r="T48" s="23">
        <f t="shared" ca="1" si="27"/>
        <v>2499.9999999232264</v>
      </c>
      <c r="U48">
        <f t="shared" ca="1" si="9"/>
        <v>1767.2089659741296</v>
      </c>
      <c r="V48">
        <f t="shared" si="10"/>
        <v>550</v>
      </c>
      <c r="W48">
        <f t="shared" si="28"/>
        <v>5.2192977958184277E-7</v>
      </c>
      <c r="X48">
        <f t="shared" ca="1" si="29"/>
        <v>9.2235898608593369E-4</v>
      </c>
      <c r="Y48">
        <f t="shared" ca="1" si="30"/>
        <v>5.9010081069430599E-2</v>
      </c>
      <c r="Z48" s="6">
        <f t="shared" ca="1" si="11"/>
        <v>-2.3272621359165784E-4</v>
      </c>
      <c r="AA48">
        <f t="shared" ca="1" si="31"/>
        <v>7.0823609166169088E-2</v>
      </c>
      <c r="AB48">
        <f t="shared" ca="1" si="32"/>
        <v>2.7967724604790457E-2</v>
      </c>
      <c r="AC48">
        <f t="shared" ca="1" si="33"/>
        <v>5.4156324050468468E-3</v>
      </c>
      <c r="AD48">
        <f t="shared" ca="1" si="12"/>
        <v>0.10420696617600639</v>
      </c>
      <c r="AE48">
        <f t="shared" ca="1" si="13"/>
        <v>0.19060287769906306</v>
      </c>
      <c r="AG48">
        <f t="shared" ca="1" si="14"/>
        <v>4.1250008226050634E-2</v>
      </c>
      <c r="AI48">
        <f t="shared" ca="1" si="15"/>
        <v>7.0626936875514051E-2</v>
      </c>
      <c r="AK48">
        <f t="shared" ca="1" si="16"/>
        <v>38.613366759980501</v>
      </c>
      <c r="AL48" s="6">
        <f t="shared" si="17"/>
        <v>3.0000000000000001E-5</v>
      </c>
      <c r="AM48" s="6">
        <f t="shared" ca="1" si="18"/>
        <v>128779.94078883999</v>
      </c>
      <c r="AN48" s="6">
        <f t="shared" ca="1" si="19"/>
        <v>4.2957334457796236E-3</v>
      </c>
    </row>
    <row r="49" spans="1:40" x14ac:dyDescent="0.25">
      <c r="A49">
        <f t="shared" si="20"/>
        <v>10</v>
      </c>
      <c r="B49">
        <f t="shared" si="0"/>
        <v>0.41528305920770725</v>
      </c>
      <c r="C49">
        <f t="shared" ca="1" si="21"/>
        <v>3.1973893970278486E-2</v>
      </c>
      <c r="D49">
        <f t="shared" si="1"/>
        <v>2500</v>
      </c>
      <c r="E49">
        <f t="shared" ca="1" si="6"/>
        <v>1760.4977326468313</v>
      </c>
      <c r="F49">
        <f t="shared" si="2"/>
        <v>550</v>
      </c>
      <c r="G49">
        <f t="shared" si="3"/>
        <v>5.2192977958184277E-7</v>
      </c>
      <c r="H49">
        <f t="shared" ca="1" si="7"/>
        <v>9.1885619355469464E-4</v>
      </c>
      <c r="I49">
        <f t="shared" ca="1" si="4"/>
        <v>7.6588604218149725E-2</v>
      </c>
      <c r="J49">
        <f t="shared" ca="1" si="22"/>
        <v>6.9914338901897896E-2</v>
      </c>
      <c r="K49">
        <f t="shared" ca="1" si="23"/>
        <v>2.7058454340519268E-2</v>
      </c>
      <c r="L49">
        <f t="shared" ca="1" si="24"/>
        <v>6.3249026693180353E-3</v>
      </c>
      <c r="M49">
        <f t="shared" ca="1" si="8"/>
        <v>0.10329769591173521</v>
      </c>
      <c r="Q49">
        <f t="shared" si="25"/>
        <v>10</v>
      </c>
      <c r="R49" s="26">
        <f t="shared" si="34"/>
        <v>0.36383043465407588</v>
      </c>
      <c r="S49">
        <f t="shared" ca="1" si="26"/>
        <v>2.1531206073895529E-2</v>
      </c>
      <c r="T49" s="23">
        <f t="shared" ca="1" si="27"/>
        <v>2499.999999914759</v>
      </c>
      <c r="U49">
        <f t="shared" ca="1" si="9"/>
        <v>1766.0731000437729</v>
      </c>
      <c r="V49">
        <f t="shared" si="10"/>
        <v>550</v>
      </c>
      <c r="W49">
        <f t="shared" si="28"/>
        <v>5.2192977958184277E-7</v>
      </c>
      <c r="X49">
        <f t="shared" ca="1" si="29"/>
        <v>9.2176614383126815E-4</v>
      </c>
      <c r="Y49">
        <f t="shared" ca="1" si="30"/>
        <v>5.8972152594686029E-2</v>
      </c>
      <c r="Z49" s="6">
        <f t="shared" ca="1" si="11"/>
        <v>-2.3237991320798423E-4</v>
      </c>
      <c r="AA49">
        <f t="shared" ca="1" si="31"/>
        <v>7.0668547508553017E-2</v>
      </c>
      <c r="AB49">
        <f t="shared" ca="1" si="32"/>
        <v>2.7812662947174396E-2</v>
      </c>
      <c r="AC49">
        <f t="shared" ca="1" si="33"/>
        <v>5.5706940626629071E-3</v>
      </c>
      <c r="AD49">
        <f t="shared" ca="1" si="12"/>
        <v>0.10405190451839032</v>
      </c>
      <c r="AE49">
        <f t="shared" ca="1" si="13"/>
        <v>0.19031925752298659</v>
      </c>
      <c r="AG49">
        <f t="shared" ca="1" si="14"/>
        <v>4.1188627544198074E-2</v>
      </c>
      <c r="AI49">
        <f t="shared" ca="1" si="15"/>
        <v>7.0732187518978487E-2</v>
      </c>
      <c r="AK49">
        <f t="shared" ca="1" si="16"/>
        <v>38.670909701361758</v>
      </c>
      <c r="AL49" s="6">
        <f t="shared" si="17"/>
        <v>3.0000000000000001E-5</v>
      </c>
      <c r="AM49" s="6">
        <f t="shared" ca="1" si="18"/>
        <v>128779.94078883997</v>
      </c>
      <c r="AN49" s="6">
        <f t="shared" ca="1" si="19"/>
        <v>4.2957334457796236E-3</v>
      </c>
    </row>
    <row r="50" spans="1:40" x14ac:dyDescent="0.25">
      <c r="A50">
        <f t="shared" si="20"/>
        <v>11</v>
      </c>
      <c r="B50">
        <f t="shared" si="0"/>
        <v>0.45681136512847798</v>
      </c>
      <c r="C50">
        <f t="shared" ca="1" si="21"/>
        <v>3.5154488956294638E-2</v>
      </c>
      <c r="D50">
        <f t="shared" si="1"/>
        <v>2500</v>
      </c>
      <c r="E50">
        <f t="shared" ca="1" si="6"/>
        <v>1758.7827399082926</v>
      </c>
      <c r="F50">
        <f t="shared" si="2"/>
        <v>550</v>
      </c>
      <c r="G50">
        <f t="shared" si="3"/>
        <v>5.2192977958184277E-7</v>
      </c>
      <c r="H50">
        <f t="shared" ca="1" si="7"/>
        <v>9.1796108777268464E-4</v>
      </c>
      <c r="I50">
        <f t="shared" ca="1" si="4"/>
        <v>7.6513995260891116E-2</v>
      </c>
      <c r="J50">
        <f t="shared" ca="1" si="22"/>
        <v>6.9684624853509222E-2</v>
      </c>
      <c r="K50">
        <f t="shared" ca="1" si="23"/>
        <v>2.6828740292130594E-2</v>
      </c>
      <c r="L50">
        <f t="shared" ca="1" si="24"/>
        <v>6.5546167177067084E-3</v>
      </c>
      <c r="M50">
        <f t="shared" ca="1" si="8"/>
        <v>0.10306798186334654</v>
      </c>
      <c r="Q50">
        <f t="shared" si="25"/>
        <v>11</v>
      </c>
      <c r="R50" s="26">
        <f t="shared" si="34"/>
        <v>0.40021347811948343</v>
      </c>
      <c r="S50">
        <f t="shared" ca="1" si="26"/>
        <v>2.3676792464996637E-2</v>
      </c>
      <c r="T50" s="23">
        <f t="shared" ca="1" si="27"/>
        <v>2499.9999999063043</v>
      </c>
      <c r="U50">
        <f t="shared" ca="1" si="9"/>
        <v>1764.9344408148568</v>
      </c>
      <c r="V50">
        <f t="shared" si="10"/>
        <v>550</v>
      </c>
      <c r="W50">
        <f t="shared" si="28"/>
        <v>5.2192977958184277E-7</v>
      </c>
      <c r="X50">
        <f t="shared" ca="1" si="29"/>
        <v>9.2117184367090108E-4</v>
      </c>
      <c r="Y50">
        <f t="shared" ca="1" si="30"/>
        <v>5.8934130847002233E-2</v>
      </c>
      <c r="Z50" s="6">
        <f t="shared" ca="1" si="11"/>
        <v>-2.3203383540738349E-4</v>
      </c>
      <c r="AA50">
        <f t="shared" ca="1" si="31"/>
        <v>7.0513585516147684E-2</v>
      </c>
      <c r="AB50">
        <f t="shared" ca="1" si="32"/>
        <v>2.7657700954769063E-2</v>
      </c>
      <c r="AC50">
        <f t="shared" ca="1" si="33"/>
        <v>5.7256560550682416E-3</v>
      </c>
      <c r="AD50">
        <f t="shared" ca="1" si="12"/>
        <v>0.10389694252598498</v>
      </c>
      <c r="AE50">
        <f t="shared" ca="1" si="13"/>
        <v>0.19003581964255084</v>
      </c>
      <c r="AG50">
        <f t="shared" ca="1" si="14"/>
        <v>4.112728631451313E-2</v>
      </c>
      <c r="AI50">
        <f t="shared" ca="1" si="15"/>
        <v>7.0837684374214505E-2</v>
      </c>
      <c r="AK50">
        <f t="shared" ca="1" si="16"/>
        <v>38.728587252367106</v>
      </c>
      <c r="AL50" s="6">
        <f t="shared" si="17"/>
        <v>3.0000000000000001E-5</v>
      </c>
      <c r="AM50" s="6">
        <f t="shared" ca="1" si="18"/>
        <v>128779.94078883996</v>
      </c>
      <c r="AN50" s="6">
        <f t="shared" ca="1" si="19"/>
        <v>4.2957334457796236E-3</v>
      </c>
    </row>
    <row r="51" spans="1:40" x14ac:dyDescent="0.25">
      <c r="A51">
        <f t="shared" si="20"/>
        <v>12</v>
      </c>
      <c r="B51">
        <f t="shared" si="0"/>
        <v>0.49833967104924864</v>
      </c>
      <c r="C51">
        <f t="shared" ca="1" si="21"/>
        <v>3.8331985558709321E-2</v>
      </c>
      <c r="D51">
        <f t="shared" si="1"/>
        <v>2500</v>
      </c>
      <c r="E51">
        <f t="shared" ca="1" si="6"/>
        <v>1757.0614564682123</v>
      </c>
      <c r="F51">
        <f t="shared" si="2"/>
        <v>550</v>
      </c>
      <c r="G51">
        <f t="shared" si="3"/>
        <v>5.2192977958184277E-7</v>
      </c>
      <c r="H51">
        <f t="shared" ca="1" si="7"/>
        <v>9.1706269868620563E-4</v>
      </c>
      <c r="I51">
        <f t="shared" ca="1" si="4"/>
        <v>7.6439112633271161E-2</v>
      </c>
      <c r="J51">
        <f t="shared" ca="1" si="22"/>
        <v>6.9455134581566047E-2</v>
      </c>
      <c r="K51">
        <f t="shared" ca="1" si="23"/>
        <v>2.6599250020187426E-2</v>
      </c>
      <c r="L51">
        <f t="shared" ca="1" si="24"/>
        <v>6.7841069896498792E-3</v>
      </c>
      <c r="M51">
        <f t="shared" ca="1" si="8"/>
        <v>0.10283849159140335</v>
      </c>
      <c r="Q51">
        <f t="shared" si="25"/>
        <v>12</v>
      </c>
      <c r="R51" s="26">
        <f t="shared" si="34"/>
        <v>0.4365965215848911</v>
      </c>
      <c r="S51">
        <f t="shared" ca="1" si="26"/>
        <v>2.5820995509199141E-2</v>
      </c>
      <c r="T51" s="23">
        <f t="shared" ca="1" si="27"/>
        <v>2499.9999998978624</v>
      </c>
      <c r="U51">
        <f t="shared" ca="1" si="9"/>
        <v>1763.7929804893413</v>
      </c>
      <c r="V51">
        <f t="shared" si="10"/>
        <v>550</v>
      </c>
      <c r="W51">
        <f t="shared" si="28"/>
        <v>5.2192977958184277E-7</v>
      </c>
      <c r="X51">
        <f t="shared" ca="1" si="29"/>
        <v>9.2057608153480342E-4</v>
      </c>
      <c r="Y51">
        <f t="shared" ca="1" si="30"/>
        <v>5.8896015565989571E-2</v>
      </c>
      <c r="Z51" s="6">
        <f t="shared" ca="1" si="11"/>
        <v>-2.3168798073722766E-4</v>
      </c>
      <c r="AA51">
        <f t="shared" ca="1" si="31"/>
        <v>7.0358723434047754E-2</v>
      </c>
      <c r="AB51">
        <f t="shared" ca="1" si="32"/>
        <v>2.750283887266913E-2</v>
      </c>
      <c r="AC51">
        <f t="shared" ca="1" si="33"/>
        <v>5.8805181371681765E-3</v>
      </c>
      <c r="AD51">
        <f t="shared" ca="1" si="12"/>
        <v>0.10374208044388507</v>
      </c>
      <c r="AE51">
        <f t="shared" ca="1" si="13"/>
        <v>0.18975256450605366</v>
      </c>
      <c r="AG51">
        <f t="shared" ca="1" si="14"/>
        <v>4.1065984634015798E-2</v>
      </c>
      <c r="AI51">
        <f t="shared" ca="1" si="15"/>
        <v>7.0943428072879414E-2</v>
      </c>
      <c r="AK51">
        <f t="shared" ca="1" si="16"/>
        <v>38.786399758338085</v>
      </c>
      <c r="AL51" s="6">
        <f t="shared" si="17"/>
        <v>3.0000000000000001E-5</v>
      </c>
      <c r="AM51" s="6">
        <f t="shared" ca="1" si="18"/>
        <v>128779.94078883999</v>
      </c>
      <c r="AN51" s="6">
        <f t="shared" ca="1" si="19"/>
        <v>4.2957334457796236E-3</v>
      </c>
    </row>
    <row r="52" spans="1:40" x14ac:dyDescent="0.25">
      <c r="A52">
        <f t="shared" si="20"/>
        <v>13</v>
      </c>
      <c r="B52">
        <f t="shared" si="0"/>
        <v>0.53986797697001943</v>
      </c>
      <c r="C52">
        <f t="shared" ca="1" si="21"/>
        <v>4.1506372412456062E-2</v>
      </c>
      <c r="D52">
        <f t="shared" si="1"/>
        <v>2500</v>
      </c>
      <c r="E52">
        <f t="shared" ca="1" si="6"/>
        <v>1755.3338563190689</v>
      </c>
      <c r="F52">
        <f t="shared" si="2"/>
        <v>550</v>
      </c>
      <c r="G52">
        <f t="shared" si="3"/>
        <v>5.2192977958184277E-7</v>
      </c>
      <c r="H52">
        <f t="shared" ca="1" si="7"/>
        <v>9.1616101272115765E-4</v>
      </c>
      <c r="I52">
        <f t="shared" ca="1" si="4"/>
        <v>7.6363955203859968E-2</v>
      </c>
      <c r="J52">
        <f t="shared" ca="1" si="22"/>
        <v>6.92258689068945E-2</v>
      </c>
      <c r="K52">
        <f t="shared" ca="1" si="23"/>
        <v>2.6369984345515872E-2</v>
      </c>
      <c r="L52">
        <f t="shared" ca="1" si="24"/>
        <v>7.0133726643214307E-3</v>
      </c>
      <c r="M52">
        <f t="shared" ca="1" si="8"/>
        <v>0.10260922591673181</v>
      </c>
      <c r="Q52">
        <f t="shared" si="25"/>
        <v>13</v>
      </c>
      <c r="R52" s="26">
        <f t="shared" si="34"/>
        <v>0.47297956505029864</v>
      </c>
      <c r="S52">
        <f t="shared" ca="1" si="26"/>
        <v>2.796381180347586E-2</v>
      </c>
      <c r="T52" s="23">
        <f t="shared" ca="1" si="27"/>
        <v>2499.9999998894327</v>
      </c>
      <c r="U52">
        <f t="shared" ca="1" si="9"/>
        <v>1762.6487112538136</v>
      </c>
      <c r="V52">
        <f t="shared" si="10"/>
        <v>550</v>
      </c>
      <c r="W52">
        <f t="shared" si="28"/>
        <v>5.2192977958184277E-7</v>
      </c>
      <c r="X52">
        <f t="shared" ca="1" si="29"/>
        <v>9.1997885334492218E-4</v>
      </c>
      <c r="Y52">
        <f t="shared" ca="1" si="30"/>
        <v>5.8857806490745034E-2</v>
      </c>
      <c r="Z52" s="6">
        <f t="shared" ca="1" si="11"/>
        <v>-2.3134234974641639E-4</v>
      </c>
      <c r="AA52">
        <f t="shared" ca="1" si="31"/>
        <v>7.0203961508032126E-2</v>
      </c>
      <c r="AB52">
        <f t="shared" ca="1" si="32"/>
        <v>2.7348076946653498E-2</v>
      </c>
      <c r="AC52">
        <f t="shared" ca="1" si="33"/>
        <v>6.0352800631838077E-3</v>
      </c>
      <c r="AD52">
        <f t="shared" ca="1" si="12"/>
        <v>0.10358731851786944</v>
      </c>
      <c r="AE52">
        <f t="shared" ca="1" si="13"/>
        <v>0.18946949256304429</v>
      </c>
      <c r="AG52">
        <f t="shared" ca="1" si="14"/>
        <v>4.10047225999969E-2</v>
      </c>
      <c r="AI52">
        <f t="shared" ca="1" si="15"/>
        <v>7.1049419247511625E-2</v>
      </c>
      <c r="AK52">
        <f t="shared" ca="1" si="16"/>
        <v>38.844347565097934</v>
      </c>
      <c r="AL52" s="6">
        <f t="shared" si="17"/>
        <v>3.0000000000000001E-5</v>
      </c>
      <c r="AM52" s="6">
        <f t="shared" ca="1" si="18"/>
        <v>128779.94078883999</v>
      </c>
      <c r="AN52" s="6">
        <f t="shared" ca="1" si="19"/>
        <v>4.2957334457796236E-3</v>
      </c>
    </row>
    <row r="53" spans="1:40" x14ac:dyDescent="0.25">
      <c r="A53">
        <f t="shared" si="20"/>
        <v>14</v>
      </c>
      <c r="B53">
        <f t="shared" si="0"/>
        <v>0.58139628289079015</v>
      </c>
      <c r="C53">
        <f t="shared" ca="1" si="21"/>
        <v>4.467763810548199E-2</v>
      </c>
      <c r="D53">
        <f t="shared" si="1"/>
        <v>2500</v>
      </c>
      <c r="E53">
        <f t="shared" ca="1" si="6"/>
        <v>1753.5999133806013</v>
      </c>
      <c r="F53">
        <f t="shared" si="2"/>
        <v>550</v>
      </c>
      <c r="G53">
        <f t="shared" si="3"/>
        <v>5.2192977958184277E-7</v>
      </c>
      <c r="H53">
        <f t="shared" ca="1" si="7"/>
        <v>9.1525601626547576E-4</v>
      </c>
      <c r="I53">
        <f t="shared" ca="1" si="4"/>
        <v>7.6288521838063186E-2</v>
      </c>
      <c r="J53">
        <f t="shared" ca="1" si="22"/>
        <v>6.8996828653714218E-2</v>
      </c>
      <c r="K53">
        <f t="shared" ca="1" si="23"/>
        <v>2.6140944092335583E-2</v>
      </c>
      <c r="L53">
        <f t="shared" ca="1" si="24"/>
        <v>7.2424129175017197E-3</v>
      </c>
      <c r="M53">
        <f t="shared" ca="1" si="8"/>
        <v>0.10238018566355152</v>
      </c>
      <c r="Q53">
        <f t="shared" si="25"/>
        <v>14</v>
      </c>
      <c r="R53" s="26">
        <f t="shared" si="34"/>
        <v>0.50936260851570625</v>
      </c>
      <c r="S53">
        <f t="shared" ca="1" si="26"/>
        <v>3.0105237935307186E-2</v>
      </c>
      <c r="T53" s="23">
        <f t="shared" ca="1" si="27"/>
        <v>2499.9999998810158</v>
      </c>
      <c r="U53">
        <f t="shared" ca="1" si="9"/>
        <v>1761.5016252795676</v>
      </c>
      <c r="V53">
        <f t="shared" si="10"/>
        <v>550</v>
      </c>
      <c r="W53">
        <f t="shared" si="28"/>
        <v>5.2192977958184277E-7</v>
      </c>
      <c r="X53">
        <f t="shared" ca="1" si="29"/>
        <v>9.1938015501522258E-4</v>
      </c>
      <c r="Y53">
        <f t="shared" ca="1" si="30"/>
        <v>5.8819503359854926E-2</v>
      </c>
      <c r="Z53" s="6">
        <f t="shared" ca="1" si="11"/>
        <v>-2.309969429853808E-4</v>
      </c>
      <c r="AA53">
        <f t="shared" ca="1" si="31"/>
        <v>7.0049299984565286E-2</v>
      </c>
      <c r="AB53">
        <f t="shared" ca="1" si="32"/>
        <v>2.7193415423186651E-2</v>
      </c>
      <c r="AC53">
        <f t="shared" ca="1" si="33"/>
        <v>6.1899415866506543E-3</v>
      </c>
      <c r="AD53">
        <f t="shared" ca="1" si="12"/>
        <v>0.10343265699440259</v>
      </c>
      <c r="AE53">
        <f t="shared" ca="1" si="13"/>
        <v>0.18918660426432596</v>
      </c>
      <c r="AG53">
        <f t="shared" ca="1" si="14"/>
        <v>4.094350031001863E-2</v>
      </c>
      <c r="AI53">
        <f t="shared" ca="1" si="15"/>
        <v>7.1155658531520824E-2</v>
      </c>
      <c r="AK53">
        <f t="shared" ca="1" si="16"/>
        <v>38.902431018946288</v>
      </c>
      <c r="AL53" s="6">
        <f t="shared" si="17"/>
        <v>3.0000000000000001E-5</v>
      </c>
      <c r="AM53" s="6">
        <f t="shared" ca="1" si="18"/>
        <v>128779.94078883997</v>
      </c>
      <c r="AN53" s="6">
        <f t="shared" ca="1" si="19"/>
        <v>4.2957334457796236E-3</v>
      </c>
    </row>
    <row r="54" spans="1:40" x14ac:dyDescent="0.25">
      <c r="A54">
        <f t="shared" si="20"/>
        <v>15</v>
      </c>
      <c r="B54">
        <f t="shared" si="0"/>
        <v>0.62292458881156088</v>
      </c>
      <c r="C54">
        <f t="shared" ca="1" si="21"/>
        <v>4.7845771178616478E-2</v>
      </c>
      <c r="D54">
        <f t="shared" si="1"/>
        <v>2500</v>
      </c>
      <c r="E54">
        <f t="shared" ca="1" si="6"/>
        <v>1751.8596015004589</v>
      </c>
      <c r="F54">
        <f t="shared" si="2"/>
        <v>550</v>
      </c>
      <c r="G54">
        <f t="shared" si="3"/>
        <v>5.2192977958184277E-7</v>
      </c>
      <c r="H54">
        <f t="shared" ca="1" si="7"/>
        <v>9.1434769566946944E-4</v>
      </c>
      <c r="I54">
        <f t="shared" ca="1" si="4"/>
        <v>7.6212811398150282E-2</v>
      </c>
      <c r="J54">
        <f t="shared" ca="1" si="22"/>
        <v>6.8768014649647852E-2</v>
      </c>
      <c r="K54">
        <f t="shared" ca="1" si="23"/>
        <v>2.5912130088269217E-2</v>
      </c>
      <c r="L54">
        <f t="shared" ca="1" si="24"/>
        <v>7.4712269215680884E-3</v>
      </c>
      <c r="M54">
        <f t="shared" ca="1" si="8"/>
        <v>0.10215137165948515</v>
      </c>
      <c r="Q54">
        <f t="shared" si="25"/>
        <v>15</v>
      </c>
      <c r="R54" s="26">
        <f t="shared" si="34"/>
        <v>0.54574565198111391</v>
      </c>
      <c r="S54">
        <f t="shared" ca="1" si="26"/>
        <v>3.2245270482662479E-2</v>
      </c>
      <c r="T54" s="23">
        <f t="shared" ca="1" si="27"/>
        <v>2499.9999998726116</v>
      </c>
      <c r="U54">
        <f t="shared" ca="1" si="9"/>
        <v>1760.3517147226794</v>
      </c>
      <c r="V54">
        <f t="shared" si="10"/>
        <v>550</v>
      </c>
      <c r="W54">
        <f t="shared" si="28"/>
        <v>5.2192977958184277E-7</v>
      </c>
      <c r="X54">
        <f t="shared" ca="1" si="29"/>
        <v>9.1877998245172706E-4</v>
      </c>
      <c r="Y54">
        <f t="shared" ca="1" si="30"/>
        <v>5.8781105911397458E-2</v>
      </c>
      <c r="Z54" s="6">
        <f t="shared" ca="1" si="11"/>
        <v>-2.3065176100608599E-4</v>
      </c>
      <c r="AA54">
        <f t="shared" ca="1" si="31"/>
        <v>6.9894739110798618E-2</v>
      </c>
      <c r="AB54">
        <f t="shared" ca="1" si="32"/>
        <v>2.7038854549419993E-2</v>
      </c>
      <c r="AC54">
        <f t="shared" ca="1" si="33"/>
        <v>6.344502460417312E-3</v>
      </c>
      <c r="AD54">
        <f t="shared" ca="1" si="12"/>
        <v>0.10327809612063593</v>
      </c>
      <c r="AE54">
        <f t="shared" ca="1" si="13"/>
        <v>0.18890390006195842</v>
      </c>
      <c r="AG54">
        <f t="shared" ca="1" si="14"/>
        <v>4.0882317861915131E-2</v>
      </c>
      <c r="AI54">
        <f t="shared" ca="1" si="15"/>
        <v>7.1262146559177994E-2</v>
      </c>
      <c r="AK54">
        <f t="shared" ca="1" si="16"/>
        <v>38.960650466653625</v>
      </c>
      <c r="AL54" s="6">
        <f t="shared" si="17"/>
        <v>3.0000000000000001E-5</v>
      </c>
      <c r="AM54" s="6">
        <f t="shared" ca="1" si="18"/>
        <v>128779.94078883997</v>
      </c>
      <c r="AN54" s="6">
        <f t="shared" ca="1" si="19"/>
        <v>4.2957334457796236E-3</v>
      </c>
    </row>
    <row r="55" spans="1:40" x14ac:dyDescent="0.25">
      <c r="A55">
        <f t="shared" si="20"/>
        <v>16</v>
      </c>
      <c r="B55">
        <f t="shared" si="0"/>
        <v>0.6644528947323316</v>
      </c>
      <c r="C55">
        <f t="shared" ca="1" si="21"/>
        <v>5.1010760125440868E-2</v>
      </c>
      <c r="D55">
        <f t="shared" si="1"/>
        <v>2500</v>
      </c>
      <c r="E55">
        <f t="shared" ca="1" si="6"/>
        <v>1750.1128944548711</v>
      </c>
      <c r="F55">
        <f t="shared" si="2"/>
        <v>550</v>
      </c>
      <c r="G55">
        <f t="shared" si="3"/>
        <v>5.2192977958184277E-7</v>
      </c>
      <c r="H55">
        <f t="shared" ca="1" si="7"/>
        <v>9.1343603724617175E-4</v>
      </c>
      <c r="I55">
        <f t="shared" ca="1" si="4"/>
        <v>7.613682274328365E-2</v>
      </c>
      <c r="J55">
        <f t="shared" ca="1" si="22"/>
        <v>6.8539427725730476E-2</v>
      </c>
      <c r="K55">
        <f t="shared" ca="1" si="23"/>
        <v>2.5683543164351848E-2</v>
      </c>
      <c r="L55">
        <f t="shared" ca="1" si="24"/>
        <v>7.6998138454854557E-3</v>
      </c>
      <c r="M55">
        <f t="shared" ca="1" si="8"/>
        <v>0.10192278473556779</v>
      </c>
      <c r="Q55">
        <f t="shared" si="25"/>
        <v>16</v>
      </c>
      <c r="R55" s="26">
        <f t="shared" si="34"/>
        <v>0.58212869544652146</v>
      </c>
      <c r="S55">
        <f t="shared" ca="1" si="26"/>
        <v>3.4383906013981579E-2</v>
      </c>
      <c r="T55" s="23">
        <f t="shared" ca="1" si="27"/>
        <v>2499.9999998642197</v>
      </c>
      <c r="U55">
        <f t="shared" ca="1" si="9"/>
        <v>1759.1989717240906</v>
      </c>
      <c r="V55">
        <f t="shared" si="10"/>
        <v>550</v>
      </c>
      <c r="W55">
        <f t="shared" si="28"/>
        <v>5.2192977958184277E-7</v>
      </c>
      <c r="X55">
        <f t="shared" ca="1" si="29"/>
        <v>9.1817833155255902E-4</v>
      </c>
      <c r="Y55">
        <f t="shared" ca="1" si="30"/>
        <v>5.8742613882945438E-2</v>
      </c>
      <c r="Z55" s="6">
        <f t="shared" ca="1" si="11"/>
        <v>-2.3030680436203417E-4</v>
      </c>
      <c r="AA55">
        <f t="shared" ca="1" si="31"/>
        <v>6.9740279134571814E-2</v>
      </c>
      <c r="AB55">
        <f t="shared" ca="1" si="32"/>
        <v>2.6884394573193179E-2</v>
      </c>
      <c r="AC55">
        <f t="shared" ca="1" si="33"/>
        <v>6.4989624366441241E-3</v>
      </c>
      <c r="AD55">
        <f t="shared" ca="1" si="12"/>
        <v>0.10312363614440911</v>
      </c>
      <c r="AE55">
        <f t="shared" ca="1" si="13"/>
        <v>0.18862138040926024</v>
      </c>
      <c r="AG55">
        <f t="shared" ca="1" si="14"/>
        <v>4.0821175353792982E-2</v>
      </c>
      <c r="AI55">
        <f t="shared" ca="1" si="15"/>
        <v>7.1368883965605243E-2</v>
      </c>
      <c r="AK55">
        <f t="shared" ca="1" si="16"/>
        <v>39.019006255455778</v>
      </c>
      <c r="AL55" s="6">
        <f t="shared" si="17"/>
        <v>3.0000000000000001E-5</v>
      </c>
      <c r="AM55" s="6">
        <f t="shared" ca="1" si="18"/>
        <v>128779.94078883997</v>
      </c>
      <c r="AN55" s="6">
        <f t="shared" ca="1" si="19"/>
        <v>4.2957334457796236E-3</v>
      </c>
    </row>
    <row r="56" spans="1:40" x14ac:dyDescent="0.25">
      <c r="A56">
        <f t="shared" si="20"/>
        <v>17</v>
      </c>
      <c r="B56">
        <f t="shared" si="0"/>
        <v>0.70598120065310221</v>
      </c>
      <c r="C56">
        <f t="shared" ca="1" si="21"/>
        <v>5.4172593392159435E-2</v>
      </c>
      <c r="D56">
        <f t="shared" si="1"/>
        <v>2500</v>
      </c>
      <c r="E56">
        <f t="shared" ca="1" si="6"/>
        <v>1748.3597659493405</v>
      </c>
      <c r="F56">
        <f t="shared" si="2"/>
        <v>550</v>
      </c>
      <c r="G56">
        <f t="shared" si="3"/>
        <v>5.2192977958184277E-7</v>
      </c>
      <c r="H56">
        <f t="shared" ca="1" si="7"/>
        <v>9.1252102727170151E-4</v>
      </c>
      <c r="I56">
        <f t="shared" ca="1" si="4"/>
        <v>7.606055472954884E-2</v>
      </c>
      <c r="J56">
        <f t="shared" ca="1" si="22"/>
        <v>6.8311068716418941E-2</v>
      </c>
      <c r="K56">
        <f t="shared" ca="1" si="23"/>
        <v>2.5455184155040306E-2</v>
      </c>
      <c r="L56">
        <f t="shared" ca="1" si="24"/>
        <v>7.9281728547969978E-3</v>
      </c>
      <c r="M56">
        <f t="shared" ca="1" si="8"/>
        <v>0.10169442572625624</v>
      </c>
      <c r="Q56">
        <f t="shared" si="25"/>
        <v>17</v>
      </c>
      <c r="R56" s="26">
        <f t="shared" si="34"/>
        <v>0.61851173891192901</v>
      </c>
      <c r="S56">
        <f t="shared" ca="1" si="26"/>
        <v>3.6521141088156434E-2</v>
      </c>
      <c r="T56" s="23">
        <f t="shared" ca="1" si="27"/>
        <v>2499.9999998558405</v>
      </c>
      <c r="U56">
        <f t="shared" ca="1" si="9"/>
        <v>1758.0433884096913</v>
      </c>
      <c r="V56">
        <f t="shared" si="10"/>
        <v>550</v>
      </c>
      <c r="W56">
        <f t="shared" si="28"/>
        <v>5.2192977958184277E-7</v>
      </c>
      <c r="X56">
        <f t="shared" ca="1" si="29"/>
        <v>9.1757519820798617E-4</v>
      </c>
      <c r="Y56">
        <f t="shared" ca="1" si="30"/>
        <v>5.8704027011569071E-2</v>
      </c>
      <c r="Z56" s="6">
        <f t="shared" ca="1" si="11"/>
        <v>-2.2996207360826776E-4</v>
      </c>
      <c r="AA56">
        <f t="shared" ca="1" si="31"/>
        <v>6.9585920304414087E-2</v>
      </c>
      <c r="AB56">
        <f t="shared" ca="1" si="32"/>
        <v>2.6730035743035459E-2</v>
      </c>
      <c r="AC56">
        <f t="shared" ca="1" si="33"/>
        <v>6.6533212668018473E-3</v>
      </c>
      <c r="AD56">
        <f t="shared" ca="1" si="12"/>
        <v>0.1029692773142514</v>
      </c>
      <c r="AE56">
        <f t="shared" ca="1" si="13"/>
        <v>0.18833904576081129</v>
      </c>
      <c r="AG56">
        <f t="shared" ca="1" si="14"/>
        <v>4.0760072884031703E-2</v>
      </c>
      <c r="AI56">
        <f t="shared" ca="1" si="15"/>
        <v>7.147587138676556E-2</v>
      </c>
      <c r="AK56">
        <f t="shared" ca="1" si="16"/>
        <v>39.077498733048309</v>
      </c>
      <c r="AL56" s="6">
        <f t="shared" si="17"/>
        <v>3.0000000000000001E-5</v>
      </c>
      <c r="AM56" s="6">
        <f t="shared" ca="1" si="18"/>
        <v>128779.94078883997</v>
      </c>
      <c r="AN56" s="6">
        <f t="shared" ca="1" si="19"/>
        <v>4.2957334457796236E-3</v>
      </c>
    </row>
    <row r="57" spans="1:40" x14ac:dyDescent="0.25">
      <c r="A57">
        <f t="shared" si="20"/>
        <v>18</v>
      </c>
      <c r="B57">
        <f t="shared" si="0"/>
        <v>0.74750950657387305</v>
      </c>
      <c r="C57">
        <f t="shared" ca="1" si="21"/>
        <v>5.7331259377471674E-2</v>
      </c>
      <c r="D57">
        <f t="shared" si="1"/>
        <v>2500</v>
      </c>
      <c r="E57">
        <f t="shared" ca="1" si="6"/>
        <v>1746.6001896193532</v>
      </c>
      <c r="F57">
        <f t="shared" si="2"/>
        <v>550</v>
      </c>
      <c r="G57">
        <f t="shared" si="3"/>
        <v>5.2192977958184277E-7</v>
      </c>
      <c r="H57">
        <f t="shared" ca="1" si="7"/>
        <v>9.1160265198563374E-4</v>
      </c>
      <c r="I57">
        <f t="shared" ca="1" si="4"/>
        <v>7.5984006209985328E-2</v>
      </c>
      <c r="J57">
        <f t="shared" ca="1" si="22"/>
        <v>6.8082938459601006E-2</v>
      </c>
      <c r="K57">
        <f t="shared" ca="1" si="23"/>
        <v>2.5227053898222381E-2</v>
      </c>
      <c r="L57">
        <f t="shared" ca="1" si="24"/>
        <v>8.1563031116149241E-3</v>
      </c>
      <c r="M57">
        <f t="shared" ca="1" si="8"/>
        <v>0.10146629546943832</v>
      </c>
      <c r="Q57">
        <f t="shared" si="25"/>
        <v>18</v>
      </c>
      <c r="R57" s="26">
        <f t="shared" si="34"/>
        <v>0.65489478237733667</v>
      </c>
      <c r="S57">
        <f t="shared" ca="1" si="26"/>
        <v>3.8656972254512818E-2</v>
      </c>
      <c r="T57" s="23">
        <f t="shared" ca="1" si="27"/>
        <v>2499.9999998474736</v>
      </c>
      <c r="U57">
        <f t="shared" ca="1" si="9"/>
        <v>1756.8849568904025</v>
      </c>
      <c r="V57">
        <f t="shared" si="10"/>
        <v>550</v>
      </c>
      <c r="W57">
        <f t="shared" si="28"/>
        <v>5.2192977958184277E-7</v>
      </c>
      <c r="X57">
        <f t="shared" ca="1" si="29"/>
        <v>9.169705783004631E-4</v>
      </c>
      <c r="Y57">
        <f t="shared" ca="1" si="30"/>
        <v>5.8665345033838766E-2</v>
      </c>
      <c r="Z57" s="6">
        <f t="shared" ca="1" si="11"/>
        <v>-2.2961756930137174E-4</v>
      </c>
      <c r="AA57">
        <f t="shared" ca="1" si="31"/>
        <v>6.9431662869545593E-2</v>
      </c>
      <c r="AB57">
        <f t="shared" ca="1" si="32"/>
        <v>2.6575778308166969E-2</v>
      </c>
      <c r="AC57">
        <f t="shared" ca="1" si="33"/>
        <v>6.8075787016703363E-3</v>
      </c>
      <c r="AD57">
        <f t="shared" ca="1" si="12"/>
        <v>0.10281501987938291</v>
      </c>
      <c r="AE57">
        <f t="shared" ca="1" si="13"/>
        <v>0.18805689657245514</v>
      </c>
      <c r="AG57">
        <f t="shared" ca="1" si="14"/>
        <v>4.0699010551284345E-2</v>
      </c>
      <c r="AI57">
        <f t="shared" ca="1" si="15"/>
        <v>7.1583109459452288E-2</v>
      </c>
      <c r="AK57">
        <f t="shared" ca="1" si="16"/>
        <v>39.136128247580729</v>
      </c>
      <c r="AL57" s="6">
        <f t="shared" si="17"/>
        <v>3.0000000000000001E-5</v>
      </c>
      <c r="AM57" s="6">
        <f t="shared" ca="1" si="18"/>
        <v>128779.94078883994</v>
      </c>
      <c r="AN57" s="6">
        <f t="shared" ca="1" si="19"/>
        <v>4.2957334457796236E-3</v>
      </c>
    </row>
    <row r="58" spans="1:40" x14ac:dyDescent="0.25">
      <c r="A58">
        <f t="shared" si="20"/>
        <v>19</v>
      </c>
      <c r="B58">
        <f t="shared" si="0"/>
        <v>0.78903781249464378</v>
      </c>
      <c r="C58">
        <f t="shared" ca="1" si="21"/>
        <v>6.0486746432445684E-2</v>
      </c>
      <c r="D58">
        <f t="shared" si="1"/>
        <v>2500</v>
      </c>
      <c r="E58">
        <f t="shared" ca="1" si="6"/>
        <v>1744.8341390311082</v>
      </c>
      <c r="F58">
        <f t="shared" si="2"/>
        <v>550</v>
      </c>
      <c r="G58">
        <f t="shared" si="3"/>
        <v>5.2192977958184277E-7</v>
      </c>
      <c r="H58">
        <f t="shared" ca="1" si="7"/>
        <v>9.1068089759138065E-4</v>
      </c>
      <c r="I58">
        <f t="shared" ca="1" si="4"/>
        <v>7.5907176034618384E-2</v>
      </c>
      <c r="J58">
        <f t="shared" ca="1" si="22"/>
        <v>6.7855037796604595E-2</v>
      </c>
      <c r="K58">
        <f t="shared" ca="1" si="23"/>
        <v>2.4999153235225974E-2</v>
      </c>
      <c r="L58">
        <f t="shared" ca="1" si="24"/>
        <v>8.3842037746113315E-3</v>
      </c>
      <c r="M58">
        <f t="shared" ca="1" si="8"/>
        <v>0.10123839480644189</v>
      </c>
      <c r="Q58">
        <f t="shared" si="25"/>
        <v>19</v>
      </c>
      <c r="R58" s="26">
        <f t="shared" si="34"/>
        <v>0.69127782584274411</v>
      </c>
      <c r="S58">
        <f t="shared" ca="1" si="26"/>
        <v>4.0791396052792098E-2</v>
      </c>
      <c r="T58" s="23">
        <f t="shared" ca="1" si="27"/>
        <v>2499.9999998391195</v>
      </c>
      <c r="U58">
        <f t="shared" ca="1" si="9"/>
        <v>1755.7236692622641</v>
      </c>
      <c r="V58">
        <f t="shared" si="10"/>
        <v>550</v>
      </c>
      <c r="W58">
        <f t="shared" si="28"/>
        <v>5.2192977958184277E-7</v>
      </c>
      <c r="X58">
        <f t="shared" ca="1" si="29"/>
        <v>9.1636446770467775E-4</v>
      </c>
      <c r="Y58">
        <f t="shared" ca="1" si="30"/>
        <v>5.8626567685827982E-2</v>
      </c>
      <c r="Z58" s="6">
        <f t="shared" ca="1" si="11"/>
        <v>-2.2927329199947752E-4</v>
      </c>
      <c r="AA58">
        <f t="shared" ca="1" si="31"/>
        <v>6.9277507079878703E-2</v>
      </c>
      <c r="AB58">
        <f t="shared" ca="1" si="32"/>
        <v>2.6421622518500082E-2</v>
      </c>
      <c r="AC58">
        <f t="shared" ca="1" si="33"/>
        <v>6.9617344913372233E-3</v>
      </c>
      <c r="AD58">
        <f t="shared" ca="1" si="12"/>
        <v>0.102660864089716</v>
      </c>
      <c r="AE58">
        <f t="shared" ca="1" si="13"/>
        <v>0.18777493330130146</v>
      </c>
      <c r="AG58">
        <f t="shared" ca="1" si="14"/>
        <v>4.0637988454477934E-2</v>
      </c>
      <c r="AI58">
        <f t="shared" ca="1" si="15"/>
        <v>7.1690598821278539E-2</v>
      </c>
      <c r="AK58">
        <f t="shared" ca="1" si="16"/>
        <v>39.194895147650783</v>
      </c>
      <c r="AL58" s="6">
        <f t="shared" si="17"/>
        <v>3.0000000000000001E-5</v>
      </c>
      <c r="AM58" s="6">
        <f t="shared" ca="1" si="18"/>
        <v>128779.94078883997</v>
      </c>
      <c r="AN58" s="6">
        <f t="shared" ca="1" si="19"/>
        <v>4.2957334457796236E-3</v>
      </c>
    </row>
    <row r="59" spans="1:40" x14ac:dyDescent="0.25">
      <c r="A59">
        <f t="shared" si="20"/>
        <v>20</v>
      </c>
      <c r="B59">
        <f t="shared" si="0"/>
        <v>0.8305661184154145</v>
      </c>
      <c r="C59">
        <f t="shared" ca="1" si="21"/>
        <v>6.3639042860393111E-2</v>
      </c>
      <c r="D59">
        <f t="shared" si="1"/>
        <v>2500</v>
      </c>
      <c r="E59">
        <f t="shared" ca="1" si="6"/>
        <v>1743.0615876822731</v>
      </c>
      <c r="F59">
        <f t="shared" si="2"/>
        <v>550</v>
      </c>
      <c r="G59">
        <f t="shared" si="3"/>
        <v>5.2192977958184277E-7</v>
      </c>
      <c r="H59">
        <f t="shared" ca="1" si="7"/>
        <v>9.0975575025658564E-4</v>
      </c>
      <c r="I59">
        <f t="shared" ca="1" si="4"/>
        <v>7.5830063050491919E-2</v>
      </c>
      <c r="J59">
        <f t="shared" ca="1" si="22"/>
        <v>6.7627367572206748E-2</v>
      </c>
      <c r="K59">
        <f t="shared" ca="1" si="23"/>
        <v>2.4771483010828127E-2</v>
      </c>
      <c r="L59">
        <f t="shared" ca="1" si="24"/>
        <v>8.6118739990091765E-3</v>
      </c>
      <c r="M59">
        <f t="shared" ca="1" si="8"/>
        <v>0.10101072458204405</v>
      </c>
      <c r="Q59">
        <f t="shared" si="25"/>
        <v>20</v>
      </c>
      <c r="R59" s="26">
        <f t="shared" si="34"/>
        <v>0.72766086930815177</v>
      </c>
      <c r="S59">
        <f t="shared" ca="1" si="26"/>
        <v>4.2924409013133241E-2</v>
      </c>
      <c r="T59" s="23">
        <f t="shared" ca="1" si="27"/>
        <v>2499.9999998307776</v>
      </c>
      <c r="U59">
        <f t="shared" ca="1" si="9"/>
        <v>1754.5595176065219</v>
      </c>
      <c r="V59">
        <f t="shared" si="10"/>
        <v>550</v>
      </c>
      <c r="W59">
        <f t="shared" si="28"/>
        <v>5.2192977958184277E-7</v>
      </c>
      <c r="X59">
        <f t="shared" ca="1" si="29"/>
        <v>9.1575686228759635E-4</v>
      </c>
      <c r="Y59">
        <f t="shared" ca="1" si="30"/>
        <v>5.8587694703116165E-2</v>
      </c>
      <c r="Z59" s="6">
        <f t="shared" ca="1" si="11"/>
        <v>-2.2892924226226518E-4</v>
      </c>
      <c r="AA59">
        <f t="shared" ca="1" si="31"/>
        <v>6.9123453186019312E-2</v>
      </c>
      <c r="AB59">
        <f t="shared" ca="1" si="32"/>
        <v>2.6267568624640681E-2</v>
      </c>
      <c r="AC59">
        <f t="shared" ca="1" si="33"/>
        <v>7.1157883851966234E-3</v>
      </c>
      <c r="AD59">
        <f t="shared" ca="1" si="12"/>
        <v>0.10250681019585661</v>
      </c>
      <c r="AE59">
        <f t="shared" ca="1" si="13"/>
        <v>0.18749315640572864</v>
      </c>
      <c r="AG59">
        <f t="shared" ca="1" si="14"/>
        <v>4.0577006692814076E-2</v>
      </c>
      <c r="AI59">
        <f t="shared" ca="1" si="15"/>
        <v>7.1798340110666298E-2</v>
      </c>
      <c r="AK59">
        <f t="shared" ca="1" si="16"/>
        <v>39.253799782298394</v>
      </c>
      <c r="AL59" s="6">
        <f t="shared" si="17"/>
        <v>3.0000000000000001E-5</v>
      </c>
      <c r="AM59" s="6">
        <f t="shared" ca="1" si="18"/>
        <v>128779.94078883997</v>
      </c>
      <c r="AN59" s="6">
        <f t="shared" ca="1" si="19"/>
        <v>4.2957334457796236E-3</v>
      </c>
    </row>
    <row r="60" spans="1:40" x14ac:dyDescent="0.25">
      <c r="A60">
        <f t="shared" si="20"/>
        <v>21</v>
      </c>
      <c r="B60">
        <f t="shared" si="0"/>
        <v>0.87209442433618523</v>
      </c>
      <c r="C60">
        <f t="shared" ca="1" si="21"/>
        <v>6.6788136916745275E-2</v>
      </c>
      <c r="D60">
        <f t="shared" si="1"/>
        <v>2500</v>
      </c>
      <c r="E60">
        <f t="shared" ca="1" si="6"/>
        <v>1741.2825090027584</v>
      </c>
      <c r="F60">
        <f t="shared" si="2"/>
        <v>550</v>
      </c>
      <c r="G60">
        <f t="shared" si="3"/>
        <v>5.2192977958184277E-7</v>
      </c>
      <c r="H60">
        <f t="shared" ca="1" si="7"/>
        <v>9.0882719611352783E-4</v>
      </c>
      <c r="I60">
        <f t="shared" ca="1" si="4"/>
        <v>7.5752666101702087E-2</v>
      </c>
      <c r="J60">
        <f t="shared" ca="1" si="22"/>
        <v>6.7399928634642614E-2</v>
      </c>
      <c r="K60">
        <f t="shared" ca="1" si="23"/>
        <v>2.4544044073263983E-2</v>
      </c>
      <c r="L60">
        <f t="shared" ca="1" si="24"/>
        <v>8.8393129365733226E-3</v>
      </c>
      <c r="M60">
        <f t="shared" ca="1" si="8"/>
        <v>0.10078328564447991</v>
      </c>
      <c r="Q60">
        <f t="shared" si="25"/>
        <v>21</v>
      </c>
      <c r="R60" s="26">
        <f t="shared" si="34"/>
        <v>0.76404391277355943</v>
      </c>
      <c r="S60">
        <f t="shared" ca="1" si="26"/>
        <v>4.5056007656054747E-2</v>
      </c>
      <c r="T60" s="23">
        <f t="shared" ca="1" si="27"/>
        <v>2499.9999998224484</v>
      </c>
      <c r="U60">
        <f t="shared" ca="1" si="9"/>
        <v>1753.3924939897174</v>
      </c>
      <c r="V60">
        <f t="shared" si="10"/>
        <v>550</v>
      </c>
      <c r="W60">
        <f t="shared" si="28"/>
        <v>5.2192977958184277E-7</v>
      </c>
      <c r="X60">
        <f t="shared" ca="1" si="29"/>
        <v>9.1514775790851074E-4</v>
      </c>
      <c r="Y60">
        <f t="shared" ca="1" si="30"/>
        <v>5.8548725820791826E-2</v>
      </c>
      <c r="Z60" s="6">
        <f t="shared" ca="1" si="11"/>
        <v>-2.2858542065096635E-4</v>
      </c>
      <c r="AA60">
        <f t="shared" ca="1" si="31"/>
        <v>6.896950143926811E-2</v>
      </c>
      <c r="AB60">
        <f t="shared" ca="1" si="32"/>
        <v>2.6113616877889479E-2</v>
      </c>
      <c r="AC60">
        <f t="shared" ca="1" si="33"/>
        <v>7.2697401319478253E-3</v>
      </c>
      <c r="AD60">
        <f t="shared" ca="1" si="12"/>
        <v>0.10235285844910541</v>
      </c>
      <c r="AE60">
        <f t="shared" ca="1" si="13"/>
        <v>0.1872115663453856</v>
      </c>
      <c r="AG60">
        <f t="shared" ca="1" si="14"/>
        <v>4.0516065365769349E-2</v>
      </c>
      <c r="AI60">
        <f t="shared" ca="1" si="15"/>
        <v>7.1906333966835656E-2</v>
      </c>
      <c r="AK60">
        <f t="shared" ca="1" si="16"/>
        <v>39.312842500999857</v>
      </c>
      <c r="AL60" s="6">
        <f t="shared" si="17"/>
        <v>3.0000000000000001E-5</v>
      </c>
      <c r="AM60" s="6">
        <f t="shared" ca="1" si="18"/>
        <v>128779.94078883997</v>
      </c>
      <c r="AN60" s="6">
        <f t="shared" ca="1" si="19"/>
        <v>4.2957334457796236E-3</v>
      </c>
    </row>
    <row r="61" spans="1:40" x14ac:dyDescent="0.25">
      <c r="A61">
        <f t="shared" si="20"/>
        <v>22</v>
      </c>
      <c r="B61">
        <f t="shared" si="0"/>
        <v>0.91362273025695595</v>
      </c>
      <c r="C61">
        <f t="shared" ca="1" si="21"/>
        <v>6.9934016808930757E-2</v>
      </c>
      <c r="D61">
        <f t="shared" si="1"/>
        <v>2500</v>
      </c>
      <c r="E61">
        <f t="shared" ca="1" si="6"/>
        <v>1739.4968763555103</v>
      </c>
      <c r="F61">
        <f t="shared" si="2"/>
        <v>550</v>
      </c>
      <c r="G61">
        <f t="shared" si="3"/>
        <v>5.2192977958184277E-7</v>
      </c>
      <c r="H61">
        <f t="shared" ca="1" si="7"/>
        <v>9.0789522125953547E-4</v>
      </c>
      <c r="I61">
        <f t="shared" ca="1" si="4"/>
        <v>7.5674984029431833E-2</v>
      </c>
      <c r="J61">
        <f t="shared" ca="1" si="22"/>
        <v>6.7172721835614235E-2</v>
      </c>
      <c r="K61">
        <f t="shared" ca="1" si="23"/>
        <v>2.43168372742356E-2</v>
      </c>
      <c r="L61">
        <f t="shared" ca="1" si="24"/>
        <v>9.0665197356017049E-3</v>
      </c>
      <c r="M61">
        <f t="shared" ca="1" si="8"/>
        <v>0.10055607884545154</v>
      </c>
      <c r="Q61">
        <f t="shared" si="25"/>
        <v>22</v>
      </c>
      <c r="R61" s="26">
        <f t="shared" si="34"/>
        <v>0.80042695623896687</v>
      </c>
      <c r="S61">
        <f t="shared" ca="1" si="26"/>
        <v>4.7186188492436838E-2</v>
      </c>
      <c r="T61" s="23">
        <f t="shared" ca="1" si="27"/>
        <v>2499.999999814132</v>
      </c>
      <c r="U61">
        <f t="shared" ca="1" si="9"/>
        <v>1752.2225904637794</v>
      </c>
      <c r="V61">
        <f t="shared" si="10"/>
        <v>550</v>
      </c>
      <c r="W61">
        <f t="shared" si="28"/>
        <v>5.2192977958184277E-7</v>
      </c>
      <c r="X61">
        <f t="shared" ca="1" si="29"/>
        <v>9.1453715041908592E-4</v>
      </c>
      <c r="Y61">
        <f t="shared" ca="1" si="30"/>
        <v>5.8509660773455471E-2</v>
      </c>
      <c r="Z61" s="6">
        <f t="shared" ca="1" si="11"/>
        <v>-2.2824182772836766E-4</v>
      </c>
      <c r="AA61">
        <f t="shared" ca="1" si="31"/>
        <v>6.8815652091621923E-2</v>
      </c>
      <c r="AB61">
        <f t="shared" ca="1" si="32"/>
        <v>2.5959767530243299E-2</v>
      </c>
      <c r="AC61">
        <f t="shared" ca="1" si="33"/>
        <v>7.4235894795940064E-3</v>
      </c>
      <c r="AD61">
        <f t="shared" ca="1" si="12"/>
        <v>0.10219900910145924</v>
      </c>
      <c r="AE61">
        <f t="shared" ca="1" si="13"/>
        <v>0.1869301635811948</v>
      </c>
      <c r="AG61">
        <f t="shared" ca="1" si="14"/>
        <v>4.0455164573095947E-2</v>
      </c>
      <c r="AI61">
        <f t="shared" ca="1" si="15"/>
        <v>7.2014581029793398E-2</v>
      </c>
      <c r="AK61">
        <f t="shared" ca="1" si="16"/>
        <v>39.372023653661579</v>
      </c>
      <c r="AL61" s="6">
        <f t="shared" si="17"/>
        <v>3.0000000000000001E-5</v>
      </c>
      <c r="AM61" s="6">
        <f t="shared" ca="1" si="18"/>
        <v>128779.94078883997</v>
      </c>
      <c r="AN61" s="6">
        <f t="shared" ca="1" si="19"/>
        <v>4.2957334457796236E-3</v>
      </c>
    </row>
    <row r="62" spans="1:40" x14ac:dyDescent="0.25">
      <c r="A62">
        <f t="shared" si="20"/>
        <v>23</v>
      </c>
      <c r="B62">
        <f t="shared" si="0"/>
        <v>0.95515103617772668</v>
      </c>
      <c r="C62">
        <f t="shared" ca="1" si="21"/>
        <v>7.3076670696254439E-2</v>
      </c>
      <c r="D62">
        <f t="shared" si="1"/>
        <v>2500</v>
      </c>
      <c r="E62">
        <f t="shared" ca="1" si="6"/>
        <v>1737.7046630373313</v>
      </c>
      <c r="F62">
        <f t="shared" si="2"/>
        <v>550</v>
      </c>
      <c r="G62">
        <f t="shared" si="3"/>
        <v>5.2192977958184277E-7</v>
      </c>
      <c r="H62">
        <f t="shared" ca="1" si="7"/>
        <v>9.0695981175741469E-4</v>
      </c>
      <c r="I62">
        <f t="shared" ca="1" si="4"/>
        <v>7.5597015671986623E-2</v>
      </c>
      <c r="J62">
        <f t="shared" ca="1" si="22"/>
        <v>6.6945748030299346E-2</v>
      </c>
      <c r="K62">
        <f t="shared" ca="1" si="23"/>
        <v>2.4089863468920718E-2</v>
      </c>
      <c r="L62">
        <f t="shared" ca="1" si="24"/>
        <v>9.2934935409165892E-3</v>
      </c>
      <c r="M62">
        <f t="shared" ca="1" si="8"/>
        <v>0.10032910504013666</v>
      </c>
      <c r="Q62">
        <f t="shared" si="25"/>
        <v>23</v>
      </c>
      <c r="R62" s="26">
        <f t="shared" si="34"/>
        <v>0.83680999970437453</v>
      </c>
      <c r="S62">
        <f t="shared" ca="1" si="26"/>
        <v>4.9314948023503724E-2</v>
      </c>
      <c r="T62" s="23">
        <f t="shared" ca="1" si="27"/>
        <v>2499.9999998058279</v>
      </c>
      <c r="U62">
        <f t="shared" ca="1" si="9"/>
        <v>1751.0497990661163</v>
      </c>
      <c r="V62">
        <f t="shared" si="10"/>
        <v>550</v>
      </c>
      <c r="W62">
        <f t="shared" si="28"/>
        <v>5.2192977958184277E-7</v>
      </c>
      <c r="X62">
        <f t="shared" ca="1" si="29"/>
        <v>9.139250356634081E-4</v>
      </c>
      <c r="Y62">
        <f t="shared" ca="1" si="30"/>
        <v>5.8470499295222772E-2</v>
      </c>
      <c r="Z62" s="6">
        <f t="shared" ca="1" si="11"/>
        <v>-2.2789846405881295E-4</v>
      </c>
      <c r="AA62">
        <f t="shared" ca="1" si="31"/>
        <v>6.8661905395774978E-2</v>
      </c>
      <c r="AB62">
        <f t="shared" ca="1" si="32"/>
        <v>2.580602083439635E-2</v>
      </c>
      <c r="AC62">
        <f t="shared" ca="1" si="33"/>
        <v>7.5773361754409531E-3</v>
      </c>
      <c r="AD62">
        <f t="shared" ca="1" si="12"/>
        <v>0.10204526240561229</v>
      </c>
      <c r="AE62">
        <f t="shared" ca="1" si="13"/>
        <v>0.18664894857535416</v>
      </c>
      <c r="AG62">
        <f t="shared" ca="1" si="14"/>
        <v>4.0394304414822106E-2</v>
      </c>
      <c r="AI62">
        <f t="shared" ca="1" si="15"/>
        <v>7.2123081940321951E-2</v>
      </c>
      <c r="AK62">
        <f t="shared" ca="1" si="16"/>
        <v>39.431343590613984</v>
      </c>
      <c r="AL62" s="6">
        <f t="shared" si="17"/>
        <v>3.0000000000000001E-5</v>
      </c>
      <c r="AM62" s="6">
        <f t="shared" ca="1" si="18"/>
        <v>128779.94078883999</v>
      </c>
      <c r="AN62" s="6">
        <f t="shared" ca="1" si="19"/>
        <v>4.2957334457796236E-3</v>
      </c>
    </row>
    <row r="63" spans="1:40" x14ac:dyDescent="0.25">
      <c r="A63">
        <f t="shared" si="20"/>
        <v>24</v>
      </c>
      <c r="B63">
        <f t="shared" si="0"/>
        <v>0.99667934209849729</v>
      </c>
      <c r="C63">
        <f t="shared" ca="1" si="21"/>
        <v>7.6216086689777987E-2</v>
      </c>
      <c r="D63">
        <f t="shared" si="1"/>
        <v>2500</v>
      </c>
      <c r="E63">
        <f t="shared" ca="1" si="6"/>
        <v>1735.9058422797202</v>
      </c>
      <c r="F63">
        <f t="shared" si="2"/>
        <v>550</v>
      </c>
      <c r="G63">
        <f t="shared" si="3"/>
        <v>5.2192977958184277E-7</v>
      </c>
      <c r="H63">
        <f t="shared" ca="1" si="7"/>
        <v>9.0602095363588749E-4</v>
      </c>
      <c r="I63">
        <f t="shared" ca="1" si="4"/>
        <v>7.5518759864830906E-2</v>
      </c>
      <c r="J63">
        <f t="shared" ca="1" si="22"/>
        <v>6.671900807735999E-2</v>
      </c>
      <c r="K63">
        <f t="shared" ca="1" si="23"/>
        <v>2.3863123515981362E-2</v>
      </c>
      <c r="L63">
        <f t="shared" ca="1" si="24"/>
        <v>9.5202334938559417E-3</v>
      </c>
      <c r="M63">
        <f t="shared" ca="1" si="8"/>
        <v>0.1001023650871973</v>
      </c>
      <c r="Q63">
        <f t="shared" si="25"/>
        <v>24</v>
      </c>
      <c r="R63" s="26">
        <f t="shared" si="34"/>
        <v>0.87319304316978219</v>
      </c>
      <c r="S63">
        <f t="shared" ca="1" si="26"/>
        <v>5.1442282740805902E-2</v>
      </c>
      <c r="T63" s="23">
        <f t="shared" ca="1" si="27"/>
        <v>2499.999999797536</v>
      </c>
      <c r="U63">
        <f t="shared" ca="1" si="9"/>
        <v>1749.8741118197133</v>
      </c>
      <c r="V63">
        <f t="shared" si="10"/>
        <v>550</v>
      </c>
      <c r="W63">
        <f t="shared" si="28"/>
        <v>5.2192977958184277E-7</v>
      </c>
      <c r="X63">
        <f t="shared" ca="1" si="29"/>
        <v>9.1331140947803588E-4</v>
      </c>
      <c r="Y63">
        <f t="shared" ca="1" si="30"/>
        <v>5.8431241119727771E-2</v>
      </c>
      <c r="Z63" s="6">
        <f t="shared" ca="1" si="11"/>
        <v>-2.2755533020820637E-4</v>
      </c>
      <c r="AA63">
        <f t="shared" ca="1" si="31"/>
        <v>6.8508261605120149E-2</v>
      </c>
      <c r="AB63">
        <f t="shared" ca="1" si="32"/>
        <v>2.5652377043741525E-2</v>
      </c>
      <c r="AC63">
        <f t="shared" ca="1" si="33"/>
        <v>7.7309799660957796E-3</v>
      </c>
      <c r="AD63">
        <f t="shared" ca="1" si="12"/>
        <v>0.10189161861495746</v>
      </c>
      <c r="AE63">
        <f t="shared" ca="1" si="13"/>
        <v>0.18636792179133951</v>
      </c>
      <c r="AG63">
        <f t="shared" ca="1" si="14"/>
        <v>4.0333484991252604E-2</v>
      </c>
      <c r="AI63">
        <f t="shared" ca="1" si="15"/>
        <v>7.2231837339967672E-2</v>
      </c>
      <c r="AK63">
        <f t="shared" ca="1" si="16"/>
        <v>39.490802662605212</v>
      </c>
      <c r="AL63" s="6">
        <f t="shared" si="17"/>
        <v>3.0000000000000001E-5</v>
      </c>
      <c r="AM63" s="6">
        <f t="shared" ca="1" si="18"/>
        <v>128779.94078883997</v>
      </c>
      <c r="AN63" s="6">
        <f t="shared" ca="1" si="19"/>
        <v>4.2957334457796236E-3</v>
      </c>
    </row>
    <row r="64" spans="1:40" x14ac:dyDescent="0.25">
      <c r="A64">
        <f t="shared" si="20"/>
        <v>25</v>
      </c>
      <c r="B64">
        <f t="shared" si="0"/>
        <v>1.0382076480192681</v>
      </c>
      <c r="C64">
        <f t="shared" ca="1" si="21"/>
        <v>7.9352252852201918E-2</v>
      </c>
      <c r="D64">
        <f t="shared" si="1"/>
        <v>2500</v>
      </c>
      <c r="E64">
        <f t="shared" ca="1" si="6"/>
        <v>1734.1003872497342</v>
      </c>
      <c r="F64">
        <f t="shared" si="2"/>
        <v>550</v>
      </c>
      <c r="G64">
        <f t="shared" si="3"/>
        <v>5.2192977958184277E-7</v>
      </c>
      <c r="H64">
        <f t="shared" ca="1" si="7"/>
        <v>9.0507863289004194E-4</v>
      </c>
      <c r="I64">
        <f t="shared" ca="1" si="4"/>
        <v>7.5440215440625721E-2</v>
      </c>
      <c r="J64">
        <f t="shared" ca="1" si="22"/>
        <v>6.6492502838951015E-2</v>
      </c>
      <c r="K64">
        <f t="shared" ca="1" si="23"/>
        <v>2.363661827757239E-2</v>
      </c>
      <c r="L64">
        <f t="shared" ca="1" si="24"/>
        <v>9.7467387322649132E-3</v>
      </c>
      <c r="M64">
        <f t="shared" ca="1" si="8"/>
        <v>9.9875859848788329E-2</v>
      </c>
      <c r="Q64">
        <f t="shared" si="25"/>
        <v>25</v>
      </c>
      <c r="R64" s="26">
        <f t="shared" si="34"/>
        <v>0.90957608663518963</v>
      </c>
      <c r="S64">
        <f t="shared" ca="1" si="26"/>
        <v>5.3568189126202662E-2</v>
      </c>
      <c r="T64" s="23">
        <f t="shared" ca="1" si="27"/>
        <v>2499.9999997892569</v>
      </c>
      <c r="U64">
        <f t="shared" ca="1" si="9"/>
        <v>1748.6955207332285</v>
      </c>
      <c r="V64">
        <f t="shared" si="10"/>
        <v>550</v>
      </c>
      <c r="W64">
        <f t="shared" si="28"/>
        <v>5.2192977958184277E-7</v>
      </c>
      <c r="X64">
        <f t="shared" ca="1" si="29"/>
        <v>9.1269626769204968E-4</v>
      </c>
      <c r="Y64">
        <f t="shared" ca="1" si="30"/>
        <v>5.8391885980126131E-2</v>
      </c>
      <c r="Z64" s="6">
        <f t="shared" ca="1" si="11"/>
        <v>-2.2721242674401547E-4</v>
      </c>
      <c r="AA64">
        <f t="shared" ca="1" si="31"/>
        <v>6.8354720973750269E-2</v>
      </c>
      <c r="AB64">
        <f t="shared" ca="1" si="32"/>
        <v>2.5498836412371637E-2</v>
      </c>
      <c r="AC64">
        <f t="shared" ca="1" si="33"/>
        <v>7.884520597465668E-3</v>
      </c>
      <c r="AD64">
        <f t="shared" ca="1" si="12"/>
        <v>0.10173807798358757</v>
      </c>
      <c r="AE64">
        <f t="shared" ca="1" si="13"/>
        <v>0.18608708369390697</v>
      </c>
      <c r="AG64">
        <f t="shared" ca="1" si="14"/>
        <v>4.0272706402969323E-2</v>
      </c>
      <c r="AI64">
        <f t="shared" ca="1" si="15"/>
        <v>7.2340847871029373E-2</v>
      </c>
      <c r="AK64">
        <f t="shared" ca="1" si="16"/>
        <v>39.55040122079474</v>
      </c>
      <c r="AL64" s="6">
        <f t="shared" si="17"/>
        <v>3.0000000000000001E-5</v>
      </c>
      <c r="AM64" s="6">
        <f t="shared" ca="1" si="18"/>
        <v>128779.94078884002</v>
      </c>
      <c r="AN64" s="6">
        <f t="shared" ca="1" si="19"/>
        <v>4.2957334457796236E-3</v>
      </c>
    </row>
    <row r="65" spans="1:40" x14ac:dyDescent="0.25">
      <c r="A65">
        <f t="shared" si="20"/>
        <v>26</v>
      </c>
      <c r="B65">
        <f t="shared" si="0"/>
        <v>1.0797359539400389</v>
      </c>
      <c r="C65">
        <f t="shared" ca="1" si="21"/>
        <v>8.2485157197749071E-2</v>
      </c>
      <c r="D65">
        <f t="shared" si="1"/>
        <v>2500</v>
      </c>
      <c r="E65">
        <f t="shared" ca="1" si="6"/>
        <v>1732.288271050877</v>
      </c>
      <c r="F65">
        <f t="shared" si="2"/>
        <v>550</v>
      </c>
      <c r="G65">
        <f t="shared" si="3"/>
        <v>5.2192977958184277E-7</v>
      </c>
      <c r="H65">
        <f t="shared" ca="1" si="7"/>
        <v>9.0413283548179571E-4</v>
      </c>
      <c r="I65">
        <f t="shared" ca="1" si="4"/>
        <v>7.5361381229267263E-2</v>
      </c>
      <c r="J65">
        <f t="shared" ca="1" si="22"/>
        <v>6.6266233180728509E-2</v>
      </c>
      <c r="K65">
        <f t="shared" ca="1" si="23"/>
        <v>2.3410348619349881E-2</v>
      </c>
      <c r="L65">
        <f t="shared" ca="1" si="24"/>
        <v>9.9730083904874221E-3</v>
      </c>
      <c r="M65">
        <f t="shared" ca="1" si="8"/>
        <v>9.9649590190565823E-2</v>
      </c>
      <c r="Q65">
        <f t="shared" si="25"/>
        <v>26</v>
      </c>
      <c r="R65" s="26">
        <f t="shared" si="34"/>
        <v>0.94595913010059729</v>
      </c>
      <c r="S65">
        <f t="shared" ca="1" si="26"/>
        <v>5.569266365184472E-2</v>
      </c>
      <c r="T65" s="23">
        <f t="shared" ca="1" si="27"/>
        <v>2499.99999978099</v>
      </c>
      <c r="U65">
        <f t="shared" ca="1" si="9"/>
        <v>1747.5140178010913</v>
      </c>
      <c r="V65">
        <f t="shared" si="10"/>
        <v>550</v>
      </c>
      <c r="W65">
        <f t="shared" si="28"/>
        <v>5.2192977958184277E-7</v>
      </c>
      <c r="X65">
        <f t="shared" ca="1" si="29"/>
        <v>9.1207960612710401E-4</v>
      </c>
      <c r="Y65">
        <f t="shared" ca="1" si="30"/>
        <v>5.8352433609098378E-2</v>
      </c>
      <c r="Z65" s="6">
        <f t="shared" ca="1" si="11"/>
        <v>-2.2686975423527372E-4</v>
      </c>
      <c r="AA65">
        <f t="shared" ca="1" si="31"/>
        <v>6.8201283756459327E-2</v>
      </c>
      <c r="AB65">
        <f t="shared" ca="1" si="32"/>
        <v>2.5345399195080692E-2</v>
      </c>
      <c r="AC65">
        <f t="shared" ca="1" si="33"/>
        <v>8.0379578147566112E-3</v>
      </c>
      <c r="AD65">
        <f t="shared" ca="1" si="12"/>
        <v>0.10158464076629663</v>
      </c>
      <c r="AE65">
        <f t="shared" ca="1" si="13"/>
        <v>0.18580643474909522</v>
      </c>
      <c r="AG65">
        <f t="shared" ca="1" si="14"/>
        <v>4.0211968750831689E-2</v>
      </c>
      <c r="AI65">
        <f t="shared" ca="1" si="15"/>
        <v>7.2450114176546301E-2</v>
      </c>
      <c r="AK65">
        <f t="shared" ca="1" si="16"/>
        <v>39.610139616746878</v>
      </c>
      <c r="AL65" s="6">
        <f t="shared" si="17"/>
        <v>3.0000000000000001E-5</v>
      </c>
      <c r="AM65" s="6">
        <f t="shared" ca="1" si="18"/>
        <v>128779.94078883999</v>
      </c>
      <c r="AN65" s="6">
        <f t="shared" ca="1" si="19"/>
        <v>4.2957334457796236E-3</v>
      </c>
    </row>
    <row r="66" spans="1:40" x14ac:dyDescent="0.25">
      <c r="A66">
        <f t="shared" si="20"/>
        <v>27</v>
      </c>
      <c r="B66">
        <f t="shared" si="0"/>
        <v>1.1212642598608096</v>
      </c>
      <c r="C66">
        <f t="shared" ca="1" si="21"/>
        <v>8.5614787692049915E-2</v>
      </c>
      <c r="D66">
        <f t="shared" si="1"/>
        <v>2500</v>
      </c>
      <c r="E66">
        <f t="shared" ca="1" si="6"/>
        <v>1730.4694667240065</v>
      </c>
      <c r="F66">
        <f t="shared" si="2"/>
        <v>550</v>
      </c>
      <c r="G66">
        <f t="shared" si="3"/>
        <v>5.2192977958184277E-7</v>
      </c>
      <c r="H66">
        <f t="shared" ca="1" si="7"/>
        <v>9.0318354734036964E-4</v>
      </c>
      <c r="I66">
        <f t="shared" ca="1" si="4"/>
        <v>7.5282256057926364E-2</v>
      </c>
      <c r="J66">
        <f t="shared" ca="1" si="22"/>
        <v>6.604019997185806E-2</v>
      </c>
      <c r="K66">
        <f t="shared" ca="1" si="23"/>
        <v>2.3184315410479432E-2</v>
      </c>
      <c r="L66">
        <f t="shared" ca="1" si="24"/>
        <v>1.0199041599357871E-2</v>
      </c>
      <c r="M66">
        <f t="shared" ca="1" si="8"/>
        <v>9.9423556981695374E-2</v>
      </c>
      <c r="Q66">
        <f t="shared" si="25"/>
        <v>27</v>
      </c>
      <c r="R66" s="26">
        <f t="shared" si="34"/>
        <v>0.98234217356600495</v>
      </c>
      <c r="S66">
        <f t="shared" ca="1" si="26"/>
        <v>5.7815702780156859E-2</v>
      </c>
      <c r="T66" s="23">
        <f t="shared" ca="1" si="27"/>
        <v>2499.9999997727359</v>
      </c>
      <c r="U66">
        <f t="shared" ca="1" si="9"/>
        <v>1746.3295950036043</v>
      </c>
      <c r="V66">
        <f t="shared" si="10"/>
        <v>550</v>
      </c>
      <c r="W66">
        <f t="shared" si="28"/>
        <v>5.2192977958184277E-7</v>
      </c>
      <c r="X66">
        <f t="shared" ca="1" si="29"/>
        <v>9.1146142059747993E-4</v>
      </c>
      <c r="Y66">
        <f t="shared" ca="1" si="30"/>
        <v>5.8312883738853315E-2</v>
      </c>
      <c r="Z66" s="6">
        <f t="shared" ca="1" si="11"/>
        <v>-2.2652731325258318E-4</v>
      </c>
      <c r="AA66">
        <f t="shared" ca="1" si="31"/>
        <v>6.8047950208743768E-2</v>
      </c>
      <c r="AB66">
        <f t="shared" ca="1" si="32"/>
        <v>2.5192065647365147E-2</v>
      </c>
      <c r="AC66">
        <f t="shared" ca="1" si="33"/>
        <v>8.1912913624721598E-3</v>
      </c>
      <c r="AD66">
        <f t="shared" ca="1" si="12"/>
        <v>0.10143130721858107</v>
      </c>
      <c r="AE66">
        <f t="shared" ca="1" si="13"/>
        <v>0.18552597542422761</v>
      </c>
      <c r="AG66">
        <f t="shared" ca="1" si="14"/>
        <v>4.0151272135977176E-2</v>
      </c>
      <c r="AI66">
        <f t="shared" ca="1" si="15"/>
        <v>7.2559636900286287E-2</v>
      </c>
      <c r="AK66">
        <f t="shared" ca="1" si="16"/>
        <v>39.670018202424288</v>
      </c>
      <c r="AL66" s="6">
        <f t="shared" si="17"/>
        <v>3.0000000000000001E-5</v>
      </c>
      <c r="AM66" s="6">
        <f t="shared" ca="1" si="18"/>
        <v>128779.94078883997</v>
      </c>
      <c r="AN66" s="6">
        <f t="shared" ca="1" si="19"/>
        <v>4.2957334457796236E-3</v>
      </c>
    </row>
    <row r="67" spans="1:40" x14ac:dyDescent="0.25">
      <c r="A67">
        <f t="shared" si="20"/>
        <v>28</v>
      </c>
      <c r="B67">
        <f t="shared" si="0"/>
        <v>1.1627925657815803</v>
      </c>
      <c r="C67">
        <f t="shared" ca="1" si="21"/>
        <v>8.8741132252029273E-2</v>
      </c>
      <c r="D67">
        <f t="shared" si="1"/>
        <v>2500</v>
      </c>
      <c r="E67">
        <f t="shared" ca="1" si="6"/>
        <v>1728.64394724827</v>
      </c>
      <c r="F67">
        <f t="shared" si="2"/>
        <v>550</v>
      </c>
      <c r="G67">
        <f t="shared" si="3"/>
        <v>5.2192977958184277E-7</v>
      </c>
      <c r="H67">
        <f t="shared" ca="1" si="7"/>
        <v>9.022307543627762E-4</v>
      </c>
      <c r="I67">
        <f t="shared" ca="1" si="4"/>
        <v>7.5202838751089227E-2</v>
      </c>
      <c r="J67">
        <f t="shared" ca="1" si="22"/>
        <v>6.5814404085022968E-2</v>
      </c>
      <c r="K67">
        <f t="shared" ca="1" si="23"/>
        <v>2.295851952364434E-2</v>
      </c>
      <c r="L67">
        <f t="shared" ca="1" si="24"/>
        <v>1.0424837486192964E-2</v>
      </c>
      <c r="M67">
        <f t="shared" ca="1" si="8"/>
        <v>9.9197761094860282E-2</v>
      </c>
      <c r="Q67">
        <f t="shared" si="25"/>
        <v>28</v>
      </c>
      <c r="R67" s="26">
        <f t="shared" si="34"/>
        <v>1.0187252170314125</v>
      </c>
      <c r="S67">
        <f t="shared" ca="1" si="26"/>
        <v>5.993730296382082E-2</v>
      </c>
      <c r="T67" s="23">
        <f t="shared" ca="1" si="27"/>
        <v>2499.9999997644941</v>
      </c>
      <c r="U67">
        <f t="shared" ca="1" si="9"/>
        <v>1745.1422443070444</v>
      </c>
      <c r="V67">
        <f t="shared" si="10"/>
        <v>550</v>
      </c>
      <c r="W67">
        <f t="shared" si="28"/>
        <v>5.2192977958184277E-7</v>
      </c>
      <c r="X67">
        <f t="shared" ca="1" si="29"/>
        <v>9.1084170691013808E-4</v>
      </c>
      <c r="Y67">
        <f t="shared" ca="1" si="30"/>
        <v>5.8273236101131415E-2</v>
      </c>
      <c r="Z67" s="6">
        <f t="shared" ca="1" si="11"/>
        <v>-2.2618510436811775E-4</v>
      </c>
      <c r="AA67">
        <f t="shared" ca="1" si="31"/>
        <v>6.789472058680375E-2</v>
      </c>
      <c r="AB67">
        <f t="shared" ca="1" si="32"/>
        <v>2.5038836025425119E-2</v>
      </c>
      <c r="AC67">
        <f t="shared" ca="1" si="33"/>
        <v>8.3445209844121866E-3</v>
      </c>
      <c r="AD67">
        <f t="shared" ca="1" si="12"/>
        <v>0.10127807759664105</v>
      </c>
      <c r="AE67">
        <f t="shared" ca="1" si="13"/>
        <v>0.1852457061879148</v>
      </c>
      <c r="AG67">
        <f t="shared" ca="1" si="14"/>
        <v>4.0090616659821852E-2</v>
      </c>
      <c r="AI67">
        <f t="shared" ca="1" si="15"/>
        <v>7.2669416686733421E-2</v>
      </c>
      <c r="AK67">
        <f t="shared" ca="1" si="16"/>
        <v>39.730037330181183</v>
      </c>
      <c r="AL67" s="6">
        <f t="shared" si="17"/>
        <v>3.0000000000000001E-5</v>
      </c>
      <c r="AM67" s="6">
        <f t="shared" ca="1" si="18"/>
        <v>128779.94078883999</v>
      </c>
      <c r="AN67" s="6">
        <f t="shared" ca="1" si="19"/>
        <v>4.2957334457796236E-3</v>
      </c>
    </row>
    <row r="68" spans="1:40" x14ac:dyDescent="0.25">
      <c r="A68">
        <f t="shared" si="20"/>
        <v>29</v>
      </c>
      <c r="B68">
        <f t="shared" si="0"/>
        <v>1.204320871702351</v>
      </c>
      <c r="C68">
        <f t="shared" ca="1" si="21"/>
        <v>9.1864178745794903E-2</v>
      </c>
      <c r="D68">
        <f t="shared" si="1"/>
        <v>2500</v>
      </c>
      <c r="E68">
        <f t="shared" ca="1" si="6"/>
        <v>1726.8116855420619</v>
      </c>
      <c r="F68">
        <f t="shared" si="2"/>
        <v>550</v>
      </c>
      <c r="G68">
        <f t="shared" si="3"/>
        <v>5.2192977958184277E-7</v>
      </c>
      <c r="H68">
        <f t="shared" ca="1" si="7"/>
        <v>9.0127444241431881E-4</v>
      </c>
      <c r="I68">
        <f t="shared" ca="1" si="4"/>
        <v>7.5123128130599057E-2</v>
      </c>
      <c r="J68">
        <f t="shared" ca="1" si="22"/>
        <v>6.5588846396432282E-2</v>
      </c>
      <c r="K68">
        <f t="shared" ca="1" si="23"/>
        <v>2.2732961835053647E-2</v>
      </c>
      <c r="L68">
        <f t="shared" ca="1" si="24"/>
        <v>1.0650395174783658E-2</v>
      </c>
      <c r="M68">
        <f t="shared" ca="1" si="8"/>
        <v>9.8972203406269582E-2</v>
      </c>
      <c r="Q68">
        <f t="shared" si="25"/>
        <v>29</v>
      </c>
      <c r="R68" s="26">
        <f t="shared" si="34"/>
        <v>1.05510826049682</v>
      </c>
      <c r="S68">
        <f t="shared" ca="1" si="26"/>
        <v>6.205746064575824E-2</v>
      </c>
      <c r="T68" s="23">
        <f t="shared" ca="1" si="27"/>
        <v>2499.999999756265</v>
      </c>
      <c r="U68">
        <f t="shared" ca="1" si="9"/>
        <v>1743.9519576637704</v>
      </c>
      <c r="V68">
        <f t="shared" si="10"/>
        <v>550</v>
      </c>
      <c r="W68">
        <f t="shared" si="28"/>
        <v>5.2192977958184277E-7</v>
      </c>
      <c r="X68">
        <f t="shared" ca="1" si="29"/>
        <v>9.1022046086477483E-4</v>
      </c>
      <c r="Y68">
        <f t="shared" ca="1" si="30"/>
        <v>5.8233490427208386E-2</v>
      </c>
      <c r="Z68" s="6">
        <f t="shared" ca="1" si="11"/>
        <v>-2.2584312815562512E-4</v>
      </c>
      <c r="AA68">
        <f t="shared" ca="1" si="31"/>
        <v>6.774159514754427E-2</v>
      </c>
      <c r="AB68">
        <f t="shared" ca="1" si="32"/>
        <v>2.4885710586165649E-2</v>
      </c>
      <c r="AC68">
        <f t="shared" ca="1" si="33"/>
        <v>8.4976464236716561E-3</v>
      </c>
      <c r="AD68">
        <f t="shared" ca="1" si="12"/>
        <v>0.10112495215738157</v>
      </c>
      <c r="AE68">
        <f t="shared" ca="1" si="13"/>
        <v>0.18496562751005652</v>
      </c>
      <c r="AG68">
        <f t="shared" ca="1" si="14"/>
        <v>4.0030002424060747E-2</v>
      </c>
      <c r="AI68">
        <f t="shared" ca="1" si="15"/>
        <v>7.2779454181075759E-2</v>
      </c>
      <c r="AK68">
        <f t="shared" ca="1" si="16"/>
        <v>39.790197352756685</v>
      </c>
      <c r="AL68" s="6">
        <f t="shared" si="17"/>
        <v>3.0000000000000001E-5</v>
      </c>
      <c r="AM68" s="6">
        <f t="shared" ca="1" si="18"/>
        <v>128779.94078883999</v>
      </c>
      <c r="AN68" s="6">
        <f t="shared" ca="1" si="19"/>
        <v>4.2957334457796236E-3</v>
      </c>
    </row>
    <row r="69" spans="1:40" x14ac:dyDescent="0.25">
      <c r="A69">
        <f t="shared" si="20"/>
        <v>30</v>
      </c>
      <c r="B69">
        <f t="shared" si="0"/>
        <v>1.2458491776231218</v>
      </c>
      <c r="C69">
        <f t="shared" ca="1" si="21"/>
        <v>9.4983914992527674E-2</v>
      </c>
      <c r="D69">
        <f t="shared" si="1"/>
        <v>2500</v>
      </c>
      <c r="E69">
        <f t="shared" ca="1" si="6"/>
        <v>1724.9726544640052</v>
      </c>
      <c r="F69">
        <f t="shared" si="2"/>
        <v>550</v>
      </c>
      <c r="G69">
        <f t="shared" si="3"/>
        <v>5.2192977958184277E-7</v>
      </c>
      <c r="H69">
        <f t="shared" ca="1" si="7"/>
        <v>9.0031459732910451E-4</v>
      </c>
      <c r="I69">
        <f t="shared" ca="1" si="4"/>
        <v>7.5043123015698723E-2</v>
      </c>
      <c r="J69">
        <f t="shared" ca="1" si="22"/>
        <v>6.5363527785828698E-2</v>
      </c>
      <c r="K69">
        <f t="shared" ca="1" si="23"/>
        <v>2.2507643224450067E-2</v>
      </c>
      <c r="L69">
        <f t="shared" ca="1" si="24"/>
        <v>1.0875713785387237E-2</v>
      </c>
      <c r="M69">
        <f t="shared" ca="1" si="8"/>
        <v>9.8746884795665998E-2</v>
      </c>
      <c r="Q69">
        <f t="shared" si="25"/>
        <v>30</v>
      </c>
      <c r="R69" s="26">
        <f t="shared" si="34"/>
        <v>1.0914913039622278</v>
      </c>
      <c r="S69">
        <f t="shared" ca="1" si="26"/>
        <v>6.4176172259113776E-2</v>
      </c>
      <c r="T69" s="23">
        <f t="shared" ca="1" si="27"/>
        <v>2499.9999997480481</v>
      </c>
      <c r="U69">
        <f t="shared" ca="1" si="9"/>
        <v>1742.7587270123265</v>
      </c>
      <c r="V69">
        <f t="shared" si="10"/>
        <v>550</v>
      </c>
      <c r="W69">
        <f t="shared" si="28"/>
        <v>5.2192977958184277E-7</v>
      </c>
      <c r="X69">
        <f t="shared" ca="1" si="29"/>
        <v>9.0959767825387651E-4</v>
      </c>
      <c r="Y69">
        <f t="shared" ca="1" si="30"/>
        <v>5.8193646447898664E-2</v>
      </c>
      <c r="Z69" s="6">
        <f t="shared" ca="1" si="11"/>
        <v>-2.2550138519043046E-4</v>
      </c>
      <c r="AA69">
        <f t="shared" ca="1" si="31"/>
        <v>6.7588574148576525E-2</v>
      </c>
      <c r="AB69">
        <f t="shared" ca="1" si="32"/>
        <v>2.4732689587197904E-2</v>
      </c>
      <c r="AC69">
        <f t="shared" ca="1" si="33"/>
        <v>8.6506674226394034E-3</v>
      </c>
      <c r="AD69">
        <f t="shared" ca="1" si="12"/>
        <v>0.10097193115841382</v>
      </c>
      <c r="AE69">
        <f t="shared" ca="1" si="13"/>
        <v>0.18468573986184433</v>
      </c>
      <c r="AG69">
        <f t="shared" ca="1" si="14"/>
        <v>3.9969429530668489E-2</v>
      </c>
      <c r="AI69">
        <f t="shared" ca="1" si="15"/>
        <v>7.2889750029192624E-2</v>
      </c>
      <c r="AK69">
        <f t="shared" ca="1" si="16"/>
        <v>39.850498623267832</v>
      </c>
      <c r="AL69" s="6">
        <f t="shared" si="17"/>
        <v>3.0000000000000001E-5</v>
      </c>
      <c r="AM69" s="6">
        <f t="shared" ca="1" si="18"/>
        <v>128779.94078883994</v>
      </c>
      <c r="AN69" s="6">
        <f t="shared" ca="1" si="19"/>
        <v>4.2957334457796236E-3</v>
      </c>
    </row>
    <row r="70" spans="1:40" x14ac:dyDescent="0.25">
      <c r="A70">
        <f t="shared" si="20"/>
        <v>31</v>
      </c>
      <c r="B70">
        <f t="shared" si="0"/>
        <v>1.2873774835438925</v>
      </c>
      <c r="C70">
        <f t="shared" ca="1" si="21"/>
        <v>9.8100328762373637E-2</v>
      </c>
      <c r="D70">
        <f t="shared" si="1"/>
        <v>2500</v>
      </c>
      <c r="E70">
        <f t="shared" ca="1" si="6"/>
        <v>1723.1268268139618</v>
      </c>
      <c r="F70">
        <f t="shared" si="2"/>
        <v>550</v>
      </c>
      <c r="G70">
        <f t="shared" si="3"/>
        <v>5.2192977958184277E-7</v>
      </c>
      <c r="H70">
        <f t="shared" ca="1" si="7"/>
        <v>8.9935120491057121E-4</v>
      </c>
      <c r="I70">
        <f t="shared" ca="1" si="4"/>
        <v>7.4962822223074835E-2</v>
      </c>
      <c r="J70">
        <f t="shared" ca="1" si="22"/>
        <v>6.5138449136496426E-2</v>
      </c>
      <c r="K70">
        <f t="shared" ca="1" si="23"/>
        <v>2.2282564575117791E-2</v>
      </c>
      <c r="L70">
        <f t="shared" ca="1" si="24"/>
        <v>1.1100792434719512E-2</v>
      </c>
      <c r="M70">
        <f t="shared" ca="1" si="8"/>
        <v>9.8521806146333726E-2</v>
      </c>
      <c r="Q70">
        <f t="shared" si="25"/>
        <v>31</v>
      </c>
      <c r="R70" s="26">
        <f t="shared" si="34"/>
        <v>1.1278743474276351</v>
      </c>
      <c r="S70">
        <f t="shared" ca="1" si="26"/>
        <v>6.6293434227238213E-2</v>
      </c>
      <c r="T70" s="23">
        <f t="shared" ca="1" si="27"/>
        <v>2499.9999997398436</v>
      </c>
      <c r="U70">
        <f t="shared" ca="1" si="9"/>
        <v>1741.5625442775538</v>
      </c>
      <c r="V70">
        <f t="shared" si="10"/>
        <v>550</v>
      </c>
      <c r="W70">
        <f t="shared" si="28"/>
        <v>5.2192977958184277E-7</v>
      </c>
      <c r="X70">
        <f t="shared" ca="1" si="29"/>
        <v>9.0897335486277695E-4</v>
      </c>
      <c r="Y70">
        <f t="shared" ca="1" si="30"/>
        <v>5.8153703893559096E-2</v>
      </c>
      <c r="Z70" s="6">
        <f t="shared" ca="1" si="11"/>
        <v>-2.251598760494387E-4</v>
      </c>
      <c r="AA70">
        <f t="shared" ca="1" si="31"/>
        <v>6.7435657848219019E-2</v>
      </c>
      <c r="AB70">
        <f t="shared" ca="1" si="32"/>
        <v>2.4579773286840391E-2</v>
      </c>
      <c r="AC70">
        <f t="shared" ca="1" si="33"/>
        <v>8.8035837229969126E-3</v>
      </c>
      <c r="AD70">
        <f t="shared" ca="1" si="12"/>
        <v>0.10081901485805633</v>
      </c>
      <c r="AE70">
        <f t="shared" ca="1" si="13"/>
        <v>0.18440604371576347</v>
      </c>
      <c r="AG70">
        <f t="shared" ca="1" si="14"/>
        <v>3.9908898081899673E-2</v>
      </c>
      <c r="AI70">
        <f t="shared" ca="1" si="15"/>
        <v>7.3000304877641989E-2</v>
      </c>
      <c r="AK70">
        <f t="shared" ca="1" si="16"/>
        <v>39.910941495202714</v>
      </c>
      <c r="AL70" s="6">
        <f t="shared" si="17"/>
        <v>3.0000000000000001E-5</v>
      </c>
      <c r="AM70" s="6">
        <f t="shared" ca="1" si="18"/>
        <v>128779.94078883997</v>
      </c>
      <c r="AN70" s="6">
        <f t="shared" ca="1" si="19"/>
        <v>4.2957334457796236E-3</v>
      </c>
    </row>
    <row r="71" spans="1:40" x14ac:dyDescent="0.25">
      <c r="A71">
        <f t="shared" si="20"/>
        <v>32</v>
      </c>
      <c r="B71">
        <f t="shared" si="0"/>
        <v>1.3289057894646632</v>
      </c>
      <c r="C71">
        <f t="shared" ca="1" si="21"/>
        <v>0.10121340777633783</v>
      </c>
      <c r="D71">
        <f t="shared" si="1"/>
        <v>2500</v>
      </c>
      <c r="E71">
        <f t="shared" ca="1" si="6"/>
        <v>1721.2741753340622</v>
      </c>
      <c r="F71">
        <f t="shared" si="2"/>
        <v>550</v>
      </c>
      <c r="G71">
        <f t="shared" si="3"/>
        <v>5.2192977958184277E-7</v>
      </c>
      <c r="H71">
        <f t="shared" ca="1" si="7"/>
        <v>8.9838425093202528E-4</v>
      </c>
      <c r="I71">
        <f t="shared" ca="1" si="4"/>
        <v>7.4882224566902411E-2</v>
      </c>
      <c r="J71">
        <f t="shared" ca="1" si="22"/>
        <v>6.4913611335268781E-2</v>
      </c>
      <c r="K71">
        <f t="shared" ca="1" si="23"/>
        <v>2.205772677389015E-2</v>
      </c>
      <c r="L71">
        <f t="shared" ca="1" si="24"/>
        <v>1.1325630235947154E-2</v>
      </c>
      <c r="M71">
        <f t="shared" ca="1" si="8"/>
        <v>9.8296968345106081E-2</v>
      </c>
      <c r="Q71">
        <f t="shared" si="25"/>
        <v>32</v>
      </c>
      <c r="R71" s="26">
        <f t="shared" si="34"/>
        <v>1.1642573908930429</v>
      </c>
      <c r="S71">
        <f t="shared" ca="1" si="26"/>
        <v>6.8409242963672026E-2</v>
      </c>
      <c r="T71" s="23">
        <f t="shared" ca="1" si="27"/>
        <v>2499.9999997316518</v>
      </c>
      <c r="U71">
        <f t="shared" ca="1" si="9"/>
        <v>1740.3634013707003</v>
      </c>
      <c r="V71">
        <f t="shared" si="10"/>
        <v>550</v>
      </c>
      <c r="W71">
        <f t="shared" si="28"/>
        <v>5.2192977958184277E-7</v>
      </c>
      <c r="X71">
        <f t="shared" ca="1" si="29"/>
        <v>9.0834748646971574E-4</v>
      </c>
      <c r="Y71">
        <f t="shared" ca="1" si="30"/>
        <v>5.8113662494092652E-2</v>
      </c>
      <c r="Z71" s="6">
        <f t="shared" ca="1" si="11"/>
        <v>-2.248186013111366E-4</v>
      </c>
      <c r="AA71">
        <f t="shared" ca="1" si="31"/>
        <v>6.7282846505498803E-2</v>
      </c>
      <c r="AB71">
        <f t="shared" ca="1" si="32"/>
        <v>2.4426961944120168E-2</v>
      </c>
      <c r="AC71">
        <f t="shared" ca="1" si="33"/>
        <v>8.9563950657171355E-3</v>
      </c>
      <c r="AD71">
        <f t="shared" ca="1" si="12"/>
        <v>0.1006662035153361</v>
      </c>
      <c r="AE71">
        <f t="shared" ca="1" si="13"/>
        <v>0.18412653954559496</v>
      </c>
      <c r="AG71">
        <f t="shared" ca="1" si="14"/>
        <v>3.984840818028932E-2</v>
      </c>
      <c r="AI71">
        <f t="shared" ca="1" si="15"/>
        <v>7.3111119373647504E-2</v>
      </c>
      <c r="AK71">
        <f t="shared" ca="1" si="16"/>
        <v>39.971526322413354</v>
      </c>
      <c r="AL71" s="6">
        <f t="shared" si="17"/>
        <v>3.0000000000000001E-5</v>
      </c>
      <c r="AM71" s="6">
        <f t="shared" ca="1" si="18"/>
        <v>128779.94078884002</v>
      </c>
      <c r="AN71" s="6">
        <f t="shared" ca="1" si="19"/>
        <v>4.2957334457796236E-3</v>
      </c>
    </row>
    <row r="72" spans="1:40" x14ac:dyDescent="0.25">
      <c r="A72">
        <f t="shared" si="20"/>
        <v>33</v>
      </c>
      <c r="B72">
        <f t="shared" si="0"/>
        <v>1.3704340953854339</v>
      </c>
      <c r="C72">
        <f t="shared" ca="1" si="21"/>
        <v>0.10432313970618001</v>
      </c>
      <c r="D72">
        <f t="shared" si="1"/>
        <v>2500</v>
      </c>
      <c r="E72">
        <f t="shared" ca="1" si="6"/>
        <v>1719.4146727097666</v>
      </c>
      <c r="F72">
        <f t="shared" si="2"/>
        <v>550</v>
      </c>
      <c r="G72">
        <f t="shared" si="3"/>
        <v>5.2192977958184277E-7</v>
      </c>
      <c r="H72">
        <f t="shared" ca="1" si="7"/>
        <v>8.9741372113719478E-4</v>
      </c>
      <c r="I72">
        <f t="shared" ca="1" si="4"/>
        <v>7.4801328858891097E-2</v>
      </c>
      <c r="J72">
        <f t="shared" ca="1" si="22"/>
        <v>6.4689015272535774E-2</v>
      </c>
      <c r="K72">
        <f t="shared" ca="1" si="23"/>
        <v>2.1833130711157143E-2</v>
      </c>
      <c r="L72">
        <f t="shared" ca="1" si="24"/>
        <v>1.1550226298680161E-2</v>
      </c>
      <c r="M72">
        <f t="shared" ca="1" si="8"/>
        <v>9.8072372282373074E-2</v>
      </c>
      <c r="Q72">
        <f t="shared" si="25"/>
        <v>33</v>
      </c>
      <c r="R72" s="26">
        <f t="shared" si="34"/>
        <v>1.2006404343584505</v>
      </c>
      <c r="S72">
        <f t="shared" ca="1" si="26"/>
        <v>7.0523594872128628E-2</v>
      </c>
      <c r="T72" s="23">
        <f t="shared" ca="1" si="27"/>
        <v>2499.9999997234722</v>
      </c>
      <c r="U72">
        <f t="shared" ca="1" si="9"/>
        <v>1739.1612901895323</v>
      </c>
      <c r="V72">
        <f t="shared" si="10"/>
        <v>550</v>
      </c>
      <c r="W72">
        <f t="shared" si="28"/>
        <v>5.2192977958184277E-7</v>
      </c>
      <c r="X72">
        <f t="shared" ca="1" si="29"/>
        <v>9.0772006884589588E-4</v>
      </c>
      <c r="Y72">
        <f t="shared" ca="1" si="30"/>
        <v>5.8073521978952103E-2</v>
      </c>
      <c r="Z72" s="6">
        <f t="shared" ca="1" si="11"/>
        <v>-2.2447756155559624E-4</v>
      </c>
      <c r="AA72">
        <f t="shared" ca="1" si="31"/>
        <v>6.713014038015265E-2</v>
      </c>
      <c r="AB72">
        <f t="shared" ca="1" si="32"/>
        <v>2.4274255818774029E-2</v>
      </c>
      <c r="AC72">
        <f t="shared" ca="1" si="33"/>
        <v>9.1091011910632742E-3</v>
      </c>
      <c r="AD72">
        <f t="shared" ca="1" si="12"/>
        <v>0.10051349738998995</v>
      </c>
      <c r="AE72">
        <f t="shared" ca="1" si="13"/>
        <v>0.18384722782641838</v>
      </c>
      <c r="AG72">
        <f t="shared" ca="1" si="14"/>
        <v>3.9787959928653492E-2</v>
      </c>
      <c r="AI72">
        <f t="shared" ca="1" si="15"/>
        <v>7.32221941650852E-2</v>
      </c>
      <c r="AK72">
        <f t="shared" ca="1" si="16"/>
        <v>40.032253459108404</v>
      </c>
      <c r="AL72" s="6">
        <f t="shared" si="17"/>
        <v>3.0000000000000001E-5</v>
      </c>
      <c r="AM72" s="6">
        <f t="shared" ca="1" si="18"/>
        <v>128779.94078883996</v>
      </c>
      <c r="AN72" s="6">
        <f t="shared" ca="1" si="19"/>
        <v>4.2957334457796236E-3</v>
      </c>
    </row>
    <row r="73" spans="1:40" x14ac:dyDescent="0.25">
      <c r="A73">
        <f t="shared" si="20"/>
        <v>34</v>
      </c>
      <c r="B73">
        <f t="shared" si="0"/>
        <v>1.4119624013062044</v>
      </c>
      <c r="C73">
        <f t="shared" ca="1" si="21"/>
        <v>0.10742951217431219</v>
      </c>
      <c r="D73">
        <f t="shared" si="1"/>
        <v>2500</v>
      </c>
      <c r="E73">
        <f t="shared" ca="1" si="6"/>
        <v>1717.5482915709495</v>
      </c>
      <c r="F73">
        <f t="shared" si="2"/>
        <v>550</v>
      </c>
      <c r="G73">
        <f t="shared" si="3"/>
        <v>5.2192977958184277E-7</v>
      </c>
      <c r="H73">
        <f t="shared" ca="1" si="7"/>
        <v>8.9643960124079626E-4</v>
      </c>
      <c r="I73">
        <f t="shared" ca="1" si="4"/>
        <v>7.4720133908332334E-2</v>
      </c>
      <c r="J73">
        <f t="shared" ca="1" si="22"/>
        <v>6.4464661842251469E-2</v>
      </c>
      <c r="K73">
        <f t="shared" ca="1" si="23"/>
        <v>2.1608777280872848E-2</v>
      </c>
      <c r="L73">
        <f t="shared" ca="1" si="24"/>
        <v>1.1774579728964459E-2</v>
      </c>
      <c r="M73">
        <f t="shared" ca="1" si="8"/>
        <v>9.7848018852088769E-2</v>
      </c>
      <c r="Q73">
        <f t="shared" si="25"/>
        <v>34</v>
      </c>
      <c r="R73" s="26">
        <f t="shared" si="34"/>
        <v>1.237023477823858</v>
      </c>
      <c r="S73">
        <f t="shared" ca="1" si="26"/>
        <v>7.2636486346478138E-2</v>
      </c>
      <c r="T73" s="23">
        <f t="shared" ca="1" si="27"/>
        <v>2499.999999715305</v>
      </c>
      <c r="U73">
        <f t="shared" ca="1" si="9"/>
        <v>1737.9562026184515</v>
      </c>
      <c r="V73">
        <f t="shared" si="10"/>
        <v>550</v>
      </c>
      <c r="W73">
        <f t="shared" si="28"/>
        <v>5.2192977958184277E-7</v>
      </c>
      <c r="X73">
        <f t="shared" ca="1" si="29"/>
        <v>9.0709109775554482E-4</v>
      </c>
      <c r="Y73">
        <f t="shared" ca="1" si="30"/>
        <v>5.8033282077143977E-2</v>
      </c>
      <c r="Z73" s="6">
        <f t="shared" ca="1" si="11"/>
        <v>-2.2413675736447799E-4</v>
      </c>
      <c r="AA73">
        <f t="shared" ca="1" si="31"/>
        <v>6.6977539732628322E-2</v>
      </c>
      <c r="AB73">
        <f t="shared" ca="1" si="32"/>
        <v>2.412165517124969E-2</v>
      </c>
      <c r="AC73">
        <f t="shared" ca="1" si="33"/>
        <v>9.2617018385876149E-3</v>
      </c>
      <c r="AD73">
        <f t="shared" ca="1" si="12"/>
        <v>0.10036089674246562</v>
      </c>
      <c r="AE73">
        <f t="shared" ca="1" si="13"/>
        <v>0.18356810903461337</v>
      </c>
      <c r="AG73">
        <f t="shared" ca="1" si="14"/>
        <v>3.9727553430089602E-2</v>
      </c>
      <c r="AI73">
        <f t="shared" ca="1" si="15"/>
        <v>7.3333529900470457E-2</v>
      </c>
      <c r="AK73">
        <f t="shared" ca="1" si="16"/>
        <v>40.093123259846145</v>
      </c>
      <c r="AL73" s="6">
        <f t="shared" si="17"/>
        <v>3.0000000000000001E-5</v>
      </c>
      <c r="AM73" s="6">
        <f t="shared" ca="1" si="18"/>
        <v>128779.94078884</v>
      </c>
      <c r="AN73" s="6">
        <f t="shared" ca="1" si="19"/>
        <v>4.2957334457796236E-3</v>
      </c>
    </row>
    <row r="74" spans="1:40" x14ac:dyDescent="0.25">
      <c r="A74">
        <f t="shared" si="20"/>
        <v>35</v>
      </c>
      <c r="B74">
        <f t="shared" si="0"/>
        <v>1.4534907072269754</v>
      </c>
      <c r="C74">
        <f t="shared" ca="1" si="21"/>
        <v>0.11053251275369839</v>
      </c>
      <c r="D74">
        <f t="shared" si="1"/>
        <v>2500</v>
      </c>
      <c r="E74">
        <f t="shared" ca="1" si="6"/>
        <v>1715.6750044930102</v>
      </c>
      <c r="F74">
        <f t="shared" si="2"/>
        <v>550</v>
      </c>
      <c r="G74">
        <f t="shared" si="3"/>
        <v>5.2192977958184277E-7</v>
      </c>
      <c r="H74">
        <f t="shared" ca="1" si="7"/>
        <v>8.9546187692911392E-4</v>
      </c>
      <c r="I74">
        <f t="shared" ca="1" si="4"/>
        <v>7.4638638522147666E-2</v>
      </c>
      <c r="J74">
        <f t="shared" ca="1" si="22"/>
        <v>6.4240551941941282E-2</v>
      </c>
      <c r="K74">
        <f t="shared" ca="1" si="23"/>
        <v>2.1384667380562647E-2</v>
      </c>
      <c r="L74">
        <f t="shared" ca="1" si="24"/>
        <v>1.1998689629274657E-2</v>
      </c>
      <c r="M74">
        <f t="shared" ca="1" si="8"/>
        <v>9.7623908951778582E-2</v>
      </c>
      <c r="Q74">
        <f t="shared" si="25"/>
        <v>35</v>
      </c>
      <c r="R74" s="26">
        <f t="shared" si="34"/>
        <v>1.2734065212892656</v>
      </c>
      <c r="S74">
        <f t="shared" ca="1" si="26"/>
        <v>7.4747913770731131E-2</v>
      </c>
      <c r="T74" s="23">
        <f t="shared" ca="1" si="27"/>
        <v>2499.99999970715</v>
      </c>
      <c r="U74">
        <f t="shared" ca="1" si="9"/>
        <v>1736.7481305286096</v>
      </c>
      <c r="V74">
        <f t="shared" si="10"/>
        <v>550</v>
      </c>
      <c r="W74">
        <f t="shared" si="28"/>
        <v>5.2192977958184277E-7</v>
      </c>
      <c r="X74">
        <f t="shared" ca="1" si="29"/>
        <v>9.0646056895597477E-4</v>
      </c>
      <c r="Y74">
        <f t="shared" ca="1" si="30"/>
        <v>5.7992942517232346E-2</v>
      </c>
      <c r="Z74" s="6">
        <f t="shared" ca="1" si="11"/>
        <v>-2.2379618932103174E-4</v>
      </c>
      <c r="AA74">
        <f t="shared" ca="1" si="31"/>
        <v>6.6825044824085578E-2</v>
      </c>
      <c r="AB74">
        <f t="shared" ca="1" si="32"/>
        <v>2.396916026270695E-2</v>
      </c>
      <c r="AC74">
        <f t="shared" ca="1" si="33"/>
        <v>9.4141967471303538E-3</v>
      </c>
      <c r="AD74">
        <f t="shared" ca="1" si="12"/>
        <v>0.10020840183392289</v>
      </c>
      <c r="AE74">
        <f t="shared" ca="1" si="13"/>
        <v>0.18328918364786217</v>
      </c>
      <c r="AG74">
        <f t="shared" ca="1" si="14"/>
        <v>3.9667188787976967E-2</v>
      </c>
      <c r="AI74">
        <f t="shared" ca="1" si="15"/>
        <v>7.3445127228944168E-2</v>
      </c>
      <c r="AK74">
        <f t="shared" ca="1" si="16"/>
        <v>40.154136079526765</v>
      </c>
      <c r="AL74" s="6">
        <f t="shared" si="17"/>
        <v>3.0000000000000001E-5</v>
      </c>
      <c r="AM74" s="6">
        <f t="shared" ca="1" si="18"/>
        <v>128779.94078883997</v>
      </c>
      <c r="AN74" s="6">
        <f t="shared" ca="1" si="19"/>
        <v>4.2957334457796236E-3</v>
      </c>
    </row>
    <row r="75" spans="1:40" x14ac:dyDescent="0.25">
      <c r="A75">
        <f t="shared" si="20"/>
        <v>36</v>
      </c>
      <c r="B75">
        <f t="shared" si="0"/>
        <v>1.4950190131477461</v>
      </c>
      <c r="C75">
        <f t="shared" ca="1" si="21"/>
        <v>0.11363212896775597</v>
      </c>
      <c r="D75">
        <f t="shared" si="1"/>
        <v>2500</v>
      </c>
      <c r="E75">
        <f t="shared" ca="1" si="6"/>
        <v>1713.7947839980141</v>
      </c>
      <c r="F75">
        <f t="shared" si="2"/>
        <v>550</v>
      </c>
      <c r="G75">
        <f t="shared" si="3"/>
        <v>5.2192977958184277E-7</v>
      </c>
      <c r="H75">
        <f t="shared" ca="1" si="7"/>
        <v>8.9448053386059529E-4</v>
      </c>
      <c r="I75">
        <f t="shared" ca="1" si="4"/>
        <v>7.4556841504938437E-2</v>
      </c>
      <c r="J75">
        <f t="shared" ca="1" si="22"/>
        <v>6.4016686472709E-2</v>
      </c>
      <c r="K75">
        <f t="shared" ca="1" si="23"/>
        <v>2.1160801911330365E-2</v>
      </c>
      <c r="L75">
        <f t="shared" ca="1" si="24"/>
        <v>1.2222555098506938E-2</v>
      </c>
      <c r="M75">
        <f t="shared" ca="1" si="8"/>
        <v>9.74000434825463E-2</v>
      </c>
      <c r="Q75">
        <f t="shared" si="25"/>
        <v>36</v>
      </c>
      <c r="R75" s="26">
        <f t="shared" si="34"/>
        <v>1.3097895647546733</v>
      </c>
      <c r="S75">
        <f t="shared" ca="1" si="26"/>
        <v>7.6857873519022485E-2</v>
      </c>
      <c r="T75" s="23">
        <f t="shared" ca="1" si="27"/>
        <v>2499.9999996990077</v>
      </c>
      <c r="U75">
        <f t="shared" ca="1" si="9"/>
        <v>1735.5370657780304</v>
      </c>
      <c r="V75">
        <f t="shared" si="10"/>
        <v>550</v>
      </c>
      <c r="W75">
        <f t="shared" si="28"/>
        <v>5.2192977958184277E-7</v>
      </c>
      <c r="X75">
        <f t="shared" ca="1" si="29"/>
        <v>9.0582847819764556E-4</v>
      </c>
      <c r="Y75">
        <f t="shared" ca="1" si="30"/>
        <v>5.7952503027342915E-2</v>
      </c>
      <c r="Z75" s="6">
        <f t="shared" ca="1" si="11"/>
        <v>-2.2345585801010058E-4</v>
      </c>
      <c r="AA75">
        <f t="shared" ca="1" si="31"/>
        <v>6.6672655916397511E-2</v>
      </c>
      <c r="AB75">
        <f t="shared" ca="1" si="32"/>
        <v>2.3816771355018883E-2</v>
      </c>
      <c r="AC75">
        <f t="shared" ca="1" si="33"/>
        <v>9.5665856548184224E-3</v>
      </c>
      <c r="AD75">
        <f t="shared" ca="1" si="12"/>
        <v>0.10005601292623482</v>
      </c>
      <c r="AE75">
        <f t="shared" ca="1" si="13"/>
        <v>0.18301045214515149</v>
      </c>
      <c r="AG75">
        <f t="shared" ca="1" si="14"/>
        <v>3.9606866105977231E-2</v>
      </c>
      <c r="AI75">
        <f t="shared" ca="1" si="15"/>
        <v>7.3556986800259308E-2</v>
      </c>
      <c r="AK75">
        <f t="shared" ca="1" si="16"/>
        <v>40.215292273385131</v>
      </c>
      <c r="AL75" s="6">
        <f t="shared" si="17"/>
        <v>3.0000000000000001E-5</v>
      </c>
      <c r="AM75" s="6">
        <f t="shared" ca="1" si="18"/>
        <v>128779.94078883997</v>
      </c>
      <c r="AN75" s="6">
        <f t="shared" ca="1" si="19"/>
        <v>4.2957334457796236E-3</v>
      </c>
    </row>
    <row r="76" spans="1:40" x14ac:dyDescent="0.25">
      <c r="A76">
        <f t="shared" si="20"/>
        <v>37</v>
      </c>
      <c r="B76">
        <f t="shared" si="0"/>
        <v>1.5365473190685168</v>
      </c>
      <c r="C76">
        <f t="shared" ca="1" si="21"/>
        <v>0.11672834829025946</v>
      </c>
      <c r="D76">
        <f t="shared" si="1"/>
        <v>2500</v>
      </c>
      <c r="E76">
        <f t="shared" ca="1" si="6"/>
        <v>1711.9076025558554</v>
      </c>
      <c r="F76">
        <f t="shared" si="2"/>
        <v>550</v>
      </c>
      <c r="G76">
        <f t="shared" si="3"/>
        <v>5.2192977958184277E-7</v>
      </c>
      <c r="H76">
        <f t="shared" ca="1" si="7"/>
        <v>8.9349555766645849E-4</v>
      </c>
      <c r="I76">
        <f t="shared" ca="1" si="4"/>
        <v>7.4474741659036336E-2</v>
      </c>
      <c r="J76">
        <f t="shared" ca="1" si="22"/>
        <v>6.3793066339243851E-2</v>
      </c>
      <c r="K76">
        <f t="shared" ca="1" si="23"/>
        <v>2.0937181777865219E-2</v>
      </c>
      <c r="L76">
        <f t="shared" ca="1" si="24"/>
        <v>1.2446175231972084E-2</v>
      </c>
      <c r="M76">
        <f t="shared" ca="1" si="8"/>
        <v>9.7176423349081151E-2</v>
      </c>
      <c r="Q76">
        <f t="shared" si="25"/>
        <v>37</v>
      </c>
      <c r="R76" s="26">
        <f t="shared" si="34"/>
        <v>1.3461726082200809</v>
      </c>
      <c r="S76">
        <f t="shared" ca="1" si="26"/>
        <v>7.8966361955595463E-2</v>
      </c>
      <c r="T76" s="23">
        <f t="shared" ca="1" si="27"/>
        <v>2499.9999996908778</v>
      </c>
      <c r="U76">
        <f t="shared" ca="1" si="9"/>
        <v>1734.3230002117282</v>
      </c>
      <c r="V76">
        <f t="shared" si="10"/>
        <v>550</v>
      </c>
      <c r="W76">
        <f t="shared" si="28"/>
        <v>5.2192977958184277E-7</v>
      </c>
      <c r="X76">
        <f t="shared" ca="1" si="29"/>
        <v>9.0519482122422752E-4</v>
      </c>
      <c r="Y76">
        <f t="shared" ca="1" si="30"/>
        <v>5.7911963335167009E-2</v>
      </c>
      <c r="Z76" s="6">
        <f t="shared" ca="1" si="11"/>
        <v>-2.231157640181232E-4</v>
      </c>
      <c r="AA76">
        <f t="shared" ca="1" si="31"/>
        <v>6.6520373272151587E-2</v>
      </c>
      <c r="AB76">
        <f t="shared" ca="1" si="32"/>
        <v>2.3664488710772952E-2</v>
      </c>
      <c r="AC76">
        <f t="shared" ca="1" si="33"/>
        <v>9.7188682990643517E-3</v>
      </c>
      <c r="AD76">
        <f t="shared" ca="1" si="12"/>
        <v>9.9903730281988887E-2</v>
      </c>
      <c r="AE76">
        <f t="shared" ca="1" si="13"/>
        <v>0.18273191500677485</v>
      </c>
      <c r="AG76">
        <f t="shared" ca="1" si="14"/>
        <v>3.9546585488034844E-2</v>
      </c>
      <c r="AI76">
        <f t="shared" ca="1" si="15"/>
        <v>7.3669109264766788E-2</v>
      </c>
      <c r="AK76">
        <f t="shared" ca="1" si="16"/>
        <v>40.27659219698301</v>
      </c>
      <c r="AL76" s="6">
        <f t="shared" si="17"/>
        <v>3.0000000000000001E-5</v>
      </c>
      <c r="AM76" s="6">
        <f t="shared" ca="1" si="18"/>
        <v>128779.94078883999</v>
      </c>
      <c r="AN76" s="6">
        <f t="shared" ca="1" si="19"/>
        <v>4.2957334457796236E-3</v>
      </c>
    </row>
    <row r="77" spans="1:40" x14ac:dyDescent="0.25">
      <c r="A77">
        <f t="shared" si="20"/>
        <v>38</v>
      </c>
      <c r="B77">
        <f t="shared" si="0"/>
        <v>1.5780756249892876</v>
      </c>
      <c r="C77">
        <f t="shared" ca="1" si="21"/>
        <v>0.1198211581452463</v>
      </c>
      <c r="D77">
        <f t="shared" si="1"/>
        <v>2500</v>
      </c>
      <c r="E77">
        <f t="shared" ca="1" si="6"/>
        <v>1710.0134325854538</v>
      </c>
      <c r="F77">
        <f t="shared" si="2"/>
        <v>550</v>
      </c>
      <c r="G77">
        <f t="shared" si="3"/>
        <v>5.2192977958184277E-7</v>
      </c>
      <c r="H77">
        <f t="shared" ca="1" si="7"/>
        <v>8.9250693395131618E-4</v>
      </c>
      <c r="I77">
        <f t="shared" ca="1" si="4"/>
        <v>7.439233778455541E-2</v>
      </c>
      <c r="J77">
        <f t="shared" ca="1" si="22"/>
        <v>6.3569692449827228E-2</v>
      </c>
      <c r="K77">
        <f t="shared" ca="1" si="23"/>
        <v>2.0713807888448607E-2</v>
      </c>
      <c r="L77">
        <f t="shared" ca="1" si="24"/>
        <v>1.26695491213887E-2</v>
      </c>
      <c r="M77">
        <f t="shared" ca="1" si="8"/>
        <v>9.6953049459664542E-2</v>
      </c>
      <c r="Q77">
        <f t="shared" si="25"/>
        <v>38</v>
      </c>
      <c r="R77" s="26">
        <f t="shared" si="34"/>
        <v>1.3825556516854882</v>
      </c>
      <c r="S77">
        <f t="shared" ca="1" si="26"/>
        <v>8.1073375434785919E-2</v>
      </c>
      <c r="T77" s="23">
        <f t="shared" ca="1" si="27"/>
        <v>2499.9999996827601</v>
      </c>
      <c r="U77">
        <f t="shared" ca="1" si="9"/>
        <v>1733.105925661833</v>
      </c>
      <c r="V77">
        <f t="shared" si="10"/>
        <v>550</v>
      </c>
      <c r="W77">
        <f t="shared" si="28"/>
        <v>5.2192977958184277E-7</v>
      </c>
      <c r="X77">
        <f t="shared" ca="1" si="29"/>
        <v>9.0455959377266611E-4</v>
      </c>
      <c r="Y77">
        <f t="shared" ca="1" si="30"/>
        <v>5.7871323167965692E-2</v>
      </c>
      <c r="Z77" s="6">
        <f t="shared" ca="1" si="11"/>
        <v>-2.2277590793313629E-4</v>
      </c>
      <c r="AA77">
        <f t="shared" ca="1" si="31"/>
        <v>6.6368197154650824E-2</v>
      </c>
      <c r="AB77">
        <f t="shared" ca="1" si="32"/>
        <v>2.3512312593272185E-2</v>
      </c>
      <c r="AC77">
        <f t="shared" ca="1" si="33"/>
        <v>9.8710444165651182E-3</v>
      </c>
      <c r="AD77">
        <f t="shared" ca="1" si="12"/>
        <v>9.9751554164488138E-2</v>
      </c>
      <c r="AE77">
        <f t="shared" ca="1" si="13"/>
        <v>0.1824535727143346</v>
      </c>
      <c r="AG77">
        <f t="shared" ca="1" si="14"/>
        <v>3.9486347038377508E-2</v>
      </c>
      <c r="AI77">
        <f t="shared" ca="1" si="15"/>
        <v>7.3781495273401443E-2</v>
      </c>
      <c r="AK77">
        <f t="shared" ca="1" si="16"/>
        <v>40.338036206201409</v>
      </c>
      <c r="AL77" s="6">
        <f t="shared" si="17"/>
        <v>3.0000000000000001E-5</v>
      </c>
      <c r="AM77" s="6">
        <f t="shared" ca="1" si="18"/>
        <v>128779.94078883997</v>
      </c>
      <c r="AN77" s="6">
        <f t="shared" ca="1" si="19"/>
        <v>4.2957334457796236E-3</v>
      </c>
    </row>
    <row r="78" spans="1:40" x14ac:dyDescent="0.25">
      <c r="A78">
        <f t="shared" si="20"/>
        <v>39</v>
      </c>
      <c r="B78">
        <f t="shared" si="0"/>
        <v>1.6196039309100585</v>
      </c>
      <c r="C78">
        <f t="shared" ca="1" si="21"/>
        <v>0.12291054590692464</v>
      </c>
      <c r="D78">
        <f t="shared" si="1"/>
        <v>2500</v>
      </c>
      <c r="E78">
        <f t="shared" ca="1" si="6"/>
        <v>1708.1122464559751</v>
      </c>
      <c r="F78">
        <f t="shared" si="2"/>
        <v>550</v>
      </c>
      <c r="G78">
        <f t="shared" si="3"/>
        <v>5.2192977958184277E-7</v>
      </c>
      <c r="H78">
        <f t="shared" ca="1" si="7"/>
        <v>8.9151464829381332E-4</v>
      </c>
      <c r="I78">
        <f t="shared" ca="1" si="4"/>
        <v>7.4309628679445239E-2</v>
      </c>
      <c r="J78">
        <f t="shared" ca="1" si="22"/>
        <v>6.3346565716339398E-2</v>
      </c>
      <c r="K78">
        <f t="shared" ca="1" si="23"/>
        <v>2.0490681154960777E-2</v>
      </c>
      <c r="L78">
        <f t="shared" ca="1" si="24"/>
        <v>1.289267585487653E-2</v>
      </c>
      <c r="M78">
        <f t="shared" ca="1" si="8"/>
        <v>9.6729922726176698E-2</v>
      </c>
      <c r="Q78">
        <f t="shared" si="25"/>
        <v>39</v>
      </c>
      <c r="R78" s="26">
        <f t="shared" si="34"/>
        <v>1.418938695150896</v>
      </c>
      <c r="S78">
        <f t="shared" ca="1" si="26"/>
        <v>8.3178910301006673E-2</v>
      </c>
      <c r="T78" s="23">
        <f t="shared" ca="1" si="27"/>
        <v>2499.9999996746546</v>
      </c>
      <c r="U78">
        <f t="shared" ca="1" si="9"/>
        <v>1731.8858339477149</v>
      </c>
      <c r="V78">
        <f t="shared" si="10"/>
        <v>550</v>
      </c>
      <c r="W78">
        <f t="shared" si="28"/>
        <v>5.2192977958184277E-7</v>
      </c>
      <c r="X78">
        <f t="shared" ca="1" si="29"/>
        <v>9.0392279157324677E-4</v>
      </c>
      <c r="Y78">
        <f t="shared" ca="1" si="30"/>
        <v>5.7830582252573967E-2</v>
      </c>
      <c r="Z78" s="6">
        <f t="shared" ca="1" si="11"/>
        <v>-2.2243629034477688E-4</v>
      </c>
      <c r="AA78">
        <f t="shared" ca="1" si="31"/>
        <v>6.6216127827914903E-2</v>
      </c>
      <c r="AB78">
        <f t="shared" ca="1" si="32"/>
        <v>2.3360243266536282E-2</v>
      </c>
      <c r="AC78">
        <f t="shared" ca="1" si="33"/>
        <v>1.0023113743301023E-2</v>
      </c>
      <c r="AD78">
        <f t="shared" ca="1" si="12"/>
        <v>9.9599484837752203E-2</v>
      </c>
      <c r="AE78">
        <f t="shared" ca="1" si="13"/>
        <v>0.18217542575074377</v>
      </c>
      <c r="AG78">
        <f t="shared" ca="1" si="14"/>
        <v>3.9426150861516594E-2</v>
      </c>
      <c r="AI78">
        <f t="shared" ca="1" si="15"/>
        <v>7.3894145477667803E-2</v>
      </c>
      <c r="AK78">
        <f t="shared" ca="1" si="16"/>
        <v>40.399624657232785</v>
      </c>
      <c r="AL78" s="6">
        <f t="shared" si="17"/>
        <v>3.0000000000000001E-5</v>
      </c>
      <c r="AM78" s="6">
        <f t="shared" ca="1" si="18"/>
        <v>128779.94078883996</v>
      </c>
      <c r="AN78" s="6">
        <f t="shared" ca="1" si="19"/>
        <v>4.2957334457796236E-3</v>
      </c>
    </row>
    <row r="79" spans="1:40" x14ac:dyDescent="0.25">
      <c r="A79">
        <f t="shared" si="20"/>
        <v>40</v>
      </c>
      <c r="B79">
        <f t="shared" si="0"/>
        <v>1.661132236830829</v>
      </c>
      <c r="C79">
        <f t="shared" ca="1" si="21"/>
        <v>0.1259964988995835</v>
      </c>
      <c r="D79">
        <f t="shared" si="1"/>
        <v>2500</v>
      </c>
      <c r="E79">
        <f t="shared" ca="1" si="6"/>
        <v>1706.2040164880818</v>
      </c>
      <c r="F79">
        <f t="shared" si="2"/>
        <v>550</v>
      </c>
      <c r="G79">
        <f t="shared" si="3"/>
        <v>5.2192977958184277E-7</v>
      </c>
      <c r="H79">
        <f t="shared" ca="1" si="7"/>
        <v>8.9051868624727935E-4</v>
      </c>
      <c r="I79">
        <f t="shared" ca="1" si="4"/>
        <v>7.4226613139545372E-2</v>
      </c>
      <c r="J79">
        <f t="shared" ca="1" si="22"/>
        <v>6.3123687054265951E-2</v>
      </c>
      <c r="K79">
        <f t="shared" ca="1" si="23"/>
        <v>2.0267802492887323E-2</v>
      </c>
      <c r="L79">
        <f t="shared" ca="1" si="24"/>
        <v>1.3115554516949981E-2</v>
      </c>
      <c r="M79">
        <f t="shared" ca="1" si="8"/>
        <v>9.6507044064103265E-2</v>
      </c>
      <c r="Q79">
        <f t="shared" si="25"/>
        <v>40</v>
      </c>
      <c r="R79" s="26">
        <f t="shared" si="34"/>
        <v>1.4553217386163035</v>
      </c>
      <c r="S79">
        <f t="shared" ca="1" si="26"/>
        <v>8.5282962888731897E-2</v>
      </c>
      <c r="T79" s="23">
        <f t="shared" ca="1" si="27"/>
        <v>2499.999999666562</v>
      </c>
      <c r="U79">
        <f t="shared" ca="1" si="9"/>
        <v>1730.6627168761124</v>
      </c>
      <c r="V79">
        <f t="shared" si="10"/>
        <v>550</v>
      </c>
      <c r="W79">
        <f t="shared" si="28"/>
        <v>5.2192977958184277E-7</v>
      </c>
      <c r="X79">
        <f t="shared" ca="1" si="29"/>
        <v>9.0328441034966253E-4</v>
      </c>
      <c r="Y79">
        <f t="shared" ca="1" si="30"/>
        <v>5.7789740315405048E-2</v>
      </c>
      <c r="Z79" s="6">
        <f t="shared" ca="1" si="11"/>
        <v>-2.2209691184428551E-4</v>
      </c>
      <c r="AA79">
        <f t="shared" ca="1" si="31"/>
        <v>6.6064165556681362E-2</v>
      </c>
      <c r="AB79">
        <f t="shared" ca="1" si="32"/>
        <v>2.3208280995302741E-2</v>
      </c>
      <c r="AC79">
        <f t="shared" ca="1" si="33"/>
        <v>1.0175076014534564E-2</v>
      </c>
      <c r="AD79">
        <f t="shared" ca="1" si="12"/>
        <v>9.9447522566518662E-2</v>
      </c>
      <c r="AE79">
        <f t="shared" ca="1" si="13"/>
        <v>0.18189747460022856</v>
      </c>
      <c r="AG79">
        <f t="shared" ca="1" si="14"/>
        <v>3.9365997062247651E-2</v>
      </c>
      <c r="AI79">
        <f t="shared" ca="1" si="15"/>
        <v>7.4007060529625343E-2</v>
      </c>
      <c r="AK79">
        <f t="shared" ca="1" si="16"/>
        <v>40.461357906573049</v>
      </c>
      <c r="AL79" s="6">
        <f t="shared" si="17"/>
        <v>3.0000000000000001E-5</v>
      </c>
      <c r="AM79" s="6">
        <f t="shared" ca="1" si="18"/>
        <v>128779.94078883997</v>
      </c>
      <c r="AN79" s="6">
        <f t="shared" ca="1" si="19"/>
        <v>4.2957334457796236E-3</v>
      </c>
    </row>
    <row r="80" spans="1:40" x14ac:dyDescent="0.25">
      <c r="A80">
        <f t="shared" si="20"/>
        <v>41</v>
      </c>
      <c r="B80">
        <f t="shared" si="0"/>
        <v>1.7026605427515997</v>
      </c>
      <c r="C80">
        <f t="shared" ca="1" si="21"/>
        <v>0.12907900439750525</v>
      </c>
      <c r="D80">
        <f t="shared" si="1"/>
        <v>2500</v>
      </c>
      <c r="E80">
        <f t="shared" ca="1" si="6"/>
        <v>1704.2887149552148</v>
      </c>
      <c r="F80">
        <f t="shared" si="2"/>
        <v>550</v>
      </c>
      <c r="G80">
        <f t="shared" si="3"/>
        <v>5.2192977958184277E-7</v>
      </c>
      <c r="H80">
        <f t="shared" ca="1" si="7"/>
        <v>8.8951903334039736E-4</v>
      </c>
      <c r="I80">
        <f t="shared" ca="1" si="4"/>
        <v>7.4143289958640946E-2</v>
      </c>
      <c r="J80">
        <f t="shared" ca="1" si="22"/>
        <v>6.2901057382704129E-2</v>
      </c>
      <c r="K80">
        <f t="shared" ca="1" si="23"/>
        <v>2.0045172821325501E-2</v>
      </c>
      <c r="L80">
        <f t="shared" ca="1" si="24"/>
        <v>1.3338184188511803E-2</v>
      </c>
      <c r="M80">
        <f t="shared" ca="1" si="8"/>
        <v>9.6284414392541443E-2</v>
      </c>
      <c r="Q80">
        <f t="shared" si="25"/>
        <v>41</v>
      </c>
      <c r="R80" s="26">
        <f t="shared" si="34"/>
        <v>1.4917047820817111</v>
      </c>
      <c r="S80">
        <f t="shared" ca="1" si="26"/>
        <v>8.7385529522481895E-2</v>
      </c>
      <c r="T80" s="23">
        <f t="shared" ca="1" si="27"/>
        <v>2499.9999996584816</v>
      </c>
      <c r="U80">
        <f t="shared" ca="1" si="9"/>
        <v>1729.4365662412638</v>
      </c>
      <c r="V80">
        <f t="shared" si="10"/>
        <v>550</v>
      </c>
      <c r="W80">
        <f t="shared" si="28"/>
        <v>5.2192977958184277E-7</v>
      </c>
      <c r="X80">
        <f t="shared" ca="1" si="29"/>
        <v>9.0264444581908182E-4</v>
      </c>
      <c r="Y80">
        <f t="shared" ca="1" si="30"/>
        <v>5.7748797082454742E-2</v>
      </c>
      <c r="Z80" s="6">
        <f t="shared" ca="1" si="11"/>
        <v>-2.2175777302450804E-4</v>
      </c>
      <c r="AA80">
        <f t="shared" ca="1" si="31"/>
        <v>6.5912310606406593E-2</v>
      </c>
      <c r="AB80">
        <f t="shared" ca="1" si="32"/>
        <v>2.3056426045027972E-2</v>
      </c>
      <c r="AC80">
        <f t="shared" ca="1" si="33"/>
        <v>1.0326930964809331E-2</v>
      </c>
      <c r="AD80">
        <f t="shared" ca="1" si="12"/>
        <v>9.9295667616243893E-2</v>
      </c>
      <c r="AE80">
        <f t="shared" ca="1" si="13"/>
        <v>0.18161971974832999</v>
      </c>
      <c r="AG80">
        <f t="shared" ca="1" si="14"/>
        <v>3.9305885745650783E-2</v>
      </c>
      <c r="AI80">
        <f t="shared" ca="1" si="15"/>
        <v>7.4120241081874039E-2</v>
      </c>
      <c r="AK80">
        <f t="shared" ca="1" si="16"/>
        <v>40.523236311013548</v>
      </c>
      <c r="AL80" s="6">
        <f t="shared" si="17"/>
        <v>3.0000000000000001E-5</v>
      </c>
      <c r="AM80" s="6">
        <f t="shared" ca="1" si="18"/>
        <v>128779.94078883997</v>
      </c>
      <c r="AN80" s="6">
        <f t="shared" ca="1" si="19"/>
        <v>4.2957334457796236E-3</v>
      </c>
    </row>
    <row r="81" spans="1:40" x14ac:dyDescent="0.25">
      <c r="A81">
        <f t="shared" si="20"/>
        <v>42</v>
      </c>
      <c r="B81">
        <f t="shared" si="0"/>
        <v>1.7441888486723705</v>
      </c>
      <c r="C81">
        <f t="shared" ca="1" si="21"/>
        <v>0.13215804962488009</v>
      </c>
      <c r="D81">
        <f t="shared" si="1"/>
        <v>2500</v>
      </c>
      <c r="E81">
        <f t="shared" ca="1" si="6"/>
        <v>1702.3663140849005</v>
      </c>
      <c r="F81">
        <f t="shared" si="2"/>
        <v>550</v>
      </c>
      <c r="G81">
        <f t="shared" si="3"/>
        <v>5.2192977958184277E-7</v>
      </c>
      <c r="H81">
        <f t="shared" ca="1" si="7"/>
        <v>8.8851567507788626E-4</v>
      </c>
      <c r="I81">
        <f t="shared" ca="1" si="4"/>
        <v>7.4059657928519679E-2</v>
      </c>
      <c r="J81">
        <f t="shared" ca="1" si="22"/>
        <v>6.2678677624369031E-2</v>
      </c>
      <c r="K81">
        <f t="shared" ca="1" si="23"/>
        <v>1.9822793062990403E-2</v>
      </c>
      <c r="L81">
        <f t="shared" ca="1" si="24"/>
        <v>1.3560563946846901E-2</v>
      </c>
      <c r="M81">
        <f t="shared" ca="1" si="8"/>
        <v>9.6062034634206345E-2</v>
      </c>
      <c r="Q81">
        <f t="shared" si="25"/>
        <v>42</v>
      </c>
      <c r="R81" s="26">
        <f t="shared" si="34"/>
        <v>1.5280878255471189</v>
      </c>
      <c r="S81">
        <f t="shared" ca="1" si="26"/>
        <v>8.9486606516807857E-2</v>
      </c>
      <c r="T81" s="23">
        <f t="shared" ca="1" si="27"/>
        <v>2499.9999996504134</v>
      </c>
      <c r="U81">
        <f t="shared" ca="1" si="9"/>
        <v>1728.2073738250365</v>
      </c>
      <c r="V81">
        <f t="shared" si="10"/>
        <v>550</v>
      </c>
      <c r="W81">
        <f t="shared" si="28"/>
        <v>5.2192977958184277E-7</v>
      </c>
      <c r="X81">
        <f t="shared" ca="1" si="29"/>
        <v>9.0200289369221664E-4</v>
      </c>
      <c r="Y81">
        <f t="shared" ca="1" si="30"/>
        <v>5.7707752279305774E-2</v>
      </c>
      <c r="Z81" s="6">
        <f t="shared" ca="1" si="11"/>
        <v>-2.2141887447989803E-4</v>
      </c>
      <c r="AA81">
        <f t="shared" ca="1" si="31"/>
        <v>6.5760563243267026E-2</v>
      </c>
      <c r="AB81">
        <f t="shared" ca="1" si="32"/>
        <v>2.2904678681888391E-2</v>
      </c>
      <c r="AC81">
        <f t="shared" ca="1" si="33"/>
        <v>1.0478678327948913E-2</v>
      </c>
      <c r="AD81">
        <f t="shared" ca="1" si="12"/>
        <v>9.9143920253104326E-2</v>
      </c>
      <c r="AE81">
        <f t="shared" ca="1" si="13"/>
        <v>0.18134216168190598</v>
      </c>
      <c r="AG81">
        <f t="shared" ca="1" si="14"/>
        <v>3.9245817017091116E-2</v>
      </c>
      <c r="AI81">
        <f t="shared" ca="1" si="15"/>
        <v>7.4233687787539193E-2</v>
      </c>
      <c r="AK81">
        <f t="shared" ca="1" si="16"/>
        <v>40.58526022763288</v>
      </c>
      <c r="AL81" s="6">
        <f t="shared" si="17"/>
        <v>3.0000000000000001E-5</v>
      </c>
      <c r="AM81" s="6">
        <f t="shared" ca="1" si="18"/>
        <v>128779.94078883999</v>
      </c>
      <c r="AN81" s="6">
        <f t="shared" ca="1" si="19"/>
        <v>4.2957334457796236E-3</v>
      </c>
    </row>
    <row r="82" spans="1:40" x14ac:dyDescent="0.25">
      <c r="A82">
        <f t="shared" si="20"/>
        <v>43</v>
      </c>
      <c r="B82">
        <f t="shared" si="0"/>
        <v>1.785717154593141</v>
      </c>
      <c r="C82">
        <f t="shared" ca="1" si="21"/>
        <v>0.13523362175572326</v>
      </c>
      <c r="D82">
        <f t="shared" si="1"/>
        <v>2500</v>
      </c>
      <c r="E82">
        <f t="shared" ca="1" si="6"/>
        <v>1700.4367860600917</v>
      </c>
      <c r="F82">
        <f t="shared" si="2"/>
        <v>550</v>
      </c>
      <c r="G82">
        <f t="shared" si="3"/>
        <v>5.2192977958184277E-7</v>
      </c>
      <c r="H82">
        <f t="shared" ca="1" si="7"/>
        <v>8.8750859694120075E-4</v>
      </c>
      <c r="I82">
        <f t="shared" ca="1" si="4"/>
        <v>7.3975715839030176E-2</v>
      </c>
      <c r="J82">
        <f t="shared" ca="1" si="22"/>
        <v>6.2456548705599559E-2</v>
      </c>
      <c r="K82">
        <f t="shared" ca="1" si="23"/>
        <v>1.9600664144220938E-2</v>
      </c>
      <c r="L82">
        <f t="shared" ca="1" si="24"/>
        <v>1.3782692865616369E-2</v>
      </c>
      <c r="M82">
        <f t="shared" ca="1" si="8"/>
        <v>9.5839905715436866E-2</v>
      </c>
      <c r="Q82">
        <f t="shared" si="25"/>
        <v>43</v>
      </c>
      <c r="R82" s="26">
        <f t="shared" si="34"/>
        <v>1.5644708690125264</v>
      </c>
      <c r="S82">
        <f t="shared" ca="1" si="26"/>
        <v>9.158619017627681E-2</v>
      </c>
      <c r="T82" s="23">
        <f t="shared" ca="1" si="27"/>
        <v>2499.9999996423576</v>
      </c>
      <c r="U82">
        <f t="shared" ca="1" si="9"/>
        <v>1726.9751313970642</v>
      </c>
      <c r="V82">
        <f t="shared" si="10"/>
        <v>550</v>
      </c>
      <c r="W82">
        <f t="shared" si="28"/>
        <v>5.2192977958184277E-7</v>
      </c>
      <c r="X82">
        <f t="shared" ca="1" si="29"/>
        <v>9.0135974967339369E-4</v>
      </c>
      <c r="Y82">
        <f t="shared" ca="1" si="30"/>
        <v>5.7666605631132364E-2</v>
      </c>
      <c r="Z82" s="6">
        <f t="shared" ca="1" si="11"/>
        <v>-2.2108021680651994E-4</v>
      </c>
      <c r="AA82">
        <f t="shared" ca="1" si="31"/>
        <v>6.5608923734160135E-2</v>
      </c>
      <c r="AB82">
        <f t="shared" ca="1" si="32"/>
        <v>2.2753039172781504E-2</v>
      </c>
      <c r="AC82">
        <f t="shared" ca="1" si="33"/>
        <v>1.06303178370558E-2</v>
      </c>
      <c r="AD82">
        <f t="shared" ca="1" si="12"/>
        <v>9.8992280743997435E-2</v>
      </c>
      <c r="AE82">
        <f t="shared" ca="1" si="13"/>
        <v>0.1810648008891334</v>
      </c>
      <c r="AG82">
        <f t="shared" ca="1" si="14"/>
        <v>3.9185790982219193E-2</v>
      </c>
      <c r="AI82">
        <f t="shared" ca="1" si="15"/>
        <v>7.4347401300256494E-2</v>
      </c>
      <c r="AK82">
        <f t="shared" ca="1" si="16"/>
        <v>40.647430013788671</v>
      </c>
      <c r="AL82" s="6">
        <f t="shared" si="17"/>
        <v>3.0000000000000001E-5</v>
      </c>
      <c r="AM82" s="6">
        <f t="shared" ca="1" si="18"/>
        <v>128779.94078883999</v>
      </c>
      <c r="AN82" s="6">
        <f t="shared" ca="1" si="19"/>
        <v>4.2957334457796236E-3</v>
      </c>
    </row>
    <row r="83" spans="1:40" x14ac:dyDescent="0.25">
      <c r="A83">
        <f t="shared" si="20"/>
        <v>44</v>
      </c>
      <c r="B83">
        <f t="shared" si="0"/>
        <v>1.8272454605139119</v>
      </c>
      <c r="C83">
        <f t="shared" ca="1" si="21"/>
        <v>0.13830570791379454</v>
      </c>
      <c r="D83">
        <f t="shared" si="1"/>
        <v>2500</v>
      </c>
      <c r="E83">
        <f t="shared" ca="1" si="6"/>
        <v>1698.5001030205376</v>
      </c>
      <c r="F83">
        <f t="shared" si="2"/>
        <v>550</v>
      </c>
      <c r="G83">
        <f t="shared" si="3"/>
        <v>5.2192977958184277E-7</v>
      </c>
      <c r="H83">
        <f t="shared" ca="1" si="7"/>
        <v>8.8649778438924646E-4</v>
      </c>
      <c r="I83">
        <f t="shared" ca="1" si="4"/>
        <v>7.389146247814149E-2</v>
      </c>
      <c r="J83">
        <f t="shared" ca="1" si="22"/>
        <v>6.2234671556364259E-2</v>
      </c>
      <c r="K83">
        <f t="shared" ca="1" si="23"/>
        <v>1.9378786994985631E-2</v>
      </c>
      <c r="L83">
        <f t="shared" ca="1" si="24"/>
        <v>1.4004570014851673E-2</v>
      </c>
      <c r="M83">
        <f t="shared" ca="1" si="8"/>
        <v>9.5618028566201552E-2</v>
      </c>
      <c r="Q83">
        <f t="shared" si="25"/>
        <v>44</v>
      </c>
      <c r="R83" s="26">
        <f t="shared" si="34"/>
        <v>1.6008539124779337</v>
      </c>
      <c r="S83">
        <f t="shared" ca="1" si="26"/>
        <v>9.3684276795456808E-2</v>
      </c>
      <c r="T83" s="23">
        <f t="shared" ca="1" si="27"/>
        <v>2499.999999634314</v>
      </c>
      <c r="U83">
        <f t="shared" ca="1" si="9"/>
        <v>1725.7398307148819</v>
      </c>
      <c r="V83">
        <f t="shared" si="10"/>
        <v>550</v>
      </c>
      <c r="W83">
        <f t="shared" si="28"/>
        <v>5.2192977958184277E-7</v>
      </c>
      <c r="X83">
        <f t="shared" ca="1" si="29"/>
        <v>9.0071500946062495E-4</v>
      </c>
      <c r="Y83">
        <f t="shared" ca="1" si="30"/>
        <v>5.7625356862704723E-2</v>
      </c>
      <c r="Z83" s="6">
        <f t="shared" ca="1" si="11"/>
        <v>-2.2074180060205077E-4</v>
      </c>
      <c r="AA83">
        <f t="shared" ca="1" si="31"/>
        <v>6.5457392346705612E-2</v>
      </c>
      <c r="AB83">
        <f t="shared" ca="1" si="32"/>
        <v>2.2601507785326977E-2</v>
      </c>
      <c r="AC83">
        <f t="shared" ca="1" si="33"/>
        <v>1.0781849224510328E-2</v>
      </c>
      <c r="AD83">
        <f t="shared" ca="1" si="12"/>
        <v>9.8840749356542912E-2</v>
      </c>
      <c r="AE83">
        <f t="shared" ca="1" si="13"/>
        <v>0.18078763785951013</v>
      </c>
      <c r="AG83">
        <f t="shared" ca="1" si="14"/>
        <v>3.9125807746971462E-2</v>
      </c>
      <c r="AI83">
        <f t="shared" ca="1" si="15"/>
        <v>7.446138227415651E-2</v>
      </c>
      <c r="AK83">
        <f t="shared" ca="1" si="16"/>
        <v>40.709746027109098</v>
      </c>
      <c r="AL83" s="6">
        <f t="shared" si="17"/>
        <v>3.0000000000000001E-5</v>
      </c>
      <c r="AM83" s="6">
        <f t="shared" ca="1" si="18"/>
        <v>128779.94078883999</v>
      </c>
      <c r="AN83" s="6">
        <f t="shared" ca="1" si="19"/>
        <v>4.2957334457796236E-3</v>
      </c>
    </row>
    <row r="84" spans="1:40" x14ac:dyDescent="0.25">
      <c r="A84">
        <f t="shared" si="20"/>
        <v>45</v>
      </c>
      <c r="B84">
        <f t="shared" si="0"/>
        <v>1.8687737664346826</v>
      </c>
      <c r="C84">
        <f t="shared" ca="1" si="21"/>
        <v>0.14137429517251995</v>
      </c>
      <c r="D84">
        <f t="shared" si="1"/>
        <v>2500</v>
      </c>
      <c r="E84">
        <f t="shared" ca="1" si="6"/>
        <v>1696.5562370641824</v>
      </c>
      <c r="F84">
        <f t="shared" si="2"/>
        <v>550</v>
      </c>
      <c r="G84">
        <f t="shared" si="3"/>
        <v>5.2192977958184277E-7</v>
      </c>
      <c r="H84">
        <f t="shared" ca="1" si="7"/>
        <v>8.8548322285910927E-4</v>
      </c>
      <c r="I84">
        <f t="shared" ca="1" si="4"/>
        <v>7.3806896632003988E-2</v>
      </c>
      <c r="J84">
        <f t="shared" ca="1" si="22"/>
        <v>6.201304711026695E-2</v>
      </c>
      <c r="K84">
        <f t="shared" ca="1" si="23"/>
        <v>1.9157162548888322E-2</v>
      </c>
      <c r="L84">
        <f t="shared" ca="1" si="24"/>
        <v>1.4226194460948981E-2</v>
      </c>
      <c r="M84">
        <f t="shared" ca="1" si="8"/>
        <v>9.5396404120104264E-2</v>
      </c>
      <c r="Q84">
        <f t="shared" si="25"/>
        <v>45</v>
      </c>
      <c r="R84" s="26">
        <f t="shared" si="34"/>
        <v>1.6372369559433415</v>
      </c>
      <c r="S84">
        <f t="shared" ca="1" si="26"/>
        <v>9.5780862658902233E-2</v>
      </c>
      <c r="T84" s="23">
        <f t="shared" ca="1" si="27"/>
        <v>2499.9999996262827</v>
      </c>
      <c r="U84">
        <f t="shared" ca="1" si="9"/>
        <v>1724.5014635240661</v>
      </c>
      <c r="V84">
        <f t="shared" si="10"/>
        <v>550</v>
      </c>
      <c r="W84">
        <f t="shared" si="28"/>
        <v>5.2192977958184277E-7</v>
      </c>
      <c r="X84">
        <f t="shared" ca="1" si="29"/>
        <v>9.0006866874568108E-4</v>
      </c>
      <c r="Y84">
        <f t="shared" ca="1" si="30"/>
        <v>5.7584005698393788E-2</v>
      </c>
      <c r="Z84" s="6">
        <f t="shared" ca="1" si="11"/>
        <v>-2.2040362646578266E-4</v>
      </c>
      <c r="AA84">
        <f t="shared" ca="1" si="31"/>
        <v>6.5305969349246318E-2</v>
      </c>
      <c r="AB84">
        <f t="shared" ca="1" si="32"/>
        <v>2.24500847878677E-2</v>
      </c>
      <c r="AC84">
        <f t="shared" ca="1" si="33"/>
        <v>1.0933272221969603E-2</v>
      </c>
      <c r="AD84">
        <f t="shared" ca="1" si="12"/>
        <v>9.8689326359083618E-2</v>
      </c>
      <c r="AE84">
        <f t="shared" ca="1" si="13"/>
        <v>0.18051067308385665</v>
      </c>
      <c r="AG84">
        <f t="shared" ca="1" si="14"/>
        <v>3.9065867417570607E-2</v>
      </c>
      <c r="AI84">
        <f t="shared" ca="1" si="15"/>
        <v>7.4575631363849246E-2</v>
      </c>
      <c r="AK84">
        <f t="shared" ca="1" si="16"/>
        <v>40.772208625484488</v>
      </c>
      <c r="AL84" s="6">
        <f t="shared" si="17"/>
        <v>3.0000000000000001E-5</v>
      </c>
      <c r="AM84" s="6">
        <f t="shared" ca="1" si="18"/>
        <v>128779.94078883997</v>
      </c>
      <c r="AN84" s="6">
        <f t="shared" ca="1" si="19"/>
        <v>4.2957334457796236E-3</v>
      </c>
    </row>
    <row r="85" spans="1:40" x14ac:dyDescent="0.25">
      <c r="A85">
        <f t="shared" si="20"/>
        <v>46</v>
      </c>
      <c r="B85">
        <f t="shared" si="0"/>
        <v>1.9103020723554534</v>
      </c>
      <c r="C85">
        <f t="shared" ca="1" si="21"/>
        <v>0.14443937055491651</v>
      </c>
      <c r="D85">
        <f t="shared" si="1"/>
        <v>2500</v>
      </c>
      <c r="E85">
        <f t="shared" ca="1" si="6"/>
        <v>1694.6051602485991</v>
      </c>
      <c r="F85">
        <f t="shared" si="2"/>
        <v>550</v>
      </c>
      <c r="G85">
        <f t="shared" si="3"/>
        <v>5.2192977958184277E-7</v>
      </c>
      <c r="H85">
        <f t="shared" ca="1" si="7"/>
        <v>8.8446489776680464E-4</v>
      </c>
      <c r="I85">
        <f t="shared" ca="1" si="4"/>
        <v>7.3722017085011748E-2</v>
      </c>
      <c r="J85">
        <f t="shared" ca="1" si="22"/>
        <v>6.1791676304552172E-2</v>
      </c>
      <c r="K85">
        <f t="shared" ca="1" si="23"/>
        <v>1.8935791743173544E-2</v>
      </c>
      <c r="L85">
        <f t="shared" ca="1" si="24"/>
        <v>1.444756526666376E-2</v>
      </c>
      <c r="M85">
        <f t="shared" ca="1" si="8"/>
        <v>9.5175033314389465E-2</v>
      </c>
      <c r="Q85">
        <f t="shared" si="25"/>
        <v>46</v>
      </c>
      <c r="R85" s="26">
        <f t="shared" si="34"/>
        <v>1.6736199994087491</v>
      </c>
      <c r="S85">
        <f t="shared" ca="1" si="26"/>
        <v>9.7875944041139168E-2</v>
      </c>
      <c r="T85" s="23">
        <f t="shared" ca="1" si="27"/>
        <v>2499.9999996182637</v>
      </c>
      <c r="U85">
        <f t="shared" ca="1" si="9"/>
        <v>1723.2600215583764</v>
      </c>
      <c r="V85">
        <f t="shared" si="10"/>
        <v>550</v>
      </c>
      <c r="W85">
        <f t="shared" si="28"/>
        <v>5.2192977958184277E-7</v>
      </c>
      <c r="X85">
        <f t="shared" ca="1" si="29"/>
        <v>8.9942072321416505E-4</v>
      </c>
      <c r="Y85">
        <f t="shared" ca="1" si="30"/>
        <v>5.754255186217587E-2</v>
      </c>
      <c r="Z85" s="6">
        <f t="shared" ca="1" si="11"/>
        <v>-2.2006569499862546E-4</v>
      </c>
      <c r="AA85">
        <f t="shared" ca="1" si="31"/>
        <v>6.5154655010849466E-2</v>
      </c>
      <c r="AB85">
        <f t="shared" ca="1" si="32"/>
        <v>2.2298770449470845E-2</v>
      </c>
      <c r="AC85">
        <f t="shared" ca="1" si="33"/>
        <v>1.1084586560366459E-2</v>
      </c>
      <c r="AD85">
        <f t="shared" ca="1" si="12"/>
        <v>9.8538012020686766E-2</v>
      </c>
      <c r="AE85">
        <f t="shared" ca="1" si="13"/>
        <v>0.18023390705431847</v>
      </c>
      <c r="AG85">
        <f t="shared" ca="1" si="14"/>
        <v>3.9005970100526074E-2</v>
      </c>
      <c r="AI85">
        <f t="shared" ca="1" si="15"/>
        <v>7.4690149224408267E-2</v>
      </c>
      <c r="AK85">
        <f t="shared" ca="1" si="16"/>
        <v>40.834818167058572</v>
      </c>
      <c r="AL85" s="6">
        <f t="shared" si="17"/>
        <v>3.0000000000000001E-5</v>
      </c>
      <c r="AM85" s="6">
        <f t="shared" ca="1" si="18"/>
        <v>128779.94078883997</v>
      </c>
      <c r="AN85" s="6">
        <f t="shared" ca="1" si="19"/>
        <v>4.2957334457796236E-3</v>
      </c>
    </row>
    <row r="86" spans="1:40" x14ac:dyDescent="0.25">
      <c r="A86">
        <f t="shared" si="20"/>
        <v>47</v>
      </c>
      <c r="B86">
        <f t="shared" si="0"/>
        <v>1.9518303782762241</v>
      </c>
      <c r="C86">
        <f t="shared" ca="1" si="21"/>
        <v>0.14750092103351917</v>
      </c>
      <c r="D86">
        <f t="shared" si="1"/>
        <v>2500</v>
      </c>
      <c r="E86">
        <f t="shared" ca="1" si="6"/>
        <v>1692.6468445924531</v>
      </c>
      <c r="F86">
        <f t="shared" si="2"/>
        <v>550</v>
      </c>
      <c r="G86">
        <f t="shared" si="3"/>
        <v>5.2192977958184277E-7</v>
      </c>
      <c r="H86">
        <f t="shared" ca="1" si="7"/>
        <v>8.8344279450804075E-4</v>
      </c>
      <c r="I86">
        <f t="shared" ca="1" si="4"/>
        <v>7.3636822619866218E-2</v>
      </c>
      <c r="J86">
        <f t="shared" ca="1" si="22"/>
        <v>6.157056008011047E-2</v>
      </c>
      <c r="K86">
        <f t="shared" ca="1" si="23"/>
        <v>1.8714675518731842E-2</v>
      </c>
      <c r="L86">
        <f t="shared" ca="1" si="24"/>
        <v>1.4668681491105461E-2</v>
      </c>
      <c r="M86">
        <f t="shared" ca="1" si="8"/>
        <v>9.4953917089947784E-2</v>
      </c>
      <c r="Q86">
        <f t="shared" si="25"/>
        <v>47</v>
      </c>
      <c r="R86" s="26">
        <f t="shared" si="34"/>
        <v>1.7100030428741568</v>
      </c>
      <c r="S86">
        <f t="shared" ca="1" si="26"/>
        <v>9.996951720665119E-2</v>
      </c>
      <c r="T86" s="23">
        <f t="shared" ca="1" si="27"/>
        <v>2499.999999610257</v>
      </c>
      <c r="U86">
        <f t="shared" ca="1" si="9"/>
        <v>1722.0154965398995</v>
      </c>
      <c r="V86">
        <f t="shared" si="10"/>
        <v>550</v>
      </c>
      <c r="W86">
        <f t="shared" si="28"/>
        <v>5.2192977958184277E-7</v>
      </c>
      <c r="X86">
        <f t="shared" ca="1" si="29"/>
        <v>8.9877116854558724E-4</v>
      </c>
      <c r="Y86">
        <f t="shared" ca="1" si="30"/>
        <v>5.7500995077637486E-2</v>
      </c>
      <c r="Z86" s="6">
        <f t="shared" ca="1" si="11"/>
        <v>-2.1972800680310895E-4</v>
      </c>
      <c r="AA86">
        <f t="shared" ca="1" si="31"/>
        <v>6.5003449601307522E-2</v>
      </c>
      <c r="AB86">
        <f t="shared" ca="1" si="32"/>
        <v>2.2147565039928895E-2</v>
      </c>
      <c r="AC86">
        <f t="shared" ca="1" si="33"/>
        <v>1.1235791969908412E-2</v>
      </c>
      <c r="AD86">
        <f t="shared" ca="1" si="12"/>
        <v>9.8386806611144836E-2</v>
      </c>
      <c r="AE86">
        <f t="shared" ca="1" si="13"/>
        <v>0.17995734026436766</v>
      </c>
      <c r="AG86">
        <f t="shared" ca="1" si="14"/>
        <v>3.8946115902634394E-2</v>
      </c>
      <c r="AI86">
        <f t="shared" ca="1" si="15"/>
        <v>7.480493651135478E-2</v>
      </c>
      <c r="AK86">
        <f t="shared" ca="1" si="16"/>
        <v>40.897575010219832</v>
      </c>
      <c r="AL86" s="6">
        <f t="shared" si="17"/>
        <v>3.0000000000000001E-5</v>
      </c>
      <c r="AM86" s="6">
        <f t="shared" ca="1" si="18"/>
        <v>128779.94078883999</v>
      </c>
      <c r="AN86" s="6">
        <f t="shared" ca="1" si="19"/>
        <v>4.2957334457796236E-3</v>
      </c>
    </row>
    <row r="87" spans="1:40" x14ac:dyDescent="0.25">
      <c r="A87">
        <f t="shared" si="20"/>
        <v>48</v>
      </c>
      <c r="B87">
        <f t="shared" si="0"/>
        <v>1.9933586841969946</v>
      </c>
      <c r="C87">
        <f t="shared" ca="1" si="21"/>
        <v>0.1505589335303105</v>
      </c>
      <c r="D87">
        <f t="shared" si="1"/>
        <v>2500</v>
      </c>
      <c r="E87">
        <f t="shared" ca="1" si="6"/>
        <v>1690.6812620769963</v>
      </c>
      <c r="F87">
        <f t="shared" si="2"/>
        <v>550</v>
      </c>
      <c r="G87">
        <f t="shared" si="3"/>
        <v>5.2192977958184277E-7</v>
      </c>
      <c r="H87">
        <f t="shared" ca="1" si="7"/>
        <v>8.8241689845899841E-4</v>
      </c>
      <c r="I87">
        <f t="shared" ca="1" si="4"/>
        <v>7.3551312017641188E-2</v>
      </c>
      <c r="J87">
        <f t="shared" ca="1" si="22"/>
        <v>6.1349699381483463E-2</v>
      </c>
      <c r="K87">
        <f t="shared" ca="1" si="23"/>
        <v>1.8493814820104836E-2</v>
      </c>
      <c r="L87">
        <f t="shared" ca="1" si="24"/>
        <v>1.4889542189732471E-2</v>
      </c>
      <c r="M87">
        <f t="shared" ca="1" si="8"/>
        <v>9.4733056391320777E-2</v>
      </c>
      <c r="Q87">
        <f t="shared" si="25"/>
        <v>48</v>
      </c>
      <c r="R87" s="26">
        <f t="shared" si="34"/>
        <v>1.7463860863395644</v>
      </c>
      <c r="S87">
        <f t="shared" ca="1" si="26"/>
        <v>0.10206157840986506</v>
      </c>
      <c r="T87" s="23">
        <f t="shared" ca="1" si="27"/>
        <v>2499.9999996022625</v>
      </c>
      <c r="U87">
        <f t="shared" ca="1" si="9"/>
        <v>1720.7678801791933</v>
      </c>
      <c r="V87">
        <f t="shared" si="10"/>
        <v>550</v>
      </c>
      <c r="W87">
        <f t="shared" si="28"/>
        <v>5.2192977958184277E-7</v>
      </c>
      <c r="X87">
        <f t="shared" ca="1" si="29"/>
        <v>8.9812000041344117E-4</v>
      </c>
      <c r="Y87">
        <f t="shared" ca="1" si="30"/>
        <v>5.7459335067980274E-2</v>
      </c>
      <c r="Z87" s="6">
        <f t="shared" ca="1" si="11"/>
        <v>-2.1939056248338458E-4</v>
      </c>
      <c r="AA87">
        <f t="shared" ca="1" si="31"/>
        <v>6.4852353391139289E-2</v>
      </c>
      <c r="AB87">
        <f t="shared" ca="1" si="32"/>
        <v>2.1996468829760654E-2</v>
      </c>
      <c r="AC87">
        <f t="shared" ca="1" si="33"/>
        <v>1.1386888180076649E-2</v>
      </c>
      <c r="AD87">
        <f t="shared" ca="1" si="12"/>
        <v>9.8235710400976589E-2</v>
      </c>
      <c r="AE87">
        <f t="shared" ca="1" si="13"/>
        <v>0.17968097320880461</v>
      </c>
      <c r="AG87">
        <f t="shared" ca="1" si="14"/>
        <v>3.8886304930979575E-2</v>
      </c>
      <c r="AI87">
        <f t="shared" ca="1" si="15"/>
        <v>7.4919993880641425E-2</v>
      </c>
      <c r="AK87">
        <f t="shared" ca="1" si="16"/>
        <v>40.960479513592638</v>
      </c>
      <c r="AL87" s="6">
        <f t="shared" si="17"/>
        <v>3.0000000000000001E-5</v>
      </c>
      <c r="AM87" s="6">
        <f t="shared" ca="1" si="18"/>
        <v>128779.94078883994</v>
      </c>
      <c r="AN87" s="6">
        <f t="shared" ca="1" si="19"/>
        <v>4.2957334457796236E-3</v>
      </c>
    </row>
    <row r="88" spans="1:40" x14ac:dyDescent="0.25">
      <c r="A88">
        <f t="shared" si="20"/>
        <v>49</v>
      </c>
      <c r="B88">
        <f t="shared" si="0"/>
        <v>2.0348869901177657</v>
      </c>
      <c r="C88">
        <f t="shared" ca="1" si="21"/>
        <v>0.15361339491665318</v>
      </c>
      <c r="D88">
        <f t="shared" si="1"/>
        <v>2500</v>
      </c>
      <c r="E88">
        <f t="shared" ca="1" si="6"/>
        <v>1688.7083846475969</v>
      </c>
      <c r="F88">
        <f t="shared" si="2"/>
        <v>550</v>
      </c>
      <c r="G88">
        <f t="shared" si="3"/>
        <v>5.2192977958184277E-7</v>
      </c>
      <c r="H88">
        <f t="shared" ca="1" si="7"/>
        <v>8.8138719497713001E-4</v>
      </c>
      <c r="I88">
        <f t="shared" ca="1" si="4"/>
        <v>7.3465484057849376E-2</v>
      </c>
      <c r="J88">
        <f t="shared" ca="1" si="22"/>
        <v>6.1129095156868714E-2</v>
      </c>
      <c r="K88">
        <f t="shared" ca="1" si="23"/>
        <v>1.8273210595490082E-2</v>
      </c>
      <c r="L88">
        <f t="shared" ca="1" si="24"/>
        <v>1.5110146414347221E-2</v>
      </c>
      <c r="M88">
        <f t="shared" ca="1" si="8"/>
        <v>9.4512452166706007E-2</v>
      </c>
      <c r="Q88">
        <f t="shared" si="25"/>
        <v>49</v>
      </c>
      <c r="R88" s="26">
        <f t="shared" si="34"/>
        <v>1.7827691298049719</v>
      </c>
      <c r="S88">
        <f t="shared" ca="1" si="26"/>
        <v>0.1041521238951368</v>
      </c>
      <c r="T88" s="23">
        <f t="shared" ca="1" si="27"/>
        <v>2499.9999995942803</v>
      </c>
      <c r="U88">
        <f t="shared" ca="1" si="9"/>
        <v>1719.5171641754384</v>
      </c>
      <c r="V88">
        <f t="shared" si="10"/>
        <v>550</v>
      </c>
      <c r="W88">
        <f t="shared" si="28"/>
        <v>5.2192977958184277E-7</v>
      </c>
      <c r="X88">
        <f t="shared" ca="1" si="29"/>
        <v>8.9746721448528196E-4</v>
      </c>
      <c r="Y88">
        <f t="shared" ca="1" si="30"/>
        <v>5.7417571556025851E-2</v>
      </c>
      <c r="Z88" s="6">
        <f t="shared" ca="1" si="11"/>
        <v>-2.1905336264522866E-4</v>
      </c>
      <c r="AA88">
        <f t="shared" ca="1" si="31"/>
        <v>6.4701366651590916E-2</v>
      </c>
      <c r="AB88">
        <f t="shared" ca="1" si="32"/>
        <v>2.1845482090212299E-2</v>
      </c>
      <c r="AC88">
        <f t="shared" ca="1" si="33"/>
        <v>1.1537874919625006E-2</v>
      </c>
      <c r="AD88">
        <f t="shared" ca="1" si="12"/>
        <v>9.8084723661428216E-2</v>
      </c>
      <c r="AE88">
        <f t="shared" ca="1" si="13"/>
        <v>0.17940480638376036</v>
      </c>
      <c r="AG88">
        <f t="shared" ca="1" si="14"/>
        <v>3.8826537292933609E-2</v>
      </c>
      <c r="AI88">
        <f t="shared" ca="1" si="15"/>
        <v>7.5035321988635786E-2</v>
      </c>
      <c r="AK88">
        <f t="shared" ca="1" si="16"/>
        <v>41.0235320360282</v>
      </c>
      <c r="AL88" s="6">
        <f t="shared" si="17"/>
        <v>3.0000000000000001E-5</v>
      </c>
      <c r="AM88" s="6">
        <f t="shared" ca="1" si="18"/>
        <v>128779.94078883997</v>
      </c>
      <c r="AN88" s="6">
        <f t="shared" ca="1" si="19"/>
        <v>4.2957334457796236E-3</v>
      </c>
    </row>
    <row r="89" spans="1:40" x14ac:dyDescent="0.25">
      <c r="A89">
        <f t="shared" si="20"/>
        <v>50</v>
      </c>
      <c r="B89">
        <f t="shared" si="0"/>
        <v>2.0764152960385363</v>
      </c>
      <c r="C89">
        <f t="shared" ca="1" si="21"/>
        <v>0.15666429201322504</v>
      </c>
      <c r="D89">
        <f t="shared" si="1"/>
        <v>2500</v>
      </c>
      <c r="E89">
        <f t="shared" ca="1" si="6"/>
        <v>1686.7281842153006</v>
      </c>
      <c r="F89">
        <f t="shared" si="2"/>
        <v>550</v>
      </c>
      <c r="G89">
        <f t="shared" si="3"/>
        <v>5.2192977958184277E-7</v>
      </c>
      <c r="H89">
        <f t="shared" ca="1" si="7"/>
        <v>8.803536694019738E-4</v>
      </c>
      <c r="I89">
        <f t="shared" ca="1" si="4"/>
        <v>7.3379337518510335E-2</v>
      </c>
      <c r="J89">
        <f t="shared" ca="1" si="22"/>
        <v>6.0908748358124425E-2</v>
      </c>
      <c r="K89">
        <f t="shared" ca="1" si="23"/>
        <v>1.8052863796745804E-2</v>
      </c>
      <c r="L89">
        <f t="shared" ca="1" si="24"/>
        <v>1.5330493213091503E-2</v>
      </c>
      <c r="M89">
        <f t="shared" ca="1" si="8"/>
        <v>9.4292105367961732E-2</v>
      </c>
      <c r="Q89">
        <f t="shared" si="25"/>
        <v>50</v>
      </c>
      <c r="R89" s="26">
        <f t="shared" si="34"/>
        <v>1.8191521732703793</v>
      </c>
      <c r="S89">
        <f t="shared" ca="1" si="26"/>
        <v>0.10624114989673782</v>
      </c>
      <c r="T89" s="23">
        <f t="shared" ca="1" si="27"/>
        <v>2499.9999995863104</v>
      </c>
      <c r="U89">
        <f t="shared" ca="1" si="9"/>
        <v>1718.2633402165886</v>
      </c>
      <c r="V89">
        <f t="shared" si="10"/>
        <v>550</v>
      </c>
      <c r="W89">
        <f t="shared" si="28"/>
        <v>5.2192977958184277E-7</v>
      </c>
      <c r="X89">
        <f t="shared" ca="1" si="29"/>
        <v>8.9681280642280503E-4</v>
      </c>
      <c r="Y89">
        <f t="shared" ca="1" si="30"/>
        <v>5.7375704264221034E-2</v>
      </c>
      <c r="Z89" s="6">
        <f t="shared" ca="1" si="11"/>
        <v>-2.1871640789604394E-4</v>
      </c>
      <c r="AA89">
        <f t="shared" ca="1" si="31"/>
        <v>6.4550489654636958E-2</v>
      </c>
      <c r="AB89">
        <f t="shared" ca="1" si="32"/>
        <v>2.1694605093258327E-2</v>
      </c>
      <c r="AC89">
        <f t="shared" ca="1" si="33"/>
        <v>1.1688751916578977E-2</v>
      </c>
      <c r="AD89">
        <f t="shared" ca="1" si="12"/>
        <v>9.7933846664474258E-2</v>
      </c>
      <c r="AE89">
        <f t="shared" ca="1" si="13"/>
        <v>0.17912884028669807</v>
      </c>
      <c r="AG89">
        <f t="shared" ca="1" si="14"/>
        <v>3.8766813096156767E-2</v>
      </c>
      <c r="AI89">
        <f t="shared" ca="1" si="15"/>
        <v>7.5150921492103728E-2</v>
      </c>
      <c r="AK89">
        <f t="shared" ca="1" si="16"/>
        <v>41.086732936595489</v>
      </c>
      <c r="AL89" s="6">
        <f t="shared" si="17"/>
        <v>3.0000000000000001E-5</v>
      </c>
      <c r="AM89" s="6">
        <f t="shared" ca="1" si="18"/>
        <v>128779.94078883997</v>
      </c>
      <c r="AN89" s="6">
        <f t="shared" ca="1" si="19"/>
        <v>4.2957334457796236E-3</v>
      </c>
    </row>
    <row r="90" spans="1:40" x14ac:dyDescent="0.25">
      <c r="A90">
        <f t="shared" si="20"/>
        <v>51</v>
      </c>
      <c r="B90">
        <f t="shared" si="0"/>
        <v>2.1179436019593068</v>
      </c>
      <c r="C90">
        <f t="shared" ca="1" si="21"/>
        <v>0.15971161158995723</v>
      </c>
      <c r="D90">
        <f t="shared" si="1"/>
        <v>2500</v>
      </c>
      <c r="E90">
        <f t="shared" ca="1" si="6"/>
        <v>1684.7406326584262</v>
      </c>
      <c r="F90">
        <f t="shared" si="2"/>
        <v>550</v>
      </c>
      <c r="G90">
        <f t="shared" si="3"/>
        <v>5.2192977958184277E-7</v>
      </c>
      <c r="H90">
        <f t="shared" ca="1" si="7"/>
        <v>8.7931630705598675E-4</v>
      </c>
      <c r="I90">
        <f t="shared" ca="1" si="4"/>
        <v>7.3292871176219881E-2</v>
      </c>
      <c r="J90">
        <f t="shared" ca="1" si="22"/>
        <v>6.068865994077393E-2</v>
      </c>
      <c r="K90">
        <f t="shared" ca="1" si="23"/>
        <v>1.7832775379395309E-2</v>
      </c>
      <c r="L90">
        <f t="shared" ca="1" si="24"/>
        <v>1.5550581630441995E-2</v>
      </c>
      <c r="M90">
        <f t="shared" ca="1" si="8"/>
        <v>9.4072016950611237E-2</v>
      </c>
      <c r="Q90">
        <f t="shared" si="25"/>
        <v>51</v>
      </c>
      <c r="R90" s="26">
        <f t="shared" si="34"/>
        <v>1.855535216735787</v>
      </c>
      <c r="S90">
        <f t="shared" ca="1" si="26"/>
        <v>0.10832865263884135</v>
      </c>
      <c r="T90" s="23">
        <f t="shared" ca="1" si="27"/>
        <v>2499.9999995783528</v>
      </c>
      <c r="U90">
        <f t="shared" ca="1" si="9"/>
        <v>1717.0063999795234</v>
      </c>
      <c r="V90">
        <f t="shared" si="10"/>
        <v>550</v>
      </c>
      <c r="W90">
        <f t="shared" si="28"/>
        <v>5.2192977958184277E-7</v>
      </c>
      <c r="X90">
        <f t="shared" ca="1" si="29"/>
        <v>8.9615677188192606E-4</v>
      </c>
      <c r="Y90">
        <f t="shared" ca="1" si="30"/>
        <v>5.7333732914642825E-2</v>
      </c>
      <c r="Z90" s="6">
        <f t="shared" ca="1" si="11"/>
        <v>-2.1837969884486207E-4</v>
      </c>
      <c r="AA90">
        <f t="shared" ca="1" si="31"/>
        <v>6.4399722672981205E-2</v>
      </c>
      <c r="AB90">
        <f t="shared" ca="1" si="32"/>
        <v>2.1543838111602577E-2</v>
      </c>
      <c r="AC90">
        <f t="shared" ca="1" si="33"/>
        <v>1.1839518898234726E-2</v>
      </c>
      <c r="AD90">
        <f t="shared" ca="1" si="12"/>
        <v>9.7783079682818519E-2</v>
      </c>
      <c r="AE90">
        <f t="shared" ca="1" si="13"/>
        <v>0.17885307541641488</v>
      </c>
      <c r="AG90">
        <f t="shared" ca="1" si="14"/>
        <v>3.8707132448598039E-2</v>
      </c>
      <c r="AI90">
        <f t="shared" ca="1" si="15"/>
        <v>7.5266793048192629E-2</v>
      </c>
      <c r="AK90">
        <f t="shared" ca="1" si="16"/>
        <v>41.150082574572032</v>
      </c>
      <c r="AL90" s="6">
        <f t="shared" si="17"/>
        <v>3.0000000000000001E-5</v>
      </c>
      <c r="AM90" s="6">
        <f t="shared" ca="1" si="18"/>
        <v>128779.94078884</v>
      </c>
      <c r="AN90" s="6">
        <f t="shared" ca="1" si="19"/>
        <v>4.2957334457796236E-3</v>
      </c>
    </row>
    <row r="91" spans="1:40" x14ac:dyDescent="0.25">
      <c r="A91">
        <f t="shared" si="20"/>
        <v>52</v>
      </c>
      <c r="B91">
        <f t="shared" si="0"/>
        <v>2.1594719078800777</v>
      </c>
      <c r="C91">
        <f t="shared" ca="1" si="21"/>
        <v>0.16275534036597494</v>
      </c>
      <c r="D91">
        <f t="shared" si="1"/>
        <v>2500</v>
      </c>
      <c r="E91">
        <f t="shared" ca="1" si="6"/>
        <v>1682.7457018241939</v>
      </c>
      <c r="F91">
        <f t="shared" si="2"/>
        <v>550</v>
      </c>
      <c r="G91">
        <f t="shared" si="3"/>
        <v>5.2192977958184277E-7</v>
      </c>
      <c r="H91">
        <f t="shared" ca="1" si="7"/>
        <v>8.7827509324539489E-4</v>
      </c>
      <c r="I91">
        <f t="shared" ca="1" si="4"/>
        <v>7.3206083806220887E-2</v>
      </c>
      <c r="J91">
        <f t="shared" ca="1" si="22"/>
        <v>6.0468830864009941E-2</v>
      </c>
      <c r="K91">
        <f t="shared" ca="1" si="23"/>
        <v>1.7612946302631313E-2</v>
      </c>
      <c r="L91">
        <f t="shared" ca="1" si="24"/>
        <v>1.5770410707205994E-2</v>
      </c>
      <c r="M91">
        <f t="shared" ca="1" si="8"/>
        <v>9.3852187873847248E-2</v>
      </c>
      <c r="Q91">
        <f t="shared" si="25"/>
        <v>52</v>
      </c>
      <c r="R91" s="26">
        <f t="shared" si="34"/>
        <v>1.8919182602011946</v>
      </c>
      <c r="S91">
        <f t="shared" ca="1" si="26"/>
        <v>0.11041462833550887</v>
      </c>
      <c r="T91" s="23">
        <f t="shared" ca="1" si="27"/>
        <v>2499.9999995704075</v>
      </c>
      <c r="U91">
        <f t="shared" ca="1" si="9"/>
        <v>1715.7463351302042</v>
      </c>
      <c r="V91">
        <f t="shared" si="10"/>
        <v>550</v>
      </c>
      <c r="W91">
        <f t="shared" si="28"/>
        <v>5.2192977958184277E-7</v>
      </c>
      <c r="X91">
        <f t="shared" ca="1" si="29"/>
        <v>8.9549910651286202E-4</v>
      </c>
      <c r="Y91">
        <f t="shared" ca="1" si="30"/>
        <v>5.7291657229003652E-2</v>
      </c>
      <c r="Z91" s="6">
        <f t="shared" ca="1" si="11"/>
        <v>-2.1804323610234532E-4</v>
      </c>
      <c r="AA91">
        <f t="shared" ca="1" si="31"/>
        <v>6.4249065980057835E-2</v>
      </c>
      <c r="AB91">
        <f t="shared" ca="1" si="32"/>
        <v>2.13931814186792E-2</v>
      </c>
      <c r="AC91">
        <f t="shared" ca="1" si="33"/>
        <v>1.1990175591158104E-2</v>
      </c>
      <c r="AD91">
        <f t="shared" ca="1" si="12"/>
        <v>9.7632422989895135E-2</v>
      </c>
      <c r="AE91">
        <f t="shared" ca="1" si="13"/>
        <v>0.17857751227304364</v>
      </c>
      <c r="AG91">
        <f t="shared" ca="1" si="14"/>
        <v>3.8647495458495475E-2</v>
      </c>
      <c r="AI91">
        <f t="shared" ca="1" si="15"/>
        <v>7.5382937314414131E-2</v>
      </c>
      <c r="AK91">
        <f t="shared" ca="1" si="16"/>
        <v>41.213581309434552</v>
      </c>
      <c r="AL91" s="6">
        <f t="shared" si="17"/>
        <v>3.0000000000000001E-5</v>
      </c>
      <c r="AM91" s="6">
        <f t="shared" ca="1" si="18"/>
        <v>128779.94078884</v>
      </c>
      <c r="AN91" s="6">
        <f t="shared" ca="1" si="19"/>
        <v>4.2957334457796236E-3</v>
      </c>
    </row>
    <row r="92" spans="1:40" x14ac:dyDescent="0.25">
      <c r="A92">
        <f t="shared" si="20"/>
        <v>53</v>
      </c>
      <c r="B92">
        <f t="shared" si="0"/>
        <v>2.2010002138008486</v>
      </c>
      <c r="C92">
        <f t="shared" ca="1" si="21"/>
        <v>0.16579546500954129</v>
      </c>
      <c r="D92">
        <f t="shared" si="1"/>
        <v>2500</v>
      </c>
      <c r="E92">
        <f t="shared" ca="1" si="6"/>
        <v>1680.7433635303892</v>
      </c>
      <c r="F92">
        <f t="shared" si="2"/>
        <v>550</v>
      </c>
      <c r="G92">
        <f t="shared" si="3"/>
        <v>5.2192977958184277E-7</v>
      </c>
      <c r="H92">
        <f t="shared" ca="1" si="7"/>
        <v>8.7723001326106109E-4</v>
      </c>
      <c r="I92">
        <f t="shared" ca="1" si="4"/>
        <v>7.3118974182475732E-2</v>
      </c>
      <c r="J92">
        <f t="shared" ca="1" si="22"/>
        <v>6.0249262090698592E-2</v>
      </c>
      <c r="K92">
        <f t="shared" ca="1" si="23"/>
        <v>1.7393377529319961E-2</v>
      </c>
      <c r="L92">
        <f t="shared" ca="1" si="24"/>
        <v>1.5989979480517343E-2</v>
      </c>
      <c r="M92">
        <f t="shared" ca="1" si="8"/>
        <v>9.3632619100535885E-2</v>
      </c>
      <c r="Q92">
        <f t="shared" si="25"/>
        <v>53</v>
      </c>
      <c r="R92" s="26">
        <f t="shared" si="34"/>
        <v>1.9283013036666024</v>
      </c>
      <c r="S92">
        <f t="shared" ca="1" si="26"/>
        <v>0.11249907319067695</v>
      </c>
      <c r="T92" s="23">
        <f t="shared" ca="1" si="27"/>
        <v>2499.9999995624744</v>
      </c>
      <c r="U92">
        <f t="shared" ca="1" si="9"/>
        <v>1714.4831373238337</v>
      </c>
      <c r="V92">
        <f t="shared" si="10"/>
        <v>550</v>
      </c>
      <c r="W92">
        <f t="shared" si="28"/>
        <v>5.2192977958184277E-7</v>
      </c>
      <c r="X92">
        <f t="shared" ca="1" si="29"/>
        <v>8.9483980596021483E-4</v>
      </c>
      <c r="Y92">
        <f t="shared" ca="1" si="30"/>
        <v>5.724947692865668E-2</v>
      </c>
      <c r="Z92" s="6">
        <f t="shared" ca="1" si="11"/>
        <v>-2.1770702028078962E-4</v>
      </c>
      <c r="AA92">
        <f t="shared" ca="1" si="31"/>
        <v>6.4098519850032218E-2</v>
      </c>
      <c r="AB92">
        <f t="shared" ca="1" si="32"/>
        <v>2.1242635288653586E-2</v>
      </c>
      <c r="AC92">
        <f t="shared" ca="1" si="33"/>
        <v>1.2140721721183717E-2</v>
      </c>
      <c r="AD92">
        <f t="shared" ca="1" si="12"/>
        <v>9.7481876859869518E-2</v>
      </c>
      <c r="AE92">
        <f t="shared" ca="1" si="13"/>
        <v>0.17830215135805486</v>
      </c>
      <c r="AG92">
        <f t="shared" ca="1" si="14"/>
        <v>3.8587902234376616E-2</v>
      </c>
      <c r="AI92">
        <f t="shared" ca="1" si="15"/>
        <v>7.5499354948626932E-2</v>
      </c>
      <c r="AK92">
        <f t="shared" ca="1" si="16"/>
        <v>41.277229500849479</v>
      </c>
      <c r="AL92" s="6">
        <f t="shared" si="17"/>
        <v>3.0000000000000001E-5</v>
      </c>
      <c r="AM92" s="6">
        <f t="shared" ca="1" si="18"/>
        <v>128779.94078884</v>
      </c>
      <c r="AN92" s="6">
        <f t="shared" ca="1" si="19"/>
        <v>4.2957334457796236E-3</v>
      </c>
    </row>
    <row r="93" spans="1:40" x14ac:dyDescent="0.25">
      <c r="A93">
        <f t="shared" si="20"/>
        <v>54</v>
      </c>
      <c r="B93">
        <f t="shared" si="0"/>
        <v>2.2425285197216192</v>
      </c>
      <c r="C93">
        <f t="shared" ca="1" si="21"/>
        <v>0.16883197213800405</v>
      </c>
      <c r="D93">
        <f t="shared" si="1"/>
        <v>2500</v>
      </c>
      <c r="E93">
        <f t="shared" ca="1" si="6"/>
        <v>1678.7335895670608</v>
      </c>
      <c r="F93">
        <f t="shared" si="2"/>
        <v>550</v>
      </c>
      <c r="G93">
        <f t="shared" si="3"/>
        <v>5.2192977958184277E-7</v>
      </c>
      <c r="H93">
        <f t="shared" ca="1" si="7"/>
        <v>8.7618105237937175E-4</v>
      </c>
      <c r="I93">
        <f t="shared" ca="1" si="4"/>
        <v>7.3031541077740125E-2</v>
      </c>
      <c r="J93">
        <f t="shared" ca="1" si="22"/>
        <v>6.0029954587383326E-2</v>
      </c>
      <c r="K93">
        <f t="shared" ca="1" si="23"/>
        <v>1.7174070026004698E-2</v>
      </c>
      <c r="L93">
        <f t="shared" ca="1" si="24"/>
        <v>1.6209286983832605E-2</v>
      </c>
      <c r="M93">
        <f t="shared" ca="1" si="8"/>
        <v>9.3413311597220619E-2</v>
      </c>
      <c r="Q93">
        <f t="shared" si="25"/>
        <v>54</v>
      </c>
      <c r="R93" s="26">
        <f t="shared" si="34"/>
        <v>1.9646843471320099</v>
      </c>
      <c r="S93">
        <f t="shared" ca="1" si="26"/>
        <v>0.11458198339814411</v>
      </c>
      <c r="T93" s="23">
        <f t="shared" ca="1" si="27"/>
        <v>2499.9999995545536</v>
      </c>
      <c r="U93">
        <f t="shared" ca="1" si="9"/>
        <v>1713.2167982050175</v>
      </c>
      <c r="V93">
        <f t="shared" si="10"/>
        <v>550</v>
      </c>
      <c r="W93">
        <f t="shared" si="28"/>
        <v>5.2192977958184277E-7</v>
      </c>
      <c r="X93">
        <f t="shared" ca="1" si="29"/>
        <v>8.9417886586305522E-4</v>
      </c>
      <c r="Y93">
        <f t="shared" ca="1" si="30"/>
        <v>5.7207191734601245E-2</v>
      </c>
      <c r="Z93" s="6">
        <f t="shared" ca="1" si="11"/>
        <v>-2.1737105199412578E-4</v>
      </c>
      <c r="AA93">
        <f t="shared" ca="1" si="31"/>
        <v>6.3948084557801974E-2</v>
      </c>
      <c r="AB93">
        <f t="shared" ca="1" si="32"/>
        <v>2.1092199996423346E-2</v>
      </c>
      <c r="AC93">
        <f t="shared" ca="1" si="33"/>
        <v>1.2291157013413958E-2</v>
      </c>
      <c r="AD93">
        <f t="shared" ca="1" si="12"/>
        <v>9.7331441567639287E-2</v>
      </c>
      <c r="AE93">
        <f t="shared" ca="1" si="13"/>
        <v>0.17802699317425827</v>
      </c>
      <c r="AG93">
        <f t="shared" ca="1" si="14"/>
        <v>3.8528352885058841E-2</v>
      </c>
      <c r="AI93">
        <f t="shared" ca="1" si="15"/>
        <v>7.5616046609019077E-2</v>
      </c>
      <c r="AK93">
        <f t="shared" ca="1" si="16"/>
        <v>41.341027508663323</v>
      </c>
      <c r="AL93" s="6">
        <f t="shared" si="17"/>
        <v>3.0000000000000001E-5</v>
      </c>
      <c r="AM93" s="6">
        <f t="shared" ca="1" si="18"/>
        <v>128779.94078883996</v>
      </c>
      <c r="AN93" s="6">
        <f t="shared" ca="1" si="19"/>
        <v>4.2957334457796236E-3</v>
      </c>
    </row>
    <row r="94" spans="1:40" x14ac:dyDescent="0.25">
      <c r="A94">
        <f t="shared" si="20"/>
        <v>55</v>
      </c>
      <c r="B94">
        <f t="shared" si="0"/>
        <v>2.2840568256423897</v>
      </c>
      <c r="C94">
        <f t="shared" ca="1" si="21"/>
        <v>0.17186484831774576</v>
      </c>
      <c r="D94">
        <f t="shared" si="1"/>
        <v>2500</v>
      </c>
      <c r="E94">
        <f t="shared" ca="1" si="6"/>
        <v>1676.716351698258</v>
      </c>
      <c r="F94">
        <f t="shared" si="2"/>
        <v>550</v>
      </c>
      <c r="G94">
        <f t="shared" si="3"/>
        <v>5.2192977958184277E-7</v>
      </c>
      <c r="H94">
        <f t="shared" ca="1" si="7"/>
        <v>8.7512819586314339E-4</v>
      </c>
      <c r="I94">
        <f t="shared" ca="1" si="4"/>
        <v>7.2943783263638706E-2</v>
      </c>
      <c r="J94">
        <f t="shared" ca="1" si="22"/>
        <v>5.9810909324288487E-2</v>
      </c>
      <c r="K94">
        <f t="shared" ca="1" si="23"/>
        <v>1.6955024762909856E-2</v>
      </c>
      <c r="L94">
        <f t="shared" ca="1" si="24"/>
        <v>1.6428332246927448E-2</v>
      </c>
      <c r="M94">
        <f t="shared" ca="1" si="8"/>
        <v>9.319426633412578E-2</v>
      </c>
      <c r="Q94">
        <f t="shared" si="25"/>
        <v>55</v>
      </c>
      <c r="R94" s="26">
        <f t="shared" si="34"/>
        <v>2.0010673905974175</v>
      </c>
      <c r="S94">
        <f t="shared" ca="1" si="26"/>
        <v>0.11666335514155801</v>
      </c>
      <c r="T94" s="23">
        <f t="shared" ca="1" si="27"/>
        <v>2499.9999995466451</v>
      </c>
      <c r="U94">
        <f t="shared" ca="1" si="9"/>
        <v>1711.9473094079262</v>
      </c>
      <c r="V94">
        <f t="shared" si="10"/>
        <v>550</v>
      </c>
      <c r="W94">
        <f t="shared" si="28"/>
        <v>5.2192977958184277E-7</v>
      </c>
      <c r="X94">
        <f t="shared" ca="1" si="29"/>
        <v>8.9351628185500777E-4</v>
      </c>
      <c r="Y94">
        <f t="shared" ca="1" si="30"/>
        <v>5.7164801367488201E-2</v>
      </c>
      <c r="Z94" s="6">
        <f t="shared" ca="1" si="11"/>
        <v>-2.1703533185792214E-4</v>
      </c>
      <c r="AA94">
        <f t="shared" ca="1" si="31"/>
        <v>6.3797760378997842E-2</v>
      </c>
      <c r="AB94">
        <f t="shared" ca="1" si="32"/>
        <v>2.0941875817619221E-2</v>
      </c>
      <c r="AC94">
        <f t="shared" ca="1" si="33"/>
        <v>1.2441481192218082E-2</v>
      </c>
      <c r="AD94">
        <f t="shared" ca="1" si="12"/>
        <v>9.7181117388835142E-2</v>
      </c>
      <c r="AE94">
        <f t="shared" ca="1" si="13"/>
        <v>0.17775203822580449</v>
      </c>
      <c r="AG94">
        <f t="shared" ca="1" si="14"/>
        <v>3.846884751964972E-2</v>
      </c>
      <c r="AI94">
        <f t="shared" ca="1" si="15"/>
        <v>7.5733012954090365E-2</v>
      </c>
      <c r="AK94">
        <f t="shared" ca="1" si="16"/>
        <v>41.404975692893032</v>
      </c>
      <c r="AL94" s="6">
        <f t="shared" si="17"/>
        <v>3.0000000000000001E-5</v>
      </c>
      <c r="AM94" s="6">
        <f t="shared" ca="1" si="18"/>
        <v>128779.94078883993</v>
      </c>
      <c r="AN94" s="6">
        <f t="shared" ca="1" si="19"/>
        <v>4.2957334457796236E-3</v>
      </c>
    </row>
    <row r="95" spans="1:40" x14ac:dyDescent="0.25">
      <c r="A95">
        <f t="shared" si="20"/>
        <v>56</v>
      </c>
      <c r="B95">
        <f t="shared" si="0"/>
        <v>2.3255851315631606</v>
      </c>
      <c r="C95">
        <f t="shared" ca="1" si="21"/>
        <v>0.17489408006413656</v>
      </c>
      <c r="D95">
        <f t="shared" si="1"/>
        <v>2500</v>
      </c>
      <c r="E95">
        <f t="shared" ca="1" si="6"/>
        <v>1674.6916216637956</v>
      </c>
      <c r="F95">
        <f t="shared" si="2"/>
        <v>550</v>
      </c>
      <c r="G95">
        <f t="shared" si="3"/>
        <v>5.2192977958184277E-7</v>
      </c>
      <c r="H95">
        <f t="shared" ca="1" si="7"/>
        <v>8.7407142896254368E-4</v>
      </c>
      <c r="I95">
        <f t="shared" ca="1" si="4"/>
        <v>7.2855699510741792E-2</v>
      </c>
      <c r="J95">
        <f t="shared" ca="1" si="22"/>
        <v>5.9592127275322697E-2</v>
      </c>
      <c r="K95">
        <f t="shared" ca="1" si="23"/>
        <v>1.6736242713944069E-2</v>
      </c>
      <c r="L95">
        <f t="shared" ca="1" si="24"/>
        <v>1.6647114295893235E-2</v>
      </c>
      <c r="M95">
        <f t="shared" ca="1" si="8"/>
        <v>9.297548428515999E-2</v>
      </c>
      <c r="Q95">
        <f t="shared" si="25"/>
        <v>56</v>
      </c>
      <c r="R95" s="26">
        <f t="shared" si="34"/>
        <v>2.037450434062825</v>
      </c>
      <c r="S95">
        <f t="shared" ca="1" si="26"/>
        <v>0.11874318459440272</v>
      </c>
      <c r="T95" s="23">
        <f t="shared" ca="1" si="27"/>
        <v>2499.9999995387489</v>
      </c>
      <c r="U95">
        <f t="shared" ca="1" si="9"/>
        <v>1710.6746625564631</v>
      </c>
      <c r="V95">
        <f t="shared" si="10"/>
        <v>550</v>
      </c>
      <c r="W95">
        <f t="shared" si="28"/>
        <v>5.2192977958184277E-7</v>
      </c>
      <c r="X95">
        <f t="shared" ca="1" si="29"/>
        <v>8.9285204956433806E-4</v>
      </c>
      <c r="Y95">
        <f t="shared" ca="1" si="30"/>
        <v>5.7122305547625617E-2</v>
      </c>
      <c r="Z95" s="6">
        <f t="shared" ca="1" si="11"/>
        <v>-2.1669986048938642E-4</v>
      </c>
      <c r="AA95">
        <f t="shared" ca="1" si="31"/>
        <v>6.3647547589984629E-2</v>
      </c>
      <c r="AB95">
        <f t="shared" ca="1" si="32"/>
        <v>2.0791663028605998E-2</v>
      </c>
      <c r="AC95">
        <f t="shared" ca="1" si="33"/>
        <v>1.2591693981231306E-2</v>
      </c>
      <c r="AD95">
        <f t="shared" ca="1" si="12"/>
        <v>9.7030904599821929E-2</v>
      </c>
      <c r="AE95">
        <f t="shared" ca="1" si="13"/>
        <v>0.17747728701818694</v>
      </c>
      <c r="AG95">
        <f t="shared" ca="1" si="14"/>
        <v>3.8409386247547445E-2</v>
      </c>
      <c r="AI95">
        <f t="shared" ca="1" si="15"/>
        <v>7.5850254642634105E-2</v>
      </c>
      <c r="AK95">
        <f t="shared" ca="1" si="16"/>
        <v>41.469074413716022</v>
      </c>
      <c r="AL95" s="6">
        <f t="shared" si="17"/>
        <v>3.0000000000000001E-5</v>
      </c>
      <c r="AM95" s="6">
        <f t="shared" ca="1" si="18"/>
        <v>128779.94078883999</v>
      </c>
      <c r="AN95" s="6">
        <f t="shared" ca="1" si="19"/>
        <v>4.2957334457796236E-3</v>
      </c>
    </row>
    <row r="96" spans="1:40" x14ac:dyDescent="0.25">
      <c r="A96">
        <f t="shared" si="20"/>
        <v>57</v>
      </c>
      <c r="B96">
        <f t="shared" si="0"/>
        <v>2.3671134374839311</v>
      </c>
      <c r="C96">
        <f t="shared" ca="1" si="21"/>
        <v>0.17791965384149039</v>
      </c>
      <c r="D96">
        <f t="shared" si="1"/>
        <v>2500</v>
      </c>
      <c r="E96">
        <f t="shared" ca="1" si="6"/>
        <v>1672.6593711810644</v>
      </c>
      <c r="F96">
        <f t="shared" si="2"/>
        <v>550</v>
      </c>
      <c r="G96">
        <f t="shared" si="3"/>
        <v>5.2192977958184277E-7</v>
      </c>
      <c r="H96">
        <f t="shared" ca="1" si="7"/>
        <v>8.7301073691603667E-4</v>
      </c>
      <c r="I96">
        <f t="shared" ca="1" si="4"/>
        <v>7.2767288588644188E-2</v>
      </c>
      <c r="J96">
        <f t="shared" ca="1" si="22"/>
        <v>5.9373609418082056E-2</v>
      </c>
      <c r="K96">
        <f t="shared" ca="1" si="23"/>
        <v>1.6517724856703435E-2</v>
      </c>
      <c r="L96">
        <f t="shared" ca="1" si="24"/>
        <v>1.6865632153133869E-2</v>
      </c>
      <c r="M96">
        <f t="shared" ca="1" si="8"/>
        <v>9.2756966427919363E-2</v>
      </c>
      <c r="Q96">
        <f t="shared" si="25"/>
        <v>57</v>
      </c>
      <c r="R96" s="26">
        <f t="shared" si="34"/>
        <v>2.0738334775282325</v>
      </c>
      <c r="S96">
        <f t="shared" ca="1" si="26"/>
        <v>0.12082146791998628</v>
      </c>
      <c r="T96" s="23">
        <f t="shared" ca="1" si="27"/>
        <v>2499.9999995308644</v>
      </c>
      <c r="U96">
        <f t="shared" ca="1" si="9"/>
        <v>1709.3988492644314</v>
      </c>
      <c r="V96">
        <f t="shared" si="10"/>
        <v>550</v>
      </c>
      <c r="W96">
        <f t="shared" si="28"/>
        <v>5.2192977958184277E-7</v>
      </c>
      <c r="X96">
        <f t="shared" ca="1" si="29"/>
        <v>8.9218616461404039E-4</v>
      </c>
      <c r="Y96">
        <f t="shared" ca="1" si="30"/>
        <v>5.7079703994984243E-2</v>
      </c>
      <c r="Z96" s="6">
        <f t="shared" ca="1" si="11"/>
        <v>-2.1636463850736743E-4</v>
      </c>
      <c r="AA96">
        <f t="shared" ca="1" si="31"/>
        <v>6.3497446467862054E-2</v>
      </c>
      <c r="AB96">
        <f t="shared" ca="1" si="32"/>
        <v>2.0641561906483419E-2</v>
      </c>
      <c r="AC96">
        <f t="shared" ca="1" si="33"/>
        <v>1.2741795103353885E-2</v>
      </c>
      <c r="AD96">
        <f t="shared" ca="1" si="12"/>
        <v>9.6880803477699354E-2</v>
      </c>
      <c r="AE96">
        <f t="shared" ca="1" si="13"/>
        <v>0.17720274005824319</v>
      </c>
      <c r="AG96">
        <f t="shared" ca="1" si="14"/>
        <v>3.8349969178441079E-2</v>
      </c>
      <c r="AI96">
        <f t="shared" ca="1" si="15"/>
        <v>7.5967772333718944E-2</v>
      </c>
      <c r="AK96">
        <f t="shared" ca="1" si="16"/>
        <v>41.533324031460232</v>
      </c>
      <c r="AL96" s="6">
        <f t="shared" si="17"/>
        <v>3.0000000000000001E-5</v>
      </c>
      <c r="AM96" s="6">
        <f t="shared" ca="1" si="18"/>
        <v>128779.94078884</v>
      </c>
      <c r="AN96" s="6">
        <f t="shared" ca="1" si="19"/>
        <v>4.2957334457796236E-3</v>
      </c>
    </row>
    <row r="97" spans="1:40" x14ac:dyDescent="0.25">
      <c r="A97">
        <f t="shared" si="20"/>
        <v>58</v>
      </c>
      <c r="B97">
        <f t="shared" si="0"/>
        <v>2.4086417434047021</v>
      </c>
      <c r="C97">
        <f t="shared" ca="1" si="21"/>
        <v>0.18094155606302462</v>
      </c>
      <c r="D97">
        <f t="shared" si="1"/>
        <v>2500</v>
      </c>
      <c r="E97">
        <f t="shared" ca="1" si="6"/>
        <v>1670.6195719468742</v>
      </c>
      <c r="F97">
        <f t="shared" si="2"/>
        <v>550</v>
      </c>
      <c r="G97">
        <f t="shared" si="3"/>
        <v>5.2192977958184277E-7</v>
      </c>
      <c r="H97">
        <f t="shared" ca="1" si="7"/>
        <v>8.7194610495134456E-4</v>
      </c>
      <c r="I97">
        <f t="shared" ca="1" si="4"/>
        <v>7.2678549266045347E-2</v>
      </c>
      <c r="J97">
        <f t="shared" ca="1" si="22"/>
        <v>5.9155356733853054E-2</v>
      </c>
      <c r="K97">
        <f t="shared" ca="1" si="23"/>
        <v>1.6299472172474426E-2</v>
      </c>
      <c r="L97">
        <f t="shared" ca="1" si="24"/>
        <v>1.7083884837362881E-2</v>
      </c>
      <c r="M97">
        <f t="shared" ca="1" si="8"/>
        <v>9.2538713743690368E-2</v>
      </c>
      <c r="Q97">
        <f t="shared" si="25"/>
        <v>58</v>
      </c>
      <c r="R97" s="26">
        <f t="shared" si="34"/>
        <v>2.1102165209936401</v>
      </c>
      <c r="S97">
        <f t="shared" ca="1" si="26"/>
        <v>0.12289820127142839</v>
      </c>
      <c r="T97" s="23">
        <f t="shared" ca="1" si="27"/>
        <v>2499.9999995229923</v>
      </c>
      <c r="U97">
        <f t="shared" ca="1" si="9"/>
        <v>1708.1198611357092</v>
      </c>
      <c r="V97">
        <f t="shared" si="10"/>
        <v>550</v>
      </c>
      <c r="W97">
        <f t="shared" si="28"/>
        <v>5.2192977958184277E-7</v>
      </c>
      <c r="X97">
        <f t="shared" ca="1" si="29"/>
        <v>8.9151862262192862E-4</v>
      </c>
      <c r="Y97">
        <f t="shared" ca="1" si="30"/>
        <v>5.703699642920345E-2</v>
      </c>
      <c r="Z97" s="6">
        <f t="shared" ca="1" si="11"/>
        <v>-2.1602966653235737E-4</v>
      </c>
      <c r="AA97">
        <f t="shared" ca="1" si="31"/>
        <v>6.3347457290465689E-2</v>
      </c>
      <c r="AB97">
        <f t="shared" ca="1" si="32"/>
        <v>2.0491572729087061E-2</v>
      </c>
      <c r="AC97">
        <f t="shared" ca="1" si="33"/>
        <v>1.2891784280750242E-2</v>
      </c>
      <c r="AD97">
        <f t="shared" ca="1" si="12"/>
        <v>9.6730814300303003E-2</v>
      </c>
      <c r="AE97">
        <f t="shared" ca="1" si="13"/>
        <v>0.1769283978541567</v>
      </c>
      <c r="AG97">
        <f t="shared" ca="1" si="14"/>
        <v>3.8290596422310988E-2</v>
      </c>
      <c r="AI97">
        <f t="shared" ca="1" si="15"/>
        <v>7.6085566686670353E-2</v>
      </c>
      <c r="AK97">
        <f t="shared" ca="1" si="16"/>
        <v>41.597724906594024</v>
      </c>
      <c r="AL97" s="6">
        <f t="shared" si="17"/>
        <v>3.0000000000000001E-5</v>
      </c>
      <c r="AM97" s="6">
        <f t="shared" ca="1" si="18"/>
        <v>128779.94078883999</v>
      </c>
      <c r="AN97" s="6">
        <f t="shared" ca="1" si="19"/>
        <v>4.2957334457796236E-3</v>
      </c>
    </row>
    <row r="98" spans="1:40" x14ac:dyDescent="0.25">
      <c r="A98">
        <f t="shared" si="20"/>
        <v>59</v>
      </c>
      <c r="B98">
        <f t="shared" si="0"/>
        <v>2.450170049325473</v>
      </c>
      <c r="C98">
        <f t="shared" ca="1" si="21"/>
        <v>0.18395977309082276</v>
      </c>
      <c r="D98">
        <f t="shared" si="1"/>
        <v>2500</v>
      </c>
      <c r="E98">
        <f t="shared" ca="1" si="6"/>
        <v>1668.5721956393324</v>
      </c>
      <c r="F98">
        <f t="shared" si="2"/>
        <v>550</v>
      </c>
      <c r="G98">
        <f t="shared" si="3"/>
        <v>5.2192977958184277E-7</v>
      </c>
      <c r="H98">
        <f t="shared" ca="1" si="7"/>
        <v>8.7087751828642825E-4</v>
      </c>
      <c r="I98">
        <f t="shared" ca="1" si="4"/>
        <v>7.2589480310831081E-2</v>
      </c>
      <c r="J98">
        <f t="shared" ca="1" si="22"/>
        <v>5.8937370207615213E-2</v>
      </c>
      <c r="K98">
        <f t="shared" ca="1" si="23"/>
        <v>1.6081485646236588E-2</v>
      </c>
      <c r="L98">
        <f t="shared" ca="1" si="24"/>
        <v>1.7301871363600715E-2</v>
      </c>
      <c r="M98">
        <f t="shared" ca="1" si="8"/>
        <v>9.232072721745252E-2</v>
      </c>
      <c r="Q98">
        <f t="shared" si="25"/>
        <v>59</v>
      </c>
      <c r="R98" s="26">
        <f t="shared" si="34"/>
        <v>2.1465995644590476</v>
      </c>
      <c r="S98">
        <f t="shared" ca="1" si="26"/>
        <v>0.12497338079164839</v>
      </c>
      <c r="T98" s="23">
        <f t="shared" ca="1" si="27"/>
        <v>2499.9999995151325</v>
      </c>
      <c r="U98">
        <f t="shared" ca="1" si="9"/>
        <v>1706.8376897644202</v>
      </c>
      <c r="V98">
        <f t="shared" si="10"/>
        <v>550</v>
      </c>
      <c r="W98">
        <f t="shared" si="28"/>
        <v>5.2192977958184277E-7</v>
      </c>
      <c r="X98">
        <f t="shared" ca="1" si="29"/>
        <v>8.9084941920072555E-4</v>
      </c>
      <c r="Y98">
        <f t="shared" ca="1" si="30"/>
        <v>5.6994182569596895E-2</v>
      </c>
      <c r="Z98" s="6">
        <f t="shared" ca="1" si="11"/>
        <v>-2.1569494518649409E-4</v>
      </c>
      <c r="AA98">
        <f t="shared" ca="1" si="31"/>
        <v>6.319758033636784E-2</v>
      </c>
      <c r="AB98">
        <f t="shared" ca="1" si="32"/>
        <v>2.0341695774989208E-2</v>
      </c>
      <c r="AC98">
        <f t="shared" ca="1" si="33"/>
        <v>1.3041661234848095E-2</v>
      </c>
      <c r="AD98">
        <f t="shared" ca="1" si="12"/>
        <v>9.658093734620514E-2</v>
      </c>
      <c r="AE98">
        <f t="shared" ca="1" si="13"/>
        <v>0.17665426091545847</v>
      </c>
      <c r="AG98">
        <f t="shared" ca="1" si="14"/>
        <v>3.823126808942915E-2</v>
      </c>
      <c r="AI98">
        <f t="shared" ca="1" si="15"/>
        <v>7.6203638361051915E-2</v>
      </c>
      <c r="AK98">
        <f t="shared" ca="1" si="16"/>
        <v>41.662277399715947</v>
      </c>
      <c r="AL98" s="6">
        <f t="shared" si="17"/>
        <v>3.0000000000000001E-5</v>
      </c>
      <c r="AM98" s="6">
        <f t="shared" ca="1" si="18"/>
        <v>128779.94078883997</v>
      </c>
      <c r="AN98" s="6">
        <f t="shared" ca="1" si="19"/>
        <v>4.2957334457796236E-3</v>
      </c>
    </row>
    <row r="99" spans="1:40" x14ac:dyDescent="0.25">
      <c r="A99">
        <f t="shared" si="20"/>
        <v>60</v>
      </c>
      <c r="B99">
        <f t="shared" si="0"/>
        <v>2.4916983552462435</v>
      </c>
      <c r="C99">
        <f t="shared" ca="1" si="21"/>
        <v>0.1869742912358007</v>
      </c>
      <c r="D99">
        <f t="shared" si="1"/>
        <v>2500</v>
      </c>
      <c r="E99">
        <f t="shared" ca="1" si="6"/>
        <v>1666.5172139197659</v>
      </c>
      <c r="F99">
        <f t="shared" si="2"/>
        <v>550</v>
      </c>
      <c r="G99">
        <f t="shared" si="3"/>
        <v>5.2192977958184277E-7</v>
      </c>
      <c r="H99">
        <f t="shared" ca="1" si="7"/>
        <v>8.6980496213049014E-4</v>
      </c>
      <c r="I99">
        <f t="shared" ca="1" si="4"/>
        <v>7.2500080490157201E-2</v>
      </c>
      <c r="J99">
        <f t="shared" ca="1" si="22"/>
        <v>5.8719650828043611E-2</v>
      </c>
      <c r="K99">
        <f t="shared" ca="1" si="23"/>
        <v>1.5863766266664983E-2</v>
      </c>
      <c r="L99">
        <f t="shared" ca="1" si="24"/>
        <v>1.751959074317232E-2</v>
      </c>
      <c r="M99">
        <f t="shared" ca="1" si="8"/>
        <v>9.2103007837880904E-2</v>
      </c>
      <c r="Q99">
        <f t="shared" si="25"/>
        <v>60</v>
      </c>
      <c r="R99" s="26">
        <f t="shared" si="34"/>
        <v>2.1829826079244556</v>
      </c>
      <c r="S99">
        <f t="shared" ca="1" si="26"/>
        <v>0.12704700261335344</v>
      </c>
      <c r="T99" s="23">
        <f t="shared" ca="1" si="27"/>
        <v>2499.9999995072849</v>
      </c>
      <c r="U99">
        <f t="shared" ca="1" si="9"/>
        <v>1705.5523267351127</v>
      </c>
      <c r="V99">
        <f t="shared" si="10"/>
        <v>550</v>
      </c>
      <c r="W99">
        <f t="shared" si="28"/>
        <v>5.2192977958184277E-7</v>
      </c>
      <c r="X99">
        <f t="shared" ca="1" si="29"/>
        <v>8.9017854995815642E-4</v>
      </c>
      <c r="Y99">
        <f t="shared" ca="1" si="30"/>
        <v>5.6951262135158477E-2</v>
      </c>
      <c r="Z99" s="6">
        <f t="shared" ca="1" si="11"/>
        <v>-2.1536047509356231E-4</v>
      </c>
      <c r="AA99">
        <f t="shared" ca="1" si="31"/>
        <v>6.304781588487833E-2</v>
      </c>
      <c r="AB99">
        <f t="shared" ca="1" si="32"/>
        <v>2.0191931323499709E-2</v>
      </c>
      <c r="AC99">
        <f t="shared" ca="1" si="33"/>
        <v>1.3191425686337598E-2</v>
      </c>
      <c r="AD99">
        <f t="shared" ca="1" si="12"/>
        <v>9.6431172894715644E-2</v>
      </c>
      <c r="AE99">
        <f t="shared" ca="1" si="13"/>
        <v>0.17638032975302859</v>
      </c>
      <c r="AG99">
        <f t="shared" ca="1" si="14"/>
        <v>3.817198429035952E-2</v>
      </c>
      <c r="AI99">
        <f t="shared" ca="1" si="15"/>
        <v>7.6321988016646247E-2</v>
      </c>
      <c r="AK99">
        <f t="shared" ca="1" si="16"/>
        <v>41.726981871544304</v>
      </c>
      <c r="AL99" s="6">
        <f t="shared" si="17"/>
        <v>3.0000000000000001E-5</v>
      </c>
      <c r="AM99" s="6">
        <f t="shared" ca="1" si="18"/>
        <v>128779.94078883997</v>
      </c>
      <c r="AN99" s="6">
        <f t="shared" ca="1" si="19"/>
        <v>4.2957334457796236E-3</v>
      </c>
    </row>
    <row r="100" spans="1:40" x14ac:dyDescent="0.25">
      <c r="A100">
        <f t="shared" si="20"/>
        <v>61</v>
      </c>
      <c r="B100">
        <f t="shared" si="0"/>
        <v>2.533226661167014</v>
      </c>
      <c r="C100">
        <f t="shared" ca="1" si="21"/>
        <v>0.18998509675767644</v>
      </c>
      <c r="D100">
        <f t="shared" si="1"/>
        <v>2500</v>
      </c>
      <c r="E100">
        <f t="shared" ca="1" si="6"/>
        <v>1664.454598434676</v>
      </c>
      <c r="F100">
        <f t="shared" si="2"/>
        <v>550</v>
      </c>
      <c r="G100">
        <f t="shared" si="3"/>
        <v>5.2192977958184277E-7</v>
      </c>
      <c r="H100">
        <f t="shared" ca="1" si="7"/>
        <v>8.6872842168499501E-4</v>
      </c>
      <c r="I100">
        <f t="shared" ca="1" si="4"/>
        <v>7.2410348570534508E-2</v>
      </c>
      <c r="J100">
        <f t="shared" ca="1" si="22"/>
        <v>5.8502199587510996E-2</v>
      </c>
      <c r="K100">
        <f t="shared" ca="1" si="23"/>
        <v>1.5646315026132361E-2</v>
      </c>
      <c r="L100">
        <f t="shared" ca="1" si="24"/>
        <v>1.7737041983704942E-2</v>
      </c>
      <c r="M100">
        <f t="shared" ca="1" si="8"/>
        <v>9.1885556597348303E-2</v>
      </c>
      <c r="Q100">
        <f t="shared" si="25"/>
        <v>61</v>
      </c>
      <c r="R100" s="26">
        <f t="shared" si="34"/>
        <v>2.2193656513898632</v>
      </c>
      <c r="S100">
        <f t="shared" ca="1" si="26"/>
        <v>0.12911906285902675</v>
      </c>
      <c r="T100" s="23">
        <f t="shared" ca="1" si="27"/>
        <v>2499.9999994994496</v>
      </c>
      <c r="U100">
        <f t="shared" ca="1" si="9"/>
        <v>1704.2637636229381</v>
      </c>
      <c r="V100">
        <f t="shared" si="10"/>
        <v>550</v>
      </c>
      <c r="W100">
        <f t="shared" si="28"/>
        <v>5.2192977958184277E-7</v>
      </c>
      <c r="X100">
        <f t="shared" ca="1" si="29"/>
        <v>8.8950601049704191E-4</v>
      </c>
      <c r="Y100">
        <f t="shared" ca="1" si="30"/>
        <v>5.690823484456832E-2</v>
      </c>
      <c r="Z100" s="6">
        <f t="shared" ca="1" si="11"/>
        <v>-2.1502625687899602E-4</v>
      </c>
      <c r="AA100">
        <f t="shared" ca="1" si="31"/>
        <v>6.2898164216045452E-2</v>
      </c>
      <c r="AB100">
        <f t="shared" ca="1" si="32"/>
        <v>2.0042279654666817E-2</v>
      </c>
      <c r="AC100">
        <f t="shared" ca="1" si="33"/>
        <v>1.3341077355170487E-2</v>
      </c>
      <c r="AD100">
        <f t="shared" ca="1" si="12"/>
        <v>9.6281521225882752E-2</v>
      </c>
      <c r="AE100">
        <f t="shared" ca="1" si="13"/>
        <v>0.17610660487909771</v>
      </c>
      <c r="AG100">
        <f t="shared" ca="1" si="14"/>
        <v>3.8112745135958345E-2</v>
      </c>
      <c r="AI100">
        <f t="shared" ca="1" si="15"/>
        <v>7.6440616313435822E-2</v>
      </c>
      <c r="AK100">
        <f t="shared" ca="1" si="16"/>
        <v>41.791838682906643</v>
      </c>
      <c r="AL100" s="6">
        <f t="shared" si="17"/>
        <v>3.0000000000000001E-5</v>
      </c>
      <c r="AM100" s="6">
        <f t="shared" ca="1" si="18"/>
        <v>128779.94078884002</v>
      </c>
      <c r="AN100" s="6">
        <f t="shared" ca="1" si="19"/>
        <v>4.2957334457796236E-3</v>
      </c>
    </row>
    <row r="101" spans="1:40" x14ac:dyDescent="0.25">
      <c r="A101">
        <f t="shared" si="20"/>
        <v>62</v>
      </c>
      <c r="B101">
        <f t="shared" si="0"/>
        <v>2.574754967087785</v>
      </c>
      <c r="C101">
        <f t="shared" ca="1" si="21"/>
        <v>0.19299217586494327</v>
      </c>
      <c r="D101">
        <f t="shared" si="1"/>
        <v>2500</v>
      </c>
      <c r="E101">
        <f t="shared" ca="1" si="6"/>
        <v>1662.384320817735</v>
      </c>
      <c r="F101">
        <f t="shared" si="2"/>
        <v>550</v>
      </c>
      <c r="G101">
        <f t="shared" si="3"/>
        <v>5.2192977958184277E-7</v>
      </c>
      <c r="H101">
        <f t="shared" ca="1" si="7"/>
        <v>8.6764788214471181E-4</v>
      </c>
      <c r="I101">
        <f t="shared" ca="1" si="4"/>
        <v>7.2320283317915762E-2</v>
      </c>
      <c r="J101">
        <f t="shared" ca="1" si="22"/>
        <v>5.8285017482089738E-2</v>
      </c>
      <c r="K101">
        <f t="shared" ca="1" si="23"/>
        <v>1.5429132920711111E-2</v>
      </c>
      <c r="L101">
        <f t="shared" ca="1" si="24"/>
        <v>1.7954224089126194E-2</v>
      </c>
      <c r="M101">
        <f t="shared" ca="1" si="8"/>
        <v>9.1668374491927052E-2</v>
      </c>
      <c r="Q101">
        <f t="shared" si="25"/>
        <v>62</v>
      </c>
      <c r="R101" s="26">
        <f t="shared" si="34"/>
        <v>2.2557486948552703</v>
      </c>
      <c r="S101">
        <f t="shared" ca="1" si="26"/>
        <v>0.13118955764091628</v>
      </c>
      <c r="T101" s="23">
        <f t="shared" ca="1" si="27"/>
        <v>2499.9999994916261</v>
      </c>
      <c r="U101">
        <f t="shared" ca="1" si="9"/>
        <v>1702.9719919938329</v>
      </c>
      <c r="V101">
        <f t="shared" si="10"/>
        <v>550</v>
      </c>
      <c r="W101">
        <f t="shared" si="28"/>
        <v>5.2192977958184277E-7</v>
      </c>
      <c r="X101">
        <f t="shared" ca="1" si="29"/>
        <v>8.8883179641539292E-4</v>
      </c>
      <c r="Y101">
        <f t="shared" ca="1" si="30"/>
        <v>5.6865100416198841E-2</v>
      </c>
      <c r="Z101" s="6">
        <f t="shared" ca="1" si="11"/>
        <v>-2.1469229116987987E-4</v>
      </c>
      <c r="AA101">
        <f t="shared" ca="1" si="31"/>
        <v>6.2748625610656639E-2</v>
      </c>
      <c r="AB101">
        <f t="shared" ca="1" si="32"/>
        <v>1.9892741049278018E-2</v>
      </c>
      <c r="AC101">
        <f t="shared" ca="1" si="33"/>
        <v>1.3490615960559289E-2</v>
      </c>
      <c r="AD101">
        <f t="shared" ca="1" si="12"/>
        <v>9.6131982620493939E-2</v>
      </c>
      <c r="AE101">
        <f t="shared" ca="1" si="13"/>
        <v>0.17583308680724863</v>
      </c>
      <c r="AG101">
        <f t="shared" ca="1" si="14"/>
        <v>3.8053550737374486E-2</v>
      </c>
      <c r="AI101">
        <f t="shared" ca="1" si="15"/>
        <v>7.6559523911583438E-2</v>
      </c>
      <c r="AK101">
        <f t="shared" ca="1" si="16"/>
        <v>41.856848194729096</v>
      </c>
      <c r="AL101" s="6">
        <f t="shared" si="17"/>
        <v>3.0000000000000001E-5</v>
      </c>
      <c r="AM101" s="6">
        <f t="shared" ca="1" si="18"/>
        <v>128779.94078883996</v>
      </c>
      <c r="AN101" s="6">
        <f t="shared" ca="1" si="19"/>
        <v>4.2957334457796236E-3</v>
      </c>
    </row>
    <row r="102" spans="1:40" x14ac:dyDescent="0.25">
      <c r="A102">
        <f t="shared" si="20"/>
        <v>63</v>
      </c>
      <c r="B102">
        <f t="shared" si="0"/>
        <v>2.6162832730085559</v>
      </c>
      <c r="C102">
        <f t="shared" ca="1" si="21"/>
        <v>0.1959955147148465</v>
      </c>
      <c r="D102">
        <f t="shared" si="1"/>
        <v>2500</v>
      </c>
      <c r="E102">
        <f t="shared" ca="1" si="6"/>
        <v>1660.3063526918249</v>
      </c>
      <c r="F102">
        <f t="shared" si="2"/>
        <v>550</v>
      </c>
      <c r="G102">
        <f t="shared" si="3"/>
        <v>5.2192977958184277E-7</v>
      </c>
      <c r="H102">
        <f t="shared" ca="1" si="7"/>
        <v>8.665633286987775E-4</v>
      </c>
      <c r="I102">
        <f t="shared" ca="1" si="4"/>
        <v>7.2229883497784225E-2</v>
      </c>
      <c r="J102">
        <f t="shared" ca="1" si="22"/>
        <v>5.8068105511553565E-2</v>
      </c>
      <c r="K102">
        <f t="shared" ca="1" si="23"/>
        <v>1.5212220950174932E-2</v>
      </c>
      <c r="L102">
        <f t="shared" ca="1" si="24"/>
        <v>1.8171136059662373E-2</v>
      </c>
      <c r="M102">
        <f t="shared" ca="1" si="8"/>
        <v>9.1451462521390872E-2</v>
      </c>
      <c r="Q102">
        <f t="shared" si="25"/>
        <v>63</v>
      </c>
      <c r="R102" s="26">
        <f t="shared" si="34"/>
        <v>2.2921317383206783</v>
      </c>
      <c r="S102">
        <f t="shared" ca="1" si="26"/>
        <v>0.13325848306102364</v>
      </c>
      <c r="T102" s="23">
        <f t="shared" ca="1" si="27"/>
        <v>2499.9999994838149</v>
      </c>
      <c r="U102">
        <f t="shared" ca="1" si="9"/>
        <v>1701.6770034047072</v>
      </c>
      <c r="V102">
        <f t="shared" si="10"/>
        <v>550</v>
      </c>
      <c r="W102">
        <f t="shared" si="28"/>
        <v>5.2192977958184277E-7</v>
      </c>
      <c r="X102">
        <f t="shared" ca="1" si="29"/>
        <v>8.8815590330650952E-4</v>
      </c>
      <c r="Y102">
        <f t="shared" ca="1" si="30"/>
        <v>5.6821858568121095E-2</v>
      </c>
      <c r="Z102" s="6">
        <f t="shared" ca="1" si="11"/>
        <v>-2.143585785949517E-4</v>
      </c>
      <c r="AA102">
        <f t="shared" ca="1" si="31"/>
        <v>6.2599200350239442E-2</v>
      </c>
      <c r="AB102">
        <f t="shared" ca="1" si="32"/>
        <v>1.9743315788860818E-2</v>
      </c>
      <c r="AC102">
        <f t="shared" ca="1" si="33"/>
        <v>1.3640041220976486E-2</v>
      </c>
      <c r="AD102">
        <f t="shared" ca="1" si="12"/>
        <v>9.5982557360076742E-2</v>
      </c>
      <c r="AE102">
        <f t="shared" ca="1" si="13"/>
        <v>0.17555977605241771</v>
      </c>
      <c r="AG102">
        <f t="shared" ca="1" si="14"/>
        <v>3.7994401206049765E-2</v>
      </c>
      <c r="AI102">
        <f t="shared" ca="1" si="15"/>
        <v>7.6678711471412545E-2</v>
      </c>
      <c r="AK102">
        <f t="shared" ca="1" si="16"/>
        <v>41.922010768025665</v>
      </c>
      <c r="AL102" s="6">
        <f t="shared" si="17"/>
        <v>3.0000000000000001E-5</v>
      </c>
      <c r="AM102" s="6">
        <f t="shared" ca="1" si="18"/>
        <v>128779.94078883997</v>
      </c>
      <c r="AN102" s="6">
        <f t="shared" ca="1" si="19"/>
        <v>4.2957334457796236E-3</v>
      </c>
    </row>
    <row r="103" spans="1:40" x14ac:dyDescent="0.25">
      <c r="A103">
        <f t="shared" si="20"/>
        <v>64</v>
      </c>
      <c r="B103">
        <f t="shared" ref="B103:B166" si="35">$B$33*A103/$B$36</f>
        <v>2.6578115789293264</v>
      </c>
      <c r="C103">
        <f t="shared" ca="1" si="21"/>
        <v>0.1989950994133641</v>
      </c>
      <c r="D103">
        <f t="shared" ref="D103:D166" si="36">$B$26</f>
        <v>2500</v>
      </c>
      <c r="E103">
        <f t="shared" ca="1" si="6"/>
        <v>1658.220665671108</v>
      </c>
      <c r="F103">
        <f t="shared" ref="F103:F166" si="37">$B$27</f>
        <v>550</v>
      </c>
      <c r="G103">
        <f t="shared" ref="G103:G166" si="38">$B$24*EXP(-$B$25/F103)</f>
        <v>5.2192977958184277E-7</v>
      </c>
      <c r="H103">
        <f t="shared" ca="1" si="7"/>
        <v>8.6547474653177799E-4</v>
      </c>
      <c r="I103">
        <f t="shared" ref="I103:I166" ca="1" si="39">H103*$B$32/$B$9</f>
        <v>7.213914787524385E-2</v>
      </c>
      <c r="J103">
        <f t="shared" ca="1" si="22"/>
        <v>5.7851464679378864E-2</v>
      </c>
      <c r="K103">
        <f t="shared" ca="1" si="23"/>
        <v>1.4995580118000239E-2</v>
      </c>
      <c r="L103">
        <f t="shared" ca="1" si="24"/>
        <v>1.8387776891837064E-2</v>
      </c>
      <c r="M103">
        <f t="shared" ca="1" si="8"/>
        <v>9.1234821689216178E-2</v>
      </c>
      <c r="Q103">
        <f t="shared" si="25"/>
        <v>64</v>
      </c>
      <c r="R103" s="26">
        <f t="shared" si="34"/>
        <v>2.3285147817860858</v>
      </c>
      <c r="S103">
        <f t="shared" ca="1" si="26"/>
        <v>0.13532583521109284</v>
      </c>
      <c r="T103" s="23">
        <f t="shared" ca="1" si="27"/>
        <v>2499.999999476016</v>
      </c>
      <c r="U103">
        <f t="shared" ca="1" si="9"/>
        <v>1700.3787894036295</v>
      </c>
      <c r="V103">
        <f t="shared" si="10"/>
        <v>550</v>
      </c>
      <c r="W103">
        <f t="shared" si="28"/>
        <v>5.2192977958184277E-7</v>
      </c>
      <c r="X103">
        <f t="shared" ca="1" si="29"/>
        <v>8.8747832675907697E-4</v>
      </c>
      <c r="Y103">
        <f t="shared" ca="1" si="30"/>
        <v>5.6778509018110837E-2</v>
      </c>
      <c r="Z103" s="6">
        <f t="shared" ca="1" si="11"/>
        <v>-2.1402511978460336E-4</v>
      </c>
      <c r="AA103">
        <f t="shared" ca="1" si="31"/>
        <v>6.2449888717062203E-2</v>
      </c>
      <c r="AB103">
        <f t="shared" ca="1" si="32"/>
        <v>1.9594004155683575E-2</v>
      </c>
      <c r="AC103">
        <f t="shared" ca="1" si="33"/>
        <v>1.3789352854153732E-2</v>
      </c>
      <c r="AD103">
        <f t="shared" ca="1" si="12"/>
        <v>9.5833245726899496E-2</v>
      </c>
      <c r="AE103">
        <f t="shared" ca="1" si="13"/>
        <v>0.1752866731308963</v>
      </c>
      <c r="AG103">
        <f t="shared" ca="1" si="14"/>
        <v>3.7935296653719218E-2</v>
      </c>
      <c r="AI103">
        <f t="shared" ca="1" si="15"/>
        <v>7.6798179653387214E-2</v>
      </c>
      <c r="AK103">
        <f t="shared" ca="1" si="16"/>
        <v>41.987326763887204</v>
      </c>
      <c r="AL103" s="6">
        <f t="shared" si="17"/>
        <v>3.0000000000000001E-5</v>
      </c>
      <c r="AM103" s="6">
        <f t="shared" ca="1" si="18"/>
        <v>128779.94078883997</v>
      </c>
      <c r="AN103" s="6">
        <f t="shared" ca="1" si="19"/>
        <v>4.2957334457796236E-3</v>
      </c>
    </row>
    <row r="104" spans="1:40" x14ac:dyDescent="0.25">
      <c r="A104">
        <f t="shared" si="20"/>
        <v>65</v>
      </c>
      <c r="B104">
        <f t="shared" si="35"/>
        <v>2.6993398848500969</v>
      </c>
      <c r="C104">
        <f t="shared" ca="1" si="21"/>
        <v>0.20199091601519092</v>
      </c>
      <c r="D104">
        <f t="shared" si="36"/>
        <v>2500</v>
      </c>
      <c r="E104">
        <f t="shared" ref="E104:E167" ca="1" si="40">D104*$B$9*(1-C104)/($B$9+$B$10-$B$9*C104)</f>
        <v>1656.1272313631473</v>
      </c>
      <c r="F104">
        <f t="shared" si="37"/>
        <v>550</v>
      </c>
      <c r="G104">
        <f t="shared" si="38"/>
        <v>5.2192977958184277E-7</v>
      </c>
      <c r="H104">
        <f t="shared" ref="H104:H167" ca="1" si="41">G104*E104</f>
        <v>8.6438212082485502E-4</v>
      </c>
      <c r="I104">
        <f t="shared" ca="1" si="39"/>
        <v>7.2048075215111515E-2</v>
      </c>
      <c r="J104">
        <f t="shared" ca="1" si="22"/>
        <v>5.7635095992745924E-2</v>
      </c>
      <c r="K104">
        <f t="shared" ca="1" si="23"/>
        <v>1.4779211431367296E-2</v>
      </c>
      <c r="L104">
        <f t="shared" ca="1" si="24"/>
        <v>1.8604145578470007E-2</v>
      </c>
      <c r="M104">
        <f t="shared" ref="M104:M167" ca="1" si="42">J104+K104+L104</f>
        <v>9.1018453002583238E-2</v>
      </c>
      <c r="Q104">
        <f t="shared" si="25"/>
        <v>65</v>
      </c>
      <c r="R104" s="26">
        <f t="shared" si="34"/>
        <v>2.3648978252514934</v>
      </c>
      <c r="S104">
        <f t="shared" ca="1" si="26"/>
        <v>0.13739161017259979</v>
      </c>
      <c r="T104" s="23">
        <f t="shared" ca="1" si="27"/>
        <v>2499.9999994682289</v>
      </c>
      <c r="U104">
        <f t="shared" ref="U104:U167" ca="1" si="43">T104*$B$9*(1-S104)/($B$9+$B$10-$B$9*S104)</f>
        <v>1699.0773415300182</v>
      </c>
      <c r="V104">
        <f t="shared" ref="V104:V167" si="44">$R$27</f>
        <v>550</v>
      </c>
      <c r="W104">
        <f t="shared" si="28"/>
        <v>5.2192977958184277E-7</v>
      </c>
      <c r="X104">
        <f t="shared" ref="X104:X167" ca="1" si="45">W104*U104</f>
        <v>8.867990623572658E-4</v>
      </c>
      <c r="Y104">
        <f t="shared" ca="1" si="30"/>
        <v>5.6735051483655034E-2</v>
      </c>
      <c r="Z104" s="6">
        <f t="shared" ref="Z104:Z167" ca="1" si="46">-32*AN104*AK104*AE104^2/PI()^2/$R$31^5</f>
        <v>-2.1369191537088341E-4</v>
      </c>
      <c r="AA104">
        <f t="shared" ca="1" si="31"/>
        <v>6.2300690994134864E-2</v>
      </c>
      <c r="AB104">
        <f t="shared" ca="1" si="32"/>
        <v>1.9444806432756236E-2</v>
      </c>
      <c r="AC104">
        <f t="shared" ca="1" si="33"/>
        <v>1.3938550577081068E-2</v>
      </c>
      <c r="AD104">
        <f t="shared" ref="AD104:AD167" ca="1" si="47">AA104+AB104+AC104</f>
        <v>9.5684048003972177E-2</v>
      </c>
      <c r="AE104">
        <f t="shared" ref="AE104:AE167" ca="1" si="48">8.314*AD104*V104/T104</f>
        <v>0.17501377856033237</v>
      </c>
      <c r="AG104">
        <f t="shared" ref="AG104:AG167" ca="1" si="49">AE104/$R$32</f>
        <v>3.7876237192411503E-2</v>
      </c>
      <c r="AI104">
        <f t="shared" ref="AI104:AI167" ca="1" si="50">(AA104*$B$5+AB104*$B$6+AC104*$B$7)/AD104/1000</f>
        <v>7.6917929118091852E-2</v>
      </c>
      <c r="AK104">
        <f t="shared" ref="AK104:AK167" ca="1" si="51">AD104*1000*AI104/AE104</f>
        <v>42.05279654347035</v>
      </c>
      <c r="AL104" s="6">
        <f t="shared" ref="AL104:AL167" si="52">$R$34</f>
        <v>3.0000000000000001E-5</v>
      </c>
      <c r="AM104" s="6">
        <f t="shared" ref="AM104:AM167" ca="1" si="53">$R$31*AG104*AK104/AL104</f>
        <v>128779.94078883997</v>
      </c>
      <c r="AN104" s="6">
        <f t="shared" ref="AN104:AN167" ca="1" si="54">0.0014+0.125*AM104^-0.32</f>
        <v>4.2957334457796236E-3</v>
      </c>
    </row>
    <row r="105" spans="1:40" x14ac:dyDescent="0.25">
      <c r="A105">
        <f t="shared" ref="A105:A168" si="55">A104+1</f>
        <v>66</v>
      </c>
      <c r="B105">
        <f t="shared" si="35"/>
        <v>2.7408681907708679</v>
      </c>
      <c r="C105">
        <f t="shared" ref="C105:C168" ca="1" si="56">C104+(B105-B104)*I104</f>
        <v>0.20498295052372678</v>
      </c>
      <c r="D105">
        <f t="shared" si="36"/>
        <v>2500</v>
      </c>
      <c r="E105">
        <f t="shared" ca="1" si="40"/>
        <v>1654.0260213710619</v>
      </c>
      <c r="F105">
        <f t="shared" si="37"/>
        <v>550</v>
      </c>
      <c r="G105">
        <f t="shared" si="38"/>
        <v>5.2192977958184277E-7</v>
      </c>
      <c r="H105">
        <f t="shared" ca="1" si="41"/>
        <v>8.6328543675683067E-4</v>
      </c>
      <c r="I105">
        <f t="shared" ca="1" si="39"/>
        <v>7.1956664282010738E-2</v>
      </c>
      <c r="J105">
        <f t="shared" ref="J105:J168" ca="1" si="57">$B$9*(1-C105)</f>
        <v>5.7419000462539706E-2</v>
      </c>
      <c r="K105">
        <f t="shared" ref="K105:K168" ca="1" si="58">$B$10-$B$9*C105</f>
        <v>1.4563115901161081E-2</v>
      </c>
      <c r="L105">
        <f t="shared" ref="L105:L168" ca="1" si="59">$B$11+$B$9*C105</f>
        <v>1.8820241108676222E-2</v>
      </c>
      <c r="M105">
        <f t="shared" ca="1" si="42"/>
        <v>9.0802357472377013E-2</v>
      </c>
      <c r="Q105">
        <f t="shared" ref="Q105:Q168" si="60">Q104+1</f>
        <v>66</v>
      </c>
      <c r="R105" s="26">
        <f t="shared" si="34"/>
        <v>2.4012808687169009</v>
      </c>
      <c r="S105">
        <f t="shared" ref="S105:S168" ca="1" si="61">S104+(R105-R104)*Y104</f>
        <v>0.13945580401674174</v>
      </c>
      <c r="T105" s="23">
        <f t="shared" ref="T105:T168" ca="1" si="62">T104+(R105-R104)*Z104/1000</f>
        <v>2499.9999994604541</v>
      </c>
      <c r="U105">
        <f t="shared" ca="1" si="43"/>
        <v>1697.7726513148357</v>
      </c>
      <c r="V105">
        <f t="shared" si="44"/>
        <v>550</v>
      </c>
      <c r="W105">
        <f t="shared" ref="W105:W168" si="63">$R$24*EXP(-$R$25/V105)</f>
        <v>5.2192977958184277E-7</v>
      </c>
      <c r="X105">
        <f t="shared" ca="1" si="45"/>
        <v>8.8611810568083298E-4</v>
      </c>
      <c r="Y105">
        <f t="shared" ref="Y105:Y168" ca="1" si="64">X105*$R$32/$B$9</f>
        <v>5.669148568195824E-2</v>
      </c>
      <c r="Z105" s="6">
        <f t="shared" ca="1" si="46"/>
        <v>-2.133589659874977E-4</v>
      </c>
      <c r="AA105">
        <f t="shared" ref="AA105:AA168" ca="1" si="65">$B$9*(1-S105)</f>
        <v>6.2151607465209743E-2</v>
      </c>
      <c r="AB105">
        <f t="shared" ref="AB105:AB168" ca="1" si="66">$B$10-$B$9*S105</f>
        <v>1.9295722903831119E-2</v>
      </c>
      <c r="AC105">
        <f t="shared" ref="AC105:AC168" ca="1" si="67">$B$11+$B$9*S105</f>
        <v>1.4087634106006185E-2</v>
      </c>
      <c r="AD105">
        <f t="shared" ca="1" si="47"/>
        <v>9.5534964475047057E-2</v>
      </c>
      <c r="AE105">
        <f t="shared" ca="1" si="48"/>
        <v>0.17474109285973141</v>
      </c>
      <c r="AG105">
        <f t="shared" ca="1" si="49"/>
        <v>3.7817222934449064E-2</v>
      </c>
      <c r="AI105">
        <f t="shared" ca="1" si="50"/>
        <v>7.7037960526210841E-2</v>
      </c>
      <c r="AK105">
        <f t="shared" ca="1" si="51"/>
        <v>42.118420467986439</v>
      </c>
      <c r="AL105" s="6">
        <f t="shared" si="52"/>
        <v>3.0000000000000001E-5</v>
      </c>
      <c r="AM105" s="6">
        <f t="shared" ca="1" si="53"/>
        <v>128779.94078883999</v>
      </c>
      <c r="AN105" s="6">
        <f t="shared" ca="1" si="54"/>
        <v>4.2957334457796236E-3</v>
      </c>
    </row>
    <row r="106" spans="1:40" x14ac:dyDescent="0.25">
      <c r="A106">
        <f t="shared" si="55"/>
        <v>67</v>
      </c>
      <c r="B106">
        <f t="shared" si="35"/>
        <v>2.7823964966916384</v>
      </c>
      <c r="C106">
        <f t="shared" ca="1" si="56"/>
        <v>0.2079711888910683</v>
      </c>
      <c r="D106">
        <f t="shared" si="36"/>
        <v>2500</v>
      </c>
      <c r="E106">
        <f t="shared" ca="1" si="40"/>
        <v>1651.9170072957261</v>
      </c>
      <c r="F106">
        <f t="shared" si="37"/>
        <v>550</v>
      </c>
      <c r="G106">
        <f t="shared" si="38"/>
        <v>5.2192977958184277E-7</v>
      </c>
      <c r="H106">
        <f t="shared" ca="1" si="41"/>
        <v>8.6218467950535563E-4</v>
      </c>
      <c r="I106">
        <f t="shared" ca="1" si="39"/>
        <v>7.1864913840467379E-2</v>
      </c>
      <c r="J106">
        <f t="shared" ca="1" si="57"/>
        <v>5.7203179103350509E-2</v>
      </c>
      <c r="K106">
        <f t="shared" ca="1" si="58"/>
        <v>1.4347294541971875E-2</v>
      </c>
      <c r="L106">
        <f t="shared" ca="1" si="59"/>
        <v>1.903606246786543E-2</v>
      </c>
      <c r="M106">
        <f t="shared" ca="1" si="42"/>
        <v>9.0586536113187816E-2</v>
      </c>
      <c r="Q106">
        <f t="shared" si="60"/>
        <v>67</v>
      </c>
      <c r="R106" s="26">
        <f t="shared" si="34"/>
        <v>2.4376639121823085</v>
      </c>
      <c r="S106">
        <f t="shared" ca="1" si="61"/>
        <v>0.14151841280442695</v>
      </c>
      <c r="T106" s="23">
        <f t="shared" ca="1" si="62"/>
        <v>2499.9999994526916</v>
      </c>
      <c r="U106">
        <f t="shared" ca="1" si="43"/>
        <v>1696.4647102807858</v>
      </c>
      <c r="V106">
        <f t="shared" si="44"/>
        <v>550</v>
      </c>
      <c r="W106">
        <f t="shared" si="63"/>
        <v>5.2192977958184277E-7</v>
      </c>
      <c r="X106">
        <f t="shared" ca="1" si="45"/>
        <v>8.8543545230522524E-4</v>
      </c>
      <c r="Y106">
        <f t="shared" ca="1" si="64"/>
        <v>5.6647811329949296E-2</v>
      </c>
      <c r="Z106" s="6">
        <f t="shared" ca="1" si="46"/>
        <v>-2.1302627226981214E-4</v>
      </c>
      <c r="AA106">
        <f t="shared" ca="1" si="65"/>
        <v>6.200263841478227E-2</v>
      </c>
      <c r="AB106">
        <f t="shared" ca="1" si="66"/>
        <v>1.9146753853403642E-2</v>
      </c>
      <c r="AC106">
        <f t="shared" ca="1" si="67"/>
        <v>1.4236603156433665E-2</v>
      </c>
      <c r="AD106">
        <f t="shared" ca="1" si="47"/>
        <v>9.5385995424619563E-2</v>
      </c>
      <c r="AE106">
        <f t="shared" ca="1" si="48"/>
        <v>0.17446861654945842</v>
      </c>
      <c r="AG106">
        <f t="shared" ca="1" si="49"/>
        <v>3.7758253992448566E-2</v>
      </c>
      <c r="AI106">
        <f t="shared" ca="1" si="50"/>
        <v>7.715827453850764E-2</v>
      </c>
      <c r="AK106">
        <f t="shared" ca="1" si="51"/>
        <v>42.184198898689992</v>
      </c>
      <c r="AL106" s="6">
        <f t="shared" si="52"/>
        <v>3.0000000000000001E-5</v>
      </c>
      <c r="AM106" s="6">
        <f t="shared" ca="1" si="53"/>
        <v>128779.94078883999</v>
      </c>
      <c r="AN106" s="6">
        <f t="shared" ca="1" si="54"/>
        <v>4.2957334457796236E-3</v>
      </c>
    </row>
    <row r="107" spans="1:40" x14ac:dyDescent="0.25">
      <c r="A107">
        <f t="shared" si="55"/>
        <v>68</v>
      </c>
      <c r="B107">
        <f t="shared" si="35"/>
        <v>2.8239248026124089</v>
      </c>
      <c r="C107">
        <f t="shared" ca="1" si="56"/>
        <v>0.21095561701800505</v>
      </c>
      <c r="D107">
        <f t="shared" si="36"/>
        <v>2500</v>
      </c>
      <c r="E107">
        <f t="shared" ca="1" si="40"/>
        <v>1649.8001607380093</v>
      </c>
      <c r="F107">
        <f t="shared" si="37"/>
        <v>550</v>
      </c>
      <c r="G107">
        <f t="shared" si="38"/>
        <v>5.2192977958184277E-7</v>
      </c>
      <c r="H107">
        <f t="shared" ca="1" si="41"/>
        <v>8.610798342480779E-4</v>
      </c>
      <c r="I107">
        <f t="shared" ca="1" si="39"/>
        <v>7.1772822655007132E-2</v>
      </c>
      <c r="J107">
        <f t="shared" ca="1" si="57"/>
        <v>5.6987632933474169E-2</v>
      </c>
      <c r="K107">
        <f t="shared" ca="1" si="58"/>
        <v>1.4131748372095538E-2</v>
      </c>
      <c r="L107">
        <f t="shared" ca="1" si="59"/>
        <v>1.9251608637741766E-2</v>
      </c>
      <c r="M107">
        <f t="shared" ca="1" si="42"/>
        <v>9.0370989943311469E-2</v>
      </c>
      <c r="Q107">
        <f t="shared" si="60"/>
        <v>68</v>
      </c>
      <c r="R107" s="26">
        <f t="shared" si="34"/>
        <v>2.474046955647716</v>
      </c>
      <c r="S107">
        <f t="shared" ca="1" si="61"/>
        <v>0.14357943258626471</v>
      </c>
      <c r="T107" s="23">
        <f t="shared" ca="1" si="62"/>
        <v>2499.9999994449408</v>
      </c>
      <c r="U107">
        <f t="shared" ca="1" si="43"/>
        <v>1695.1535099425109</v>
      </c>
      <c r="V107">
        <f t="shared" si="44"/>
        <v>550</v>
      </c>
      <c r="W107">
        <f t="shared" si="63"/>
        <v>5.2192977958184277E-7</v>
      </c>
      <c r="X107">
        <f t="shared" ca="1" si="45"/>
        <v>8.8475109780168182E-4</v>
      </c>
      <c r="Y107">
        <f t="shared" ca="1" si="64"/>
        <v>5.6604028144287818E-2</v>
      </c>
      <c r="Z107" s="6">
        <f t="shared" ca="1" si="46"/>
        <v>-2.1269383485485386E-4</v>
      </c>
      <c r="AA107">
        <f t="shared" ca="1" si="65"/>
        <v>6.1853784128091678E-2</v>
      </c>
      <c r="AB107">
        <f t="shared" ca="1" si="66"/>
        <v>1.8997899566713054E-2</v>
      </c>
      <c r="AC107">
        <f t="shared" ca="1" si="67"/>
        <v>1.438545744312425E-2</v>
      </c>
      <c r="AD107">
        <f t="shared" ca="1" si="47"/>
        <v>9.5237141137928985E-2</v>
      </c>
      <c r="AE107">
        <f t="shared" ca="1" si="48"/>
        <v>0.17419635015123885</v>
      </c>
      <c r="AG107">
        <f t="shared" ca="1" si="49"/>
        <v>3.7699330479321093E-2</v>
      </c>
      <c r="AI107">
        <f t="shared" ca="1" si="50"/>
        <v>7.7278871815803798E-2</v>
      </c>
      <c r="AK107">
        <f t="shared" ca="1" si="51"/>
        <v>42.250132196867312</v>
      </c>
      <c r="AL107" s="6">
        <f t="shared" si="52"/>
        <v>3.0000000000000001E-5</v>
      </c>
      <c r="AM107" s="6">
        <f t="shared" ca="1" si="53"/>
        <v>128779.94078883996</v>
      </c>
      <c r="AN107" s="6">
        <f t="shared" ca="1" si="54"/>
        <v>4.2957334457796236E-3</v>
      </c>
    </row>
    <row r="108" spans="1:40" x14ac:dyDescent="0.25">
      <c r="A108">
        <f t="shared" si="55"/>
        <v>69</v>
      </c>
      <c r="B108">
        <f t="shared" si="35"/>
        <v>2.8654531085331802</v>
      </c>
      <c r="C108">
        <f t="shared" ca="1" si="56"/>
        <v>0.21393622075401947</v>
      </c>
      <c r="D108">
        <f t="shared" si="36"/>
        <v>2500</v>
      </c>
      <c r="E108">
        <f t="shared" ca="1" si="40"/>
        <v>1647.6754533010615</v>
      </c>
      <c r="F108">
        <f t="shared" si="37"/>
        <v>550</v>
      </c>
      <c r="G108">
        <f t="shared" si="38"/>
        <v>5.2192977958184277E-7</v>
      </c>
      <c r="H108">
        <f t="shared" ca="1" si="41"/>
        <v>8.5997088616383583E-4</v>
      </c>
      <c r="I108">
        <f t="shared" ca="1" si="39"/>
        <v>7.1680389490254862E-2</v>
      </c>
      <c r="J108">
        <f t="shared" ca="1" si="57"/>
        <v>5.6772362974912144E-2</v>
      </c>
      <c r="K108">
        <f t="shared" ca="1" si="58"/>
        <v>1.3916478413533514E-2</v>
      </c>
      <c r="L108">
        <f t="shared" ca="1" si="59"/>
        <v>1.9466878596303791E-2</v>
      </c>
      <c r="M108">
        <f t="shared" ca="1" si="42"/>
        <v>9.0155719984749444E-2</v>
      </c>
      <c r="Q108">
        <f t="shared" si="60"/>
        <v>69</v>
      </c>
      <c r="R108" s="26">
        <f t="shared" si="34"/>
        <v>2.5104299991131236</v>
      </c>
      <c r="S108">
        <f t="shared" ca="1" si="61"/>
        <v>0.1456388594025555</v>
      </c>
      <c r="T108" s="23">
        <f t="shared" ca="1" si="62"/>
        <v>2499.9999994372024</v>
      </c>
      <c r="U108">
        <f t="shared" ca="1" si="43"/>
        <v>1693.8390418067984</v>
      </c>
      <c r="V108">
        <f t="shared" si="44"/>
        <v>550</v>
      </c>
      <c r="W108">
        <f t="shared" si="63"/>
        <v>5.2192977958184277E-7</v>
      </c>
      <c r="X108">
        <f t="shared" ca="1" si="45"/>
        <v>8.8406503773734207E-4</v>
      </c>
      <c r="Y108">
        <f t="shared" ca="1" si="64"/>
        <v>5.6560135841371158E-2</v>
      </c>
      <c r="Z108" s="6">
        <f t="shared" ca="1" si="46"/>
        <v>-2.1236165438131267E-4</v>
      </c>
      <c r="AA108">
        <f t="shared" ca="1" si="65"/>
        <v>6.1705044891121774E-2</v>
      </c>
      <c r="AB108">
        <f t="shared" ca="1" si="66"/>
        <v>1.8849160329743146E-2</v>
      </c>
      <c r="AC108">
        <f t="shared" ca="1" si="67"/>
        <v>1.4534196680094157E-2</v>
      </c>
      <c r="AD108">
        <f t="shared" ca="1" si="47"/>
        <v>9.5088401900959088E-2</v>
      </c>
      <c r="AE108">
        <f t="shared" ca="1" si="48"/>
        <v>0.17392429418815991</v>
      </c>
      <c r="AG108">
        <f t="shared" ca="1" si="49"/>
        <v>3.7640452508272457E-2</v>
      </c>
      <c r="AI108">
        <f t="shared" ca="1" si="50"/>
        <v>7.7399753018957795E-2</v>
      </c>
      <c r="AK108">
        <f t="shared" ca="1" si="51"/>
        <v>42.316220723824891</v>
      </c>
      <c r="AL108" s="6">
        <f t="shared" si="52"/>
        <v>3.0000000000000001E-5</v>
      </c>
      <c r="AM108" s="6">
        <f t="shared" ca="1" si="53"/>
        <v>128779.94078883996</v>
      </c>
      <c r="AN108" s="6">
        <f t="shared" ca="1" si="54"/>
        <v>4.2957334457796236E-3</v>
      </c>
    </row>
    <row r="109" spans="1:40" x14ac:dyDescent="0.25">
      <c r="A109">
        <f t="shared" si="55"/>
        <v>70</v>
      </c>
      <c r="B109">
        <f t="shared" si="35"/>
        <v>2.9069814144539508</v>
      </c>
      <c r="C109">
        <f t="shared" ca="1" si="56"/>
        <v>0.21691298589729074</v>
      </c>
      <c r="D109">
        <f t="shared" si="36"/>
        <v>2500</v>
      </c>
      <c r="E109">
        <f t="shared" ca="1" si="40"/>
        <v>1645.5428565926379</v>
      </c>
      <c r="F109">
        <f t="shared" si="37"/>
        <v>550</v>
      </c>
      <c r="G109">
        <f t="shared" si="38"/>
        <v>5.2192977958184277E-7</v>
      </c>
      <c r="H109">
        <f t="shared" ca="1" si="41"/>
        <v>8.5885782043387143E-4</v>
      </c>
      <c r="I109">
        <f t="shared" ca="1" si="39"/>
        <v>7.1587613111035772E-2</v>
      </c>
      <c r="J109">
        <f t="shared" ca="1" si="57"/>
        <v>5.6557370253371188E-2</v>
      </c>
      <c r="K109">
        <f t="shared" ca="1" si="58"/>
        <v>1.3701485691992556E-2</v>
      </c>
      <c r="L109">
        <f t="shared" ca="1" si="59"/>
        <v>1.9681871317844747E-2</v>
      </c>
      <c r="M109">
        <f t="shared" ca="1" si="42"/>
        <v>8.9940727263208481E-2</v>
      </c>
      <c r="Q109">
        <f t="shared" si="60"/>
        <v>70</v>
      </c>
      <c r="R109" s="26">
        <f t="shared" si="34"/>
        <v>2.5468130425785311</v>
      </c>
      <c r="S109">
        <f t="shared" ca="1" si="61"/>
        <v>0.14769668928328147</v>
      </c>
      <c r="T109" s="23">
        <f t="shared" ca="1" si="62"/>
        <v>2499.9999994294762</v>
      </c>
      <c r="U109">
        <f t="shared" ca="1" si="43"/>
        <v>1692.5212973727821</v>
      </c>
      <c r="V109">
        <f t="shared" si="44"/>
        <v>550</v>
      </c>
      <c r="W109">
        <f t="shared" si="63"/>
        <v>5.2192977958184277E-7</v>
      </c>
      <c r="X109">
        <f t="shared" ca="1" si="45"/>
        <v>8.8337726767535071E-4</v>
      </c>
      <c r="Y109">
        <f t="shared" ca="1" si="64"/>
        <v>5.6516134137341079E-2</v>
      </c>
      <c r="Z109" s="6">
        <f t="shared" ca="1" si="46"/>
        <v>-2.1202973148954252E-4</v>
      </c>
      <c r="AA109">
        <f t="shared" ca="1" si="65"/>
        <v>6.155642099060156E-2</v>
      </c>
      <c r="AB109">
        <f t="shared" ca="1" si="66"/>
        <v>1.8700536429222939E-2</v>
      </c>
      <c r="AC109">
        <f t="shared" ca="1" si="67"/>
        <v>1.4682820580614368E-2</v>
      </c>
      <c r="AD109">
        <f t="shared" ca="1" si="47"/>
        <v>9.4939778000438874E-2</v>
      </c>
      <c r="AE109">
        <f t="shared" ca="1" si="48"/>
        <v>0.17365244918467188</v>
      </c>
      <c r="AG109">
        <f t="shared" ca="1" si="49"/>
        <v>3.758162019280345E-2</v>
      </c>
      <c r="AI109">
        <f t="shared" ca="1" si="50"/>
        <v>7.7520918808843306E-2</v>
      </c>
      <c r="AK109">
        <f t="shared" ca="1" si="51"/>
        <v>42.382464840877546</v>
      </c>
      <c r="AL109" s="6">
        <f t="shared" si="52"/>
        <v>3.0000000000000001E-5</v>
      </c>
      <c r="AM109" s="6">
        <f t="shared" ca="1" si="53"/>
        <v>128779.94078883999</v>
      </c>
      <c r="AN109" s="6">
        <f t="shared" ca="1" si="54"/>
        <v>4.2957334457796236E-3</v>
      </c>
    </row>
    <row r="110" spans="1:40" x14ac:dyDescent="0.25">
      <c r="A110">
        <f t="shared" si="55"/>
        <v>71</v>
      </c>
      <c r="B110">
        <f t="shared" si="35"/>
        <v>2.9485097203747217</v>
      </c>
      <c r="C110">
        <f t="shared" ca="1" si="56"/>
        <v>0.21988589819470364</v>
      </c>
      <c r="D110">
        <f t="shared" si="36"/>
        <v>2500</v>
      </c>
      <c r="E110">
        <f t="shared" ca="1" si="40"/>
        <v>1643.4023422274693</v>
      </c>
      <c r="F110">
        <f t="shared" si="37"/>
        <v>550</v>
      </c>
      <c r="G110">
        <f t="shared" si="38"/>
        <v>5.2192977958184277E-7</v>
      </c>
      <c r="H110">
        <f t="shared" ca="1" si="41"/>
        <v>8.5774062224306714E-4</v>
      </c>
      <c r="I110">
        <f t="shared" ca="1" si="39"/>
        <v>7.1494492282478561E-2</v>
      </c>
      <c r="J110">
        <f t="shared" ca="1" si="57"/>
        <v>5.6342655798262718E-2</v>
      </c>
      <c r="K110">
        <f t="shared" ca="1" si="58"/>
        <v>1.3486771236884087E-2</v>
      </c>
      <c r="L110">
        <f t="shared" ca="1" si="59"/>
        <v>1.9896585772953217E-2</v>
      </c>
      <c r="M110">
        <f t="shared" ca="1" si="42"/>
        <v>8.9726012808100025E-2</v>
      </c>
      <c r="Q110">
        <f t="shared" si="60"/>
        <v>71</v>
      </c>
      <c r="R110" s="26">
        <f t="shared" si="34"/>
        <v>2.5831960860439387</v>
      </c>
      <c r="S110">
        <f t="shared" ca="1" si="61"/>
        <v>0.14975291824809717</v>
      </c>
      <c r="T110" s="23">
        <f t="shared" ca="1" si="62"/>
        <v>2499.9999994217619</v>
      </c>
      <c r="U110">
        <f t="shared" ca="1" si="43"/>
        <v>1691.2002681321521</v>
      </c>
      <c r="V110">
        <f t="shared" si="44"/>
        <v>550</v>
      </c>
      <c r="W110">
        <f t="shared" si="63"/>
        <v>5.2192977958184277E-7</v>
      </c>
      <c r="X110">
        <f t="shared" ca="1" si="45"/>
        <v>8.8268778317496753E-4</v>
      </c>
      <c r="Y110">
        <f t="shared" ca="1" si="64"/>
        <v>5.6472022748090801E-2</v>
      </c>
      <c r="Z110" s="6">
        <f t="shared" ca="1" si="46"/>
        <v>-2.1169806682156344E-4</v>
      </c>
      <c r="AA110">
        <f t="shared" ca="1" si="65"/>
        <v>6.1407912714005961E-2</v>
      </c>
      <c r="AB110">
        <f t="shared" ca="1" si="66"/>
        <v>1.855202815262734E-2</v>
      </c>
      <c r="AC110">
        <f t="shared" ca="1" si="67"/>
        <v>1.4831328857209967E-2</v>
      </c>
      <c r="AD110">
        <f t="shared" ca="1" si="47"/>
        <v>9.4791269723843274E-2</v>
      </c>
      <c r="AE110">
        <f t="shared" ca="1" si="48"/>
        <v>0.17338081566658942</v>
      </c>
      <c r="AG110">
        <f t="shared" ca="1" si="49"/>
        <v>3.7522833646710142E-2</v>
      </c>
      <c r="AI110">
        <f t="shared" ca="1" si="50"/>
        <v>7.7642369846327539E-2</v>
      </c>
      <c r="AK110">
        <f t="shared" ca="1" si="51"/>
        <v>42.448864909336507</v>
      </c>
      <c r="AL110" s="6">
        <f t="shared" si="52"/>
        <v>3.0000000000000001E-5</v>
      </c>
      <c r="AM110" s="6">
        <f t="shared" ca="1" si="53"/>
        <v>128779.94078883996</v>
      </c>
      <c r="AN110" s="6">
        <f t="shared" ca="1" si="54"/>
        <v>4.2957334457796236E-3</v>
      </c>
    </row>
    <row r="111" spans="1:40" x14ac:dyDescent="0.25">
      <c r="A111">
        <f t="shared" si="55"/>
        <v>72</v>
      </c>
      <c r="B111">
        <f t="shared" si="35"/>
        <v>2.9900380262954922</v>
      </c>
      <c r="C111">
        <f t="shared" ca="1" si="56"/>
        <v>0.22285494334186057</v>
      </c>
      <c r="D111">
        <f t="shared" si="36"/>
        <v>2500</v>
      </c>
      <c r="E111">
        <f t="shared" ca="1" si="40"/>
        <v>1641.253881829678</v>
      </c>
      <c r="F111">
        <f t="shared" si="37"/>
        <v>550</v>
      </c>
      <c r="G111">
        <f t="shared" si="38"/>
        <v>5.2192977958184277E-7</v>
      </c>
      <c r="H111">
        <f t="shared" ca="1" si="41"/>
        <v>8.5661927678120763E-4</v>
      </c>
      <c r="I111">
        <f t="shared" ca="1" si="39"/>
        <v>7.1401025770120488E-2</v>
      </c>
      <c r="J111">
        <f t="shared" ca="1" si="57"/>
        <v>5.6128220642701954E-2</v>
      </c>
      <c r="K111">
        <f t="shared" ca="1" si="58"/>
        <v>1.3272336081323322E-2</v>
      </c>
      <c r="L111">
        <f t="shared" ca="1" si="59"/>
        <v>2.0111020928513981E-2</v>
      </c>
      <c r="M111">
        <f t="shared" ca="1" si="42"/>
        <v>8.9511577652539254E-2</v>
      </c>
      <c r="Q111">
        <f t="shared" si="60"/>
        <v>72</v>
      </c>
      <c r="R111" s="26">
        <f t="shared" si="34"/>
        <v>2.6195791295093467</v>
      </c>
      <c r="S111">
        <f t="shared" ca="1" si="61"/>
        <v>0.15180754230632046</v>
      </c>
      <c r="T111" s="23">
        <f t="shared" ca="1" si="62"/>
        <v>2499.9999994140599</v>
      </c>
      <c r="U111">
        <f t="shared" ca="1" si="43"/>
        <v>1689.8759455693682</v>
      </c>
      <c r="V111">
        <f t="shared" si="44"/>
        <v>550</v>
      </c>
      <c r="W111">
        <f t="shared" si="63"/>
        <v>5.2192977958184277E-7</v>
      </c>
      <c r="X111">
        <f t="shared" ca="1" si="45"/>
        <v>8.8199657979167844E-4</v>
      </c>
      <c r="Y111">
        <f t="shared" ca="1" si="64"/>
        <v>5.6427801389272114E-2</v>
      </c>
      <c r="Z111" s="6">
        <f t="shared" ca="1" si="46"/>
        <v>-2.113666610210627E-4</v>
      </c>
      <c r="AA111">
        <f t="shared" ca="1" si="65"/>
        <v>6.1259520349556444E-2</v>
      </c>
      <c r="AB111">
        <f t="shared" ca="1" si="66"/>
        <v>1.8403635788177813E-2</v>
      </c>
      <c r="AC111">
        <f t="shared" ca="1" si="67"/>
        <v>1.4979721221659491E-2</v>
      </c>
      <c r="AD111">
        <f t="shared" ca="1" si="47"/>
        <v>9.4642877359393751E-2</v>
      </c>
      <c r="AE111">
        <f t="shared" ca="1" si="48"/>
        <v>0.17310939416109261</v>
      </c>
      <c r="AG111">
        <f t="shared" ca="1" si="49"/>
        <v>3.7464092984084117E-2</v>
      </c>
      <c r="AI111">
        <f t="shared" ca="1" si="50"/>
        <v>7.7764106792249099E-2</v>
      </c>
      <c r="AK111">
        <f t="shared" ca="1" si="51"/>
        <v>42.515421290497443</v>
      </c>
      <c r="AL111" s="6">
        <f t="shared" si="52"/>
        <v>3.0000000000000001E-5</v>
      </c>
      <c r="AM111" s="6">
        <f t="shared" ca="1" si="53"/>
        <v>128779.94078883999</v>
      </c>
      <c r="AN111" s="6">
        <f t="shared" ca="1" si="54"/>
        <v>4.2957334457796236E-3</v>
      </c>
    </row>
    <row r="112" spans="1:40" x14ac:dyDescent="0.25">
      <c r="A112">
        <f t="shared" si="55"/>
        <v>73</v>
      </c>
      <c r="B112">
        <f t="shared" si="35"/>
        <v>3.0315663322162631</v>
      </c>
      <c r="C112">
        <f t="shared" ca="1" si="56"/>
        <v>0.22582010698309898</v>
      </c>
      <c r="D112">
        <f t="shared" si="36"/>
        <v>2500</v>
      </c>
      <c r="E112">
        <f t="shared" ca="1" si="40"/>
        <v>1639.0974470352353</v>
      </c>
      <c r="F112">
        <f t="shared" si="37"/>
        <v>550</v>
      </c>
      <c r="G112">
        <f t="shared" si="38"/>
        <v>5.2192977958184277E-7</v>
      </c>
      <c r="H112">
        <f t="shared" ca="1" si="41"/>
        <v>8.5549376924426153E-4</v>
      </c>
      <c r="I112">
        <f t="shared" ca="1" si="39"/>
        <v>7.1307212340014275E-2</v>
      </c>
      <c r="J112">
        <f t="shared" ca="1" si="57"/>
        <v>5.5914065823506651E-2</v>
      </c>
      <c r="K112">
        <f t="shared" ca="1" si="58"/>
        <v>1.3058181262128019E-2</v>
      </c>
      <c r="L112">
        <f t="shared" ca="1" si="59"/>
        <v>2.0325175747709284E-2</v>
      </c>
      <c r="M112">
        <f t="shared" ca="1" si="42"/>
        <v>8.9297422833343951E-2</v>
      </c>
      <c r="Q112">
        <f t="shared" si="60"/>
        <v>73</v>
      </c>
      <c r="R112" s="26">
        <f t="shared" ref="R112:R175" si="68">$R$33*Q112/$R$36</f>
        <v>2.6559621729747538</v>
      </c>
      <c r="S112">
        <f t="shared" ca="1" si="61"/>
        <v>0.1538605574569237</v>
      </c>
      <c r="T112" s="23">
        <f t="shared" ca="1" si="62"/>
        <v>2499.9999994063696</v>
      </c>
      <c r="U112">
        <f t="shared" ca="1" si="43"/>
        <v>1688.5483211618716</v>
      </c>
      <c r="V112">
        <f t="shared" si="44"/>
        <v>550</v>
      </c>
      <c r="W112">
        <f t="shared" si="63"/>
        <v>5.2192977958184277E-7</v>
      </c>
      <c r="X112">
        <f t="shared" ca="1" si="45"/>
        <v>8.8130365307730627E-4</v>
      </c>
      <c r="Y112">
        <f t="shared" ca="1" si="64"/>
        <v>5.6383469776302424E-2</v>
      </c>
      <c r="Z112" s="6">
        <f t="shared" ca="1" si="46"/>
        <v>-2.1103551473339609E-4</v>
      </c>
      <c r="AA112">
        <f t="shared" ca="1" si="65"/>
        <v>6.1111244186221644E-2</v>
      </c>
      <c r="AB112">
        <f t="shared" ca="1" si="66"/>
        <v>1.825535962484302E-2</v>
      </c>
      <c r="AC112">
        <f t="shared" ca="1" si="67"/>
        <v>1.5127997384994284E-2</v>
      </c>
      <c r="AD112">
        <f t="shared" ca="1" si="47"/>
        <v>9.4494601196058958E-2</v>
      </c>
      <c r="AE112">
        <f t="shared" ca="1" si="48"/>
        <v>0.17283818519672833</v>
      </c>
      <c r="AG112">
        <f t="shared" ca="1" si="49"/>
        <v>3.7405398319312749E-2</v>
      </c>
      <c r="AI112">
        <f t="shared" ca="1" si="50"/>
        <v>7.7886130307395621E-2</v>
      </c>
      <c r="AK112">
        <f t="shared" ca="1" si="51"/>
        <v>42.582134345628063</v>
      </c>
      <c r="AL112" s="6">
        <f t="shared" si="52"/>
        <v>3.0000000000000001E-5</v>
      </c>
      <c r="AM112" s="6">
        <f t="shared" ca="1" si="53"/>
        <v>128779.94078883997</v>
      </c>
      <c r="AN112" s="6">
        <f t="shared" ca="1" si="54"/>
        <v>4.2957334457796236E-3</v>
      </c>
    </row>
    <row r="113" spans="1:40" x14ac:dyDescent="0.25">
      <c r="A113">
        <f t="shared" si="55"/>
        <v>74</v>
      </c>
      <c r="B113">
        <f t="shared" si="35"/>
        <v>3.0730946381370337</v>
      </c>
      <c r="C113">
        <f t="shared" ca="1" si="56"/>
        <v>0.22878137471151244</v>
      </c>
      <c r="D113">
        <f t="shared" si="36"/>
        <v>2500</v>
      </c>
      <c r="E113">
        <f t="shared" ca="1" si="40"/>
        <v>1636.9330094944664</v>
      </c>
      <c r="F113">
        <f t="shared" si="37"/>
        <v>550</v>
      </c>
      <c r="G113">
        <f t="shared" si="38"/>
        <v>5.2192977958184277E-7</v>
      </c>
      <c r="H113">
        <f t="shared" ca="1" si="41"/>
        <v>8.543640848356894E-4</v>
      </c>
      <c r="I113">
        <f t="shared" ca="1" si="39"/>
        <v>7.121305075883709E-2</v>
      </c>
      <c r="J113">
        <f t="shared" ca="1" si="57"/>
        <v>5.5700192381195592E-2</v>
      </c>
      <c r="K113">
        <f t="shared" ca="1" si="58"/>
        <v>1.2844307819816957E-2</v>
      </c>
      <c r="L113">
        <f t="shared" ca="1" si="59"/>
        <v>2.0539049190020347E-2</v>
      </c>
      <c r="M113">
        <f t="shared" ca="1" si="42"/>
        <v>8.9083549391032898E-2</v>
      </c>
      <c r="Q113">
        <f t="shared" si="60"/>
        <v>74</v>
      </c>
      <c r="R113" s="26">
        <f t="shared" si="68"/>
        <v>2.6923452164401618</v>
      </c>
      <c r="S113">
        <f t="shared" ca="1" si="61"/>
        <v>0.15591195968852542</v>
      </c>
      <c r="T113" s="23">
        <f t="shared" ca="1" si="62"/>
        <v>2499.9999993986917</v>
      </c>
      <c r="U113">
        <f t="shared" ca="1" si="43"/>
        <v>1687.217386380305</v>
      </c>
      <c r="V113">
        <f t="shared" si="44"/>
        <v>550</v>
      </c>
      <c r="W113">
        <f t="shared" si="63"/>
        <v>5.2192977958184277E-7</v>
      </c>
      <c r="X113">
        <f t="shared" ca="1" si="45"/>
        <v>8.8060899858012544E-4</v>
      </c>
      <c r="Y113">
        <f t="shared" ca="1" si="64"/>
        <v>5.6339027624372144E-2</v>
      </c>
      <c r="Z113" s="6">
        <f t="shared" ca="1" si="46"/>
        <v>-2.1070462860558954E-4</v>
      </c>
      <c r="AA113">
        <f t="shared" ca="1" si="65"/>
        <v>6.0963084513718034E-2</v>
      </c>
      <c r="AB113">
        <f t="shared" ca="1" si="66"/>
        <v>1.8107199952339406E-2</v>
      </c>
      <c r="AC113">
        <f t="shared" ca="1" si="67"/>
        <v>1.5276157057497897E-2</v>
      </c>
      <c r="AD113">
        <f t="shared" ca="1" si="47"/>
        <v>9.4346441523555327E-2</v>
      </c>
      <c r="AE113">
        <f t="shared" ca="1" si="48"/>
        <v>0.17256718930341103</v>
      </c>
      <c r="AG113">
        <f t="shared" ca="1" si="49"/>
        <v>3.7346749767079371E-2</v>
      </c>
      <c r="AI113">
        <f t="shared" ca="1" si="50"/>
        <v>7.8008441052481198E-2</v>
      </c>
      <c r="AK113">
        <f t="shared" ca="1" si="51"/>
        <v>42.649004435955966</v>
      </c>
      <c r="AL113" s="6">
        <f t="shared" si="52"/>
        <v>3.0000000000000001E-5</v>
      </c>
      <c r="AM113" s="6">
        <f t="shared" ca="1" si="53"/>
        <v>128779.94078883996</v>
      </c>
      <c r="AN113" s="6">
        <f t="shared" ca="1" si="54"/>
        <v>4.2957334457796236E-3</v>
      </c>
    </row>
    <row r="114" spans="1:40" x14ac:dyDescent="0.25">
      <c r="A114">
        <f t="shared" si="55"/>
        <v>75</v>
      </c>
      <c r="B114">
        <f t="shared" si="35"/>
        <v>3.1146229440578042</v>
      </c>
      <c r="C114">
        <f t="shared" ca="1" si="56"/>
        <v>0.2317387320689768</v>
      </c>
      <c r="D114">
        <f t="shared" si="36"/>
        <v>2500</v>
      </c>
      <c r="E114">
        <f t="shared" ca="1" si="40"/>
        <v>1634.7605408746008</v>
      </c>
      <c r="F114">
        <f t="shared" si="37"/>
        <v>550</v>
      </c>
      <c r="G114">
        <f t="shared" si="38"/>
        <v>5.2192977958184277E-7</v>
      </c>
      <c r="H114">
        <f t="shared" ca="1" si="41"/>
        <v>8.532302087677744E-4</v>
      </c>
      <c r="I114">
        <f t="shared" ca="1" si="39"/>
        <v>7.111853979400154E-2</v>
      </c>
      <c r="J114">
        <f t="shared" ca="1" si="57"/>
        <v>5.5486601359986662E-2</v>
      </c>
      <c r="K114">
        <f t="shared" ca="1" si="58"/>
        <v>1.2630716798608034E-2</v>
      </c>
      <c r="L114">
        <f t="shared" ca="1" si="59"/>
        <v>2.0752640211229269E-2</v>
      </c>
      <c r="M114">
        <f t="shared" ca="1" si="42"/>
        <v>8.8869958369823976E-2</v>
      </c>
      <c r="Q114">
        <f t="shared" si="60"/>
        <v>75</v>
      </c>
      <c r="R114" s="26">
        <f t="shared" si="68"/>
        <v>2.7287282599055693</v>
      </c>
      <c r="S114">
        <f t="shared" ca="1" si="61"/>
        <v>0.15796174497938176</v>
      </c>
      <c r="T114" s="23">
        <f t="shared" ca="1" si="62"/>
        <v>2499.9999993910255</v>
      </c>
      <c r="U114">
        <f t="shared" ca="1" si="43"/>
        <v>1685.8831326887309</v>
      </c>
      <c r="V114">
        <f t="shared" si="44"/>
        <v>550</v>
      </c>
      <c r="W114">
        <f t="shared" si="63"/>
        <v>5.2192977958184277E-7</v>
      </c>
      <c r="X114">
        <f t="shared" ca="1" si="45"/>
        <v>8.7991261184497589E-4</v>
      </c>
      <c r="Y114">
        <f t="shared" ca="1" si="64"/>
        <v>5.629447464845197E-2</v>
      </c>
      <c r="Z114" s="6">
        <f t="shared" ca="1" si="46"/>
        <v>-2.1037400328634056E-4</v>
      </c>
      <c r="AA114">
        <f t="shared" ca="1" si="65"/>
        <v>6.0815041622510453E-2</v>
      </c>
      <c r="AB114">
        <f t="shared" ca="1" si="66"/>
        <v>1.7959157061131825E-2</v>
      </c>
      <c r="AC114">
        <f t="shared" ca="1" si="67"/>
        <v>1.5424199948705478E-2</v>
      </c>
      <c r="AD114">
        <f t="shared" ca="1" si="47"/>
        <v>9.4198398632347746E-2</v>
      </c>
      <c r="AE114">
        <f t="shared" ca="1" si="48"/>
        <v>0.17229640701242424</v>
      </c>
      <c r="AG114">
        <f t="shared" ca="1" si="49"/>
        <v>3.7288147442363639E-2</v>
      </c>
      <c r="AI114">
        <f t="shared" ca="1" si="50"/>
        <v>7.8131039688123405E-2</v>
      </c>
      <c r="AK114">
        <f t="shared" ca="1" si="51"/>
        <v>42.716031922655915</v>
      </c>
      <c r="AL114" s="6">
        <f t="shared" si="52"/>
        <v>3.0000000000000001E-5</v>
      </c>
      <c r="AM114" s="6">
        <f t="shared" ca="1" si="53"/>
        <v>128779.94078883999</v>
      </c>
      <c r="AN114" s="6">
        <f t="shared" ca="1" si="54"/>
        <v>4.2957334457796236E-3</v>
      </c>
    </row>
    <row r="115" spans="1:40" x14ac:dyDescent="0.25">
      <c r="A115">
        <f t="shared" si="55"/>
        <v>76</v>
      </c>
      <c r="B115">
        <f t="shared" si="35"/>
        <v>3.1561512499785751</v>
      </c>
      <c r="C115">
        <f t="shared" ca="1" si="56"/>
        <v>0.23469216454618061</v>
      </c>
      <c r="D115">
        <f t="shared" si="36"/>
        <v>2500</v>
      </c>
      <c r="E115">
        <f t="shared" ca="1" si="40"/>
        <v>1632.5800128623684</v>
      </c>
      <c r="F115">
        <f t="shared" si="37"/>
        <v>550</v>
      </c>
      <c r="G115">
        <f t="shared" si="38"/>
        <v>5.2192977958184277E-7</v>
      </c>
      <c r="H115">
        <f t="shared" ca="1" si="41"/>
        <v>8.5209212626297798E-4</v>
      </c>
      <c r="I115">
        <f t="shared" ca="1" si="39"/>
        <v>7.1023678213768565E-2</v>
      </c>
      <c r="J115">
        <f t="shared" ca="1" si="57"/>
        <v>5.5273293807794721E-2</v>
      </c>
      <c r="K115">
        <f t="shared" ca="1" si="58"/>
        <v>1.241740924641609E-2</v>
      </c>
      <c r="L115">
        <f t="shared" ca="1" si="59"/>
        <v>2.0965947763421214E-2</v>
      </c>
      <c r="M115">
        <f t="shared" ca="1" si="42"/>
        <v>8.8656650817632021E-2</v>
      </c>
      <c r="Q115">
        <f t="shared" si="60"/>
        <v>76</v>
      </c>
      <c r="R115" s="26">
        <f t="shared" si="68"/>
        <v>2.7651113033709764</v>
      </c>
      <c r="S115">
        <f t="shared" ca="1" si="61"/>
        <v>0.16000990929737866</v>
      </c>
      <c r="T115" s="23">
        <f t="shared" ca="1" si="62"/>
        <v>2499.9999993833717</v>
      </c>
      <c r="U115">
        <f t="shared" ca="1" si="43"/>
        <v>1684.5455515448577</v>
      </c>
      <c r="V115">
        <f t="shared" si="44"/>
        <v>550</v>
      </c>
      <c r="W115">
        <f t="shared" si="63"/>
        <v>5.2192977958184277E-7</v>
      </c>
      <c r="X115">
        <f t="shared" ca="1" si="45"/>
        <v>8.7921448841338137E-4</v>
      </c>
      <c r="Y115">
        <f t="shared" ca="1" si="64"/>
        <v>5.6249810563300397E-2</v>
      </c>
      <c r="Z115" s="6">
        <f t="shared" ca="1" si="46"/>
        <v>-2.1004363942601919E-4</v>
      </c>
      <c r="AA115">
        <f t="shared" ca="1" si="65"/>
        <v>6.0667115803812732E-2</v>
      </c>
      <c r="AB115">
        <f t="shared" ca="1" si="66"/>
        <v>1.7811231242434111E-2</v>
      </c>
      <c r="AC115">
        <f t="shared" ca="1" si="67"/>
        <v>1.5572125767403196E-2</v>
      </c>
      <c r="AD115">
        <f t="shared" ca="1" si="47"/>
        <v>9.4050472813650032E-2</v>
      </c>
      <c r="AE115">
        <f t="shared" ca="1" si="48"/>
        <v>0.17202583885642139</v>
      </c>
      <c r="AG115">
        <f t="shared" ca="1" si="49"/>
        <v>3.7229591460441649E-2</v>
      </c>
      <c r="AI115">
        <f t="shared" ca="1" si="50"/>
        <v>7.8253926874820148E-2</v>
      </c>
      <c r="AK115">
        <f t="shared" ca="1" si="51"/>
        <v>42.783217166837275</v>
      </c>
      <c r="AL115" s="6">
        <f t="shared" si="52"/>
        <v>3.0000000000000001E-5</v>
      </c>
      <c r="AM115" s="6">
        <f t="shared" ca="1" si="53"/>
        <v>128779.94078883999</v>
      </c>
      <c r="AN115" s="6">
        <f t="shared" ca="1" si="54"/>
        <v>4.2957334457796236E-3</v>
      </c>
    </row>
    <row r="116" spans="1:40" x14ac:dyDescent="0.25">
      <c r="A116">
        <f t="shared" si="55"/>
        <v>77</v>
      </c>
      <c r="B116">
        <f t="shared" si="35"/>
        <v>3.1976795558993456</v>
      </c>
      <c r="C116">
        <f t="shared" ca="1" si="56"/>
        <v>0.23764165758266034</v>
      </c>
      <c r="D116">
        <f t="shared" si="36"/>
        <v>2500</v>
      </c>
      <c r="E116">
        <f t="shared" ca="1" si="40"/>
        <v>1630.3913971666452</v>
      </c>
      <c r="F116">
        <f t="shared" si="37"/>
        <v>550</v>
      </c>
      <c r="G116">
        <f t="shared" si="38"/>
        <v>5.2192977958184277E-7</v>
      </c>
      <c r="H116">
        <f t="shared" ca="1" si="41"/>
        <v>8.509498225553198E-4</v>
      </c>
      <c r="I116">
        <f t="shared" ca="1" si="39"/>
        <v>7.0928464787362533E-2</v>
      </c>
      <c r="J116">
        <f t="shared" ca="1" si="57"/>
        <v>5.5060270776228978E-2</v>
      </c>
      <c r="K116">
        <f t="shared" ca="1" si="58"/>
        <v>1.2204386214850347E-2</v>
      </c>
      <c r="L116">
        <f t="shared" ca="1" si="59"/>
        <v>2.1178970794986957E-2</v>
      </c>
      <c r="M116">
        <f t="shared" ca="1" si="42"/>
        <v>8.8443627786066278E-2</v>
      </c>
      <c r="Q116">
        <f t="shared" si="60"/>
        <v>77</v>
      </c>
      <c r="R116" s="26">
        <f t="shared" si="68"/>
        <v>2.8014943468363844</v>
      </c>
      <c r="S116">
        <f t="shared" ca="1" si="61"/>
        <v>0.16205644860002419</v>
      </c>
      <c r="T116" s="23">
        <f t="shared" ca="1" si="62"/>
        <v>2499.9999993757297</v>
      </c>
      <c r="U116">
        <f t="shared" ca="1" si="43"/>
        <v>1683.2046344002658</v>
      </c>
      <c r="V116">
        <f t="shared" si="44"/>
        <v>550</v>
      </c>
      <c r="W116">
        <f t="shared" si="63"/>
        <v>5.2192977958184277E-7</v>
      </c>
      <c r="X116">
        <f t="shared" ca="1" si="45"/>
        <v>8.7851462382366704E-4</v>
      </c>
      <c r="Y116">
        <f t="shared" ca="1" si="64"/>
        <v>5.62050350834713E-2</v>
      </c>
      <c r="Z116" s="6">
        <f t="shared" ca="1" si="46"/>
        <v>-2.0971353767666945E-4</v>
      </c>
      <c r="AA116">
        <f t="shared" ca="1" si="65"/>
        <v>6.0519307349588235E-2</v>
      </c>
      <c r="AB116">
        <f t="shared" ca="1" si="66"/>
        <v>1.766342278820961E-2</v>
      </c>
      <c r="AC116">
        <f t="shared" ca="1" si="67"/>
        <v>1.5719934221627693E-2</v>
      </c>
      <c r="AD116">
        <f t="shared" ca="1" si="47"/>
        <v>9.3902664359425542E-2</v>
      </c>
      <c r="AE116">
        <f t="shared" ca="1" si="48"/>
        <v>0.17175548536942681</v>
      </c>
      <c r="AG116">
        <f t="shared" ca="1" si="49"/>
        <v>3.7171081936886209E-2</v>
      </c>
      <c r="AI116">
        <f t="shared" ca="1" si="50"/>
        <v>7.8377103272926296E-2</v>
      </c>
      <c r="AK116">
        <f t="shared" ca="1" si="51"/>
        <v>42.85056052953118</v>
      </c>
      <c r="AL116" s="6">
        <f t="shared" si="52"/>
        <v>3.0000000000000001E-5</v>
      </c>
      <c r="AM116" s="6">
        <f t="shared" ca="1" si="53"/>
        <v>128779.94078883999</v>
      </c>
      <c r="AN116" s="6">
        <f t="shared" ca="1" si="54"/>
        <v>4.2957334457796236E-3</v>
      </c>
    </row>
    <row r="117" spans="1:40" x14ac:dyDescent="0.25">
      <c r="A117">
        <f t="shared" si="55"/>
        <v>78</v>
      </c>
      <c r="B117">
        <f t="shared" si="35"/>
        <v>3.239207861820117</v>
      </c>
      <c r="C117">
        <f t="shared" ca="1" si="56"/>
        <v>0.24058719656684061</v>
      </c>
      <c r="D117">
        <f t="shared" si="36"/>
        <v>2500</v>
      </c>
      <c r="E117">
        <f t="shared" ca="1" si="40"/>
        <v>1628.1946655211405</v>
      </c>
      <c r="F117">
        <f t="shared" si="37"/>
        <v>550</v>
      </c>
      <c r="G117">
        <f t="shared" si="38"/>
        <v>5.2192977958184277E-7</v>
      </c>
      <c r="H117">
        <f t="shared" ca="1" si="41"/>
        <v>8.4980328289178107E-4</v>
      </c>
      <c r="I117">
        <f t="shared" ca="1" si="39"/>
        <v>7.0832898285088139E-2</v>
      </c>
      <c r="J117">
        <f t="shared" ca="1" si="57"/>
        <v>5.4847533320590142E-2</v>
      </c>
      <c r="K117">
        <f t="shared" ca="1" si="58"/>
        <v>1.1991648759211514E-2</v>
      </c>
      <c r="L117">
        <f t="shared" ca="1" si="59"/>
        <v>2.139170825062579E-2</v>
      </c>
      <c r="M117">
        <f t="shared" ca="1" si="42"/>
        <v>8.8230890330427456E-2</v>
      </c>
      <c r="Q117">
        <f t="shared" si="60"/>
        <v>78</v>
      </c>
      <c r="R117" s="26">
        <f t="shared" si="68"/>
        <v>2.837877390301792</v>
      </c>
      <c r="S117">
        <f t="shared" ca="1" si="61"/>
        <v>0.16410135883444088</v>
      </c>
      <c r="T117" s="23">
        <f t="shared" ca="1" si="62"/>
        <v>2499.9999993680995</v>
      </c>
      <c r="U117">
        <f t="shared" ca="1" si="43"/>
        <v>1681.8603727006384</v>
      </c>
      <c r="V117">
        <f t="shared" si="44"/>
        <v>550</v>
      </c>
      <c r="W117">
        <f t="shared" si="63"/>
        <v>5.2192977958184277E-7</v>
      </c>
      <c r="X117">
        <f t="shared" ca="1" si="45"/>
        <v>8.7781301361108011E-4</v>
      </c>
      <c r="Y117">
        <f t="shared" ca="1" si="64"/>
        <v>5.616014792332167E-2</v>
      </c>
      <c r="Z117" s="6">
        <f t="shared" ca="1" si="46"/>
        <v>-2.0938369869201058E-4</v>
      </c>
      <c r="AA117">
        <f t="shared" ca="1" si="65"/>
        <v>6.0371616552550397E-2</v>
      </c>
      <c r="AB117">
        <f t="shared" ca="1" si="66"/>
        <v>1.7515731991171769E-2</v>
      </c>
      <c r="AC117">
        <f t="shared" ca="1" si="67"/>
        <v>1.5867625018665534E-2</v>
      </c>
      <c r="AD117">
        <f t="shared" ca="1" si="47"/>
        <v>9.3754973562387711E-2</v>
      </c>
      <c r="AE117">
        <f t="shared" ca="1" si="48"/>
        <v>0.1714853470868368</v>
      </c>
      <c r="AG117">
        <f t="shared" ca="1" si="49"/>
        <v>3.7112618987567035E-2</v>
      </c>
      <c r="AI117">
        <f t="shared" ca="1" si="50"/>
        <v>7.8500569542629753E-2</v>
      </c>
      <c r="AK117">
        <f t="shared" ca="1" si="51"/>
        <v>42.918062371677522</v>
      </c>
      <c r="AL117" s="6">
        <f t="shared" si="52"/>
        <v>3.0000000000000001E-5</v>
      </c>
      <c r="AM117" s="6">
        <f t="shared" ca="1" si="53"/>
        <v>128779.94078883997</v>
      </c>
      <c r="AN117" s="6">
        <f t="shared" ca="1" si="54"/>
        <v>4.2957334457796236E-3</v>
      </c>
    </row>
    <row r="118" spans="1:40" x14ac:dyDescent="0.25">
      <c r="A118">
        <f t="shared" si="55"/>
        <v>79</v>
      </c>
      <c r="B118">
        <f t="shared" si="35"/>
        <v>3.2807361677408875</v>
      </c>
      <c r="C118">
        <f t="shared" ca="1" si="56"/>
        <v>0.24352876683607858</v>
      </c>
      <c r="D118">
        <f t="shared" si="36"/>
        <v>2500</v>
      </c>
      <c r="E118">
        <f t="shared" ca="1" si="40"/>
        <v>1625.9897896871389</v>
      </c>
      <c r="F118">
        <f t="shared" si="37"/>
        <v>550</v>
      </c>
      <c r="G118">
        <f t="shared" si="38"/>
        <v>5.2192977958184277E-7</v>
      </c>
      <c r="H118">
        <f t="shared" ca="1" si="41"/>
        <v>8.4865249253373524E-4</v>
      </c>
      <c r="I118">
        <f t="shared" ca="1" si="39"/>
        <v>7.0736977478449772E-2</v>
      </c>
      <c r="J118">
        <f t="shared" ca="1" si="57"/>
        <v>5.4635082499867198E-2</v>
      </c>
      <c r="K118">
        <f t="shared" ca="1" si="58"/>
        <v>1.177919793848857E-2</v>
      </c>
      <c r="L118">
        <f t="shared" ca="1" si="59"/>
        <v>2.1604159071348734E-2</v>
      </c>
      <c r="M118">
        <f t="shared" ca="1" si="42"/>
        <v>8.8018439509704491E-2</v>
      </c>
      <c r="Q118">
        <f t="shared" si="60"/>
        <v>79</v>
      </c>
      <c r="R118" s="26">
        <f t="shared" si="68"/>
        <v>2.8742604337671995</v>
      </c>
      <c r="S118">
        <f t="shared" ca="1" si="61"/>
        <v>0.16614463593735881</v>
      </c>
      <c r="T118" s="23">
        <f t="shared" ca="1" si="62"/>
        <v>2499.9999993604815</v>
      </c>
      <c r="U118">
        <f t="shared" ca="1" si="43"/>
        <v>1680.5127578859938</v>
      </c>
      <c r="V118">
        <f t="shared" si="44"/>
        <v>550</v>
      </c>
      <c r="W118">
        <f t="shared" si="63"/>
        <v>5.2192977958184277E-7</v>
      </c>
      <c r="X118">
        <f t="shared" ca="1" si="45"/>
        <v>8.771096533079114E-4</v>
      </c>
      <c r="Y118">
        <f t="shared" ca="1" si="64"/>
        <v>5.6115148797019294E-2</v>
      </c>
      <c r="Z118" s="6">
        <f t="shared" ca="1" si="46"/>
        <v>-2.0905412312743782E-4</v>
      </c>
      <c r="AA118">
        <f t="shared" ca="1" si="65"/>
        <v>6.022404370616323E-2</v>
      </c>
      <c r="AB118">
        <f t="shared" ca="1" si="66"/>
        <v>1.7368159144784602E-2</v>
      </c>
      <c r="AC118">
        <f t="shared" ca="1" si="67"/>
        <v>1.6015197865052705E-2</v>
      </c>
      <c r="AD118">
        <f t="shared" ca="1" si="47"/>
        <v>9.3607400716000544E-2</v>
      </c>
      <c r="AE118">
        <f t="shared" ca="1" si="48"/>
        <v>0.17121542454542046</v>
      </c>
      <c r="AG118">
        <f t="shared" ca="1" si="49"/>
        <v>3.7054202728650946E-2</v>
      </c>
      <c r="AI118">
        <f t="shared" ca="1" si="50"/>
        <v>7.8624326343927603E-2</v>
      </c>
      <c r="AK118">
        <f t="shared" ca="1" si="51"/>
        <v>42.985723054111858</v>
      </c>
      <c r="AL118" s="6">
        <f t="shared" si="52"/>
        <v>3.0000000000000001E-5</v>
      </c>
      <c r="AM118" s="6">
        <f t="shared" ca="1" si="53"/>
        <v>128779.94078883996</v>
      </c>
      <c r="AN118" s="6">
        <f t="shared" ca="1" si="54"/>
        <v>4.2957334457796236E-3</v>
      </c>
    </row>
    <row r="119" spans="1:40" x14ac:dyDescent="0.25">
      <c r="A119">
        <f t="shared" si="55"/>
        <v>80</v>
      </c>
      <c r="B119">
        <f t="shared" si="35"/>
        <v>3.322264473661658</v>
      </c>
      <c r="C119">
        <f t="shared" ca="1" si="56"/>
        <v>0.24646635367671429</v>
      </c>
      <c r="D119">
        <f t="shared" si="36"/>
        <v>2500</v>
      </c>
      <c r="E119">
        <f t="shared" ca="1" si="40"/>
        <v>1623.7767414562875</v>
      </c>
      <c r="F119">
        <f t="shared" si="37"/>
        <v>550</v>
      </c>
      <c r="G119">
        <f t="shared" si="38"/>
        <v>5.2192977958184277E-7</v>
      </c>
      <c r="H119">
        <f t="shared" ca="1" si="41"/>
        <v>8.47497436758403E-4</v>
      </c>
      <c r="I119">
        <f t="shared" ca="1" si="39"/>
        <v>7.0640701140272655E-2</v>
      </c>
      <c r="J119">
        <f t="shared" ca="1" si="57"/>
        <v>5.4422919376733762E-2</v>
      </c>
      <c r="K119">
        <f t="shared" ca="1" si="58"/>
        <v>1.1567034815355138E-2</v>
      </c>
      <c r="L119">
        <f t="shared" ca="1" si="59"/>
        <v>2.1816322194482166E-2</v>
      </c>
      <c r="M119">
        <f t="shared" ca="1" si="42"/>
        <v>8.7806276386571069E-2</v>
      </c>
      <c r="Q119">
        <f t="shared" si="60"/>
        <v>80</v>
      </c>
      <c r="R119" s="26">
        <f t="shared" si="68"/>
        <v>2.9106434772326071</v>
      </c>
      <c r="S119">
        <f t="shared" ca="1" si="61"/>
        <v>0.16818627583510859</v>
      </c>
      <c r="T119" s="23">
        <f t="shared" ca="1" si="62"/>
        <v>2499.9999993528754</v>
      </c>
      <c r="U119">
        <f t="shared" ca="1" si="43"/>
        <v>1679.1617813909245</v>
      </c>
      <c r="V119">
        <f t="shared" si="44"/>
        <v>550</v>
      </c>
      <c r="W119">
        <f t="shared" si="63"/>
        <v>5.2192977958184277E-7</v>
      </c>
      <c r="X119">
        <f t="shared" ca="1" si="45"/>
        <v>8.7640453844361967E-4</v>
      </c>
      <c r="Y119">
        <f t="shared" ca="1" si="64"/>
        <v>5.6070037418550836E-2</v>
      </c>
      <c r="Z119" s="6">
        <f t="shared" ca="1" si="46"/>
        <v>-2.087248116400241E-4</v>
      </c>
      <c r="AA119">
        <f t="shared" ca="1" si="65"/>
        <v>6.0076589104641843E-2</v>
      </c>
      <c r="AB119">
        <f t="shared" ca="1" si="66"/>
        <v>1.7220704543263212E-2</v>
      </c>
      <c r="AC119">
        <f t="shared" ca="1" si="67"/>
        <v>1.6162652466574091E-2</v>
      </c>
      <c r="AD119">
        <f t="shared" ca="1" si="47"/>
        <v>9.3459946114479137E-2</v>
      </c>
      <c r="AE119">
        <f t="shared" ca="1" si="48"/>
        <v>0.17094571828332078</v>
      </c>
      <c r="AG119">
        <f t="shared" ca="1" si="49"/>
        <v>3.6995833276602094E-2</v>
      </c>
      <c r="AI119">
        <f t="shared" ca="1" si="50"/>
        <v>7.8748374336601742E-2</v>
      </c>
      <c r="AK119">
        <f t="shared" ca="1" si="51"/>
        <v>43.053542937552066</v>
      </c>
      <c r="AL119" s="6">
        <f t="shared" si="52"/>
        <v>3.0000000000000001E-5</v>
      </c>
      <c r="AM119" s="6">
        <f t="shared" ca="1" si="53"/>
        <v>128779.94078883999</v>
      </c>
      <c r="AN119" s="6">
        <f t="shared" ca="1" si="54"/>
        <v>4.2957334457796236E-3</v>
      </c>
    </row>
    <row r="120" spans="1:40" x14ac:dyDescent="0.25">
      <c r="A120">
        <f t="shared" si="55"/>
        <v>81</v>
      </c>
      <c r="B120">
        <f t="shared" si="35"/>
        <v>3.3637927795824289</v>
      </c>
      <c r="C120">
        <f t="shared" ca="1" si="56"/>
        <v>0.2493999423241253</v>
      </c>
      <c r="D120">
        <f t="shared" si="36"/>
        <v>2500</v>
      </c>
      <c r="E120">
        <f t="shared" ca="1" si="40"/>
        <v>1621.5554926534323</v>
      </c>
      <c r="F120">
        <f t="shared" si="37"/>
        <v>550</v>
      </c>
      <c r="G120">
        <f t="shared" si="38"/>
        <v>5.2192977958184277E-7</v>
      </c>
      <c r="H120">
        <f t="shared" ca="1" si="41"/>
        <v>8.4633810086033243E-4</v>
      </c>
      <c r="I120">
        <f t="shared" ca="1" si="39"/>
        <v>7.0544068044826325E-2</v>
      </c>
      <c r="J120">
        <f t="shared" ca="1" si="57"/>
        <v>5.421104501754416E-2</v>
      </c>
      <c r="K120">
        <f t="shared" ca="1" si="58"/>
        <v>1.1355160456165535E-2</v>
      </c>
      <c r="L120">
        <f t="shared" ca="1" si="59"/>
        <v>2.2028196553671768E-2</v>
      </c>
      <c r="M120">
        <f t="shared" ca="1" si="42"/>
        <v>8.7594402027381474E-2</v>
      </c>
      <c r="Q120">
        <f t="shared" si="60"/>
        <v>81</v>
      </c>
      <c r="R120" s="26">
        <f t="shared" si="68"/>
        <v>2.9470265206980151</v>
      </c>
      <c r="S120">
        <f t="shared" ca="1" si="61"/>
        <v>0.17022627444361477</v>
      </c>
      <c r="T120" s="23">
        <f t="shared" ca="1" si="62"/>
        <v>2499.9999993452816</v>
      </c>
      <c r="U120">
        <f t="shared" ca="1" si="43"/>
        <v>1677.8074346448352</v>
      </c>
      <c r="V120">
        <f t="shared" si="44"/>
        <v>550</v>
      </c>
      <c r="W120">
        <f t="shared" si="63"/>
        <v>5.2192977958184277E-7</v>
      </c>
      <c r="X120">
        <f t="shared" ca="1" si="45"/>
        <v>8.7569766454495589E-4</v>
      </c>
      <c r="Y120">
        <f t="shared" ca="1" si="64"/>
        <v>5.6024813501729658E-2</v>
      </c>
      <c r="Z120" s="6">
        <f t="shared" ca="1" si="46"/>
        <v>-2.0839576488852066E-4</v>
      </c>
      <c r="AA120">
        <f t="shared" ca="1" si="65"/>
        <v>5.99292530429529E-2</v>
      </c>
      <c r="AB120">
        <f t="shared" ca="1" si="66"/>
        <v>1.7073368481574272E-2</v>
      </c>
      <c r="AC120">
        <f t="shared" ca="1" si="67"/>
        <v>1.6309988528263035E-2</v>
      </c>
      <c r="AD120">
        <f t="shared" ca="1" si="47"/>
        <v>9.3312610052790207E-2</v>
      </c>
      <c r="AE120">
        <f t="shared" ca="1" si="48"/>
        <v>0.17067622884005546</v>
      </c>
      <c r="AG120">
        <f t="shared" ca="1" si="49"/>
        <v>3.6937510748182141E-2</v>
      </c>
      <c r="AI120">
        <f t="shared" ca="1" si="50"/>
        <v>7.8872714180194106E-2</v>
      </c>
      <c r="AK120">
        <f t="shared" ca="1" si="51"/>
        <v>43.121522382584871</v>
      </c>
      <c r="AL120" s="6">
        <f t="shared" si="52"/>
        <v>3.0000000000000001E-5</v>
      </c>
      <c r="AM120" s="6">
        <f t="shared" ca="1" si="53"/>
        <v>128779.94078883997</v>
      </c>
      <c r="AN120" s="6">
        <f t="shared" ca="1" si="54"/>
        <v>4.2957334457796236E-3</v>
      </c>
    </row>
    <row r="121" spans="1:40" x14ac:dyDescent="0.25">
      <c r="A121">
        <f t="shared" si="55"/>
        <v>82</v>
      </c>
      <c r="B121">
        <f t="shared" si="35"/>
        <v>3.4053210855031995</v>
      </c>
      <c r="C121">
        <f t="shared" ca="1" si="56"/>
        <v>0.25232951796278652</v>
      </c>
      <c r="D121">
        <f t="shared" si="36"/>
        <v>2500</v>
      </c>
      <c r="E121">
        <f t="shared" ca="1" si="40"/>
        <v>1619.3260151395041</v>
      </c>
      <c r="F121">
        <f t="shared" si="37"/>
        <v>550</v>
      </c>
      <c r="G121">
        <f t="shared" si="38"/>
        <v>5.2192977958184277E-7</v>
      </c>
      <c r="H121">
        <f t="shared" ca="1" si="41"/>
        <v>8.4517447015290518E-4</v>
      </c>
      <c r="I121">
        <f t="shared" ca="1" si="39"/>
        <v>7.0447076967950134E-2</v>
      </c>
      <c r="J121">
        <f t="shared" ca="1" si="57"/>
        <v>5.3999460492329086E-2</v>
      </c>
      <c r="K121">
        <f t="shared" ca="1" si="58"/>
        <v>1.1143575930950451E-2</v>
      </c>
      <c r="L121">
        <f t="shared" ca="1" si="59"/>
        <v>2.2239781078886852E-2</v>
      </c>
      <c r="M121">
        <f t="shared" ca="1" si="42"/>
        <v>8.7382817502166393E-2</v>
      </c>
      <c r="Q121">
        <f t="shared" si="60"/>
        <v>82</v>
      </c>
      <c r="R121" s="26">
        <f t="shared" si="68"/>
        <v>2.9834095641634222</v>
      </c>
      <c r="S121">
        <f t="shared" ca="1" si="61"/>
        <v>0.17226462766838951</v>
      </c>
      <c r="T121" s="23">
        <f t="shared" ca="1" si="62"/>
        <v>2499.9999993376996</v>
      </c>
      <c r="U121">
        <f t="shared" ca="1" si="43"/>
        <v>1676.4497090721864</v>
      </c>
      <c r="V121">
        <f t="shared" si="44"/>
        <v>550</v>
      </c>
      <c r="W121">
        <f t="shared" si="63"/>
        <v>5.2192977958184277E-7</v>
      </c>
      <c r="X121">
        <f t="shared" ca="1" si="45"/>
        <v>8.7498902713609064E-4</v>
      </c>
      <c r="Y121">
        <f t="shared" ca="1" si="64"/>
        <v>5.5979476760204074E-2</v>
      </c>
      <c r="Z121" s="6">
        <f t="shared" ca="1" si="46"/>
        <v>-2.0806698353335859E-4</v>
      </c>
      <c r="AA121">
        <f t="shared" ca="1" si="65"/>
        <v>5.9782035816815099E-2</v>
      </c>
      <c r="AB121">
        <f t="shared" ca="1" si="66"/>
        <v>1.6926151255436464E-2</v>
      </c>
      <c r="AC121">
        <f t="shared" ca="1" si="67"/>
        <v>1.6457205754400839E-2</v>
      </c>
      <c r="AD121">
        <f t="shared" ca="1" si="47"/>
        <v>9.3165392826652399E-2</v>
      </c>
      <c r="AE121">
        <f t="shared" ca="1" si="48"/>
        <v>0.1704069567565176</v>
      </c>
      <c r="AG121">
        <f t="shared" ca="1" si="49"/>
        <v>3.6879235260450421E-2</v>
      </c>
      <c r="AI121">
        <f t="shared" ca="1" si="50"/>
        <v>7.8997346533982105E-2</v>
      </c>
      <c r="AK121">
        <f t="shared" ca="1" si="51"/>
        <v>43.189661749652352</v>
      </c>
      <c r="AL121" s="6">
        <f t="shared" si="52"/>
        <v>3.0000000000000001E-5</v>
      </c>
      <c r="AM121" s="6">
        <f t="shared" ca="1" si="53"/>
        <v>128779.94078884</v>
      </c>
      <c r="AN121" s="6">
        <f t="shared" ca="1" si="54"/>
        <v>4.2957334457796236E-3</v>
      </c>
    </row>
    <row r="122" spans="1:40" x14ac:dyDescent="0.25">
      <c r="A122">
        <f t="shared" si="55"/>
        <v>83</v>
      </c>
      <c r="B122">
        <f t="shared" si="35"/>
        <v>3.44684939142397</v>
      </c>
      <c r="C122">
        <f t="shared" ca="1" si="56"/>
        <v>0.25525506572633561</v>
      </c>
      <c r="D122">
        <f t="shared" si="36"/>
        <v>2500</v>
      </c>
      <c r="E122">
        <f t="shared" ca="1" si="40"/>
        <v>1617.0882808144554</v>
      </c>
      <c r="F122">
        <f t="shared" si="37"/>
        <v>550</v>
      </c>
      <c r="G122">
        <f t="shared" si="38"/>
        <v>5.2192977958184277E-7</v>
      </c>
      <c r="H122">
        <f t="shared" ca="1" si="41"/>
        <v>8.4400652996986976E-4</v>
      </c>
      <c r="I122">
        <f t="shared" ca="1" si="39"/>
        <v>7.0349726687181036E-2</v>
      </c>
      <c r="J122">
        <f t="shared" ca="1" si="57"/>
        <v>5.3788166874790856E-2</v>
      </c>
      <c r="K122">
        <f t="shared" ca="1" si="58"/>
        <v>1.0932282313412228E-2</v>
      </c>
      <c r="L122">
        <f t="shared" ca="1" si="59"/>
        <v>2.2451074696425075E-2</v>
      </c>
      <c r="M122">
        <f t="shared" ca="1" si="42"/>
        <v>8.7171523884628149E-2</v>
      </c>
      <c r="Q122">
        <f t="shared" si="60"/>
        <v>83</v>
      </c>
      <c r="R122" s="26">
        <f t="shared" si="68"/>
        <v>3.0197926076288297</v>
      </c>
      <c r="S122">
        <f t="shared" ca="1" si="61"/>
        <v>0.17430133140452678</v>
      </c>
      <c r="T122" s="23">
        <f t="shared" ca="1" si="62"/>
        <v>2499.9999993301294</v>
      </c>
      <c r="U122">
        <f t="shared" ca="1" si="43"/>
        <v>1675.0885960927428</v>
      </c>
      <c r="V122">
        <f t="shared" si="44"/>
        <v>550</v>
      </c>
      <c r="W122">
        <f t="shared" si="63"/>
        <v>5.2192977958184277E-7</v>
      </c>
      <c r="X122">
        <f t="shared" ca="1" si="45"/>
        <v>8.7427862173874375E-4</v>
      </c>
      <c r="Y122">
        <f t="shared" ca="1" si="64"/>
        <v>5.5934026907465628E-2</v>
      </c>
      <c r="Z122" s="6">
        <f t="shared" ca="1" si="46"/>
        <v>-2.0773846823664893E-4</v>
      </c>
      <c r="AA122">
        <f t="shared" ca="1" si="65"/>
        <v>5.9634937722699552E-2</v>
      </c>
      <c r="AB122">
        <f t="shared" ca="1" si="66"/>
        <v>1.6779053161320921E-2</v>
      </c>
      <c r="AC122">
        <f t="shared" ca="1" si="67"/>
        <v>1.6604303848516383E-2</v>
      </c>
      <c r="AD122">
        <f t="shared" ca="1" si="47"/>
        <v>9.3018294732536852E-2</v>
      </c>
      <c r="AE122">
        <f t="shared" ca="1" si="48"/>
        <v>0.17013790257497668</v>
      </c>
      <c r="AG122">
        <f t="shared" ca="1" si="49"/>
        <v>3.6821006930764129E-2</v>
      </c>
      <c r="AI122">
        <f t="shared" ca="1" si="50"/>
        <v>7.9122272056953116E-2</v>
      </c>
      <c r="AK122">
        <f t="shared" ca="1" si="51"/>
        <v>43.257961399038003</v>
      </c>
      <c r="AL122" s="6">
        <f t="shared" si="52"/>
        <v>3.0000000000000001E-5</v>
      </c>
      <c r="AM122" s="6">
        <f t="shared" ca="1" si="53"/>
        <v>128779.94078883997</v>
      </c>
      <c r="AN122" s="6">
        <f t="shared" ca="1" si="54"/>
        <v>4.2957334457796236E-3</v>
      </c>
    </row>
    <row r="123" spans="1:40" x14ac:dyDescent="0.25">
      <c r="A123">
        <f t="shared" si="55"/>
        <v>84</v>
      </c>
      <c r="B123">
        <f t="shared" si="35"/>
        <v>3.4883776973447409</v>
      </c>
      <c r="C123">
        <f t="shared" ca="1" si="56"/>
        <v>0.25817657069764349</v>
      </c>
      <c r="D123">
        <f t="shared" si="36"/>
        <v>2500</v>
      </c>
      <c r="E123">
        <f t="shared" ca="1" si="40"/>
        <v>1614.842261620249</v>
      </c>
      <c r="F123">
        <f t="shared" si="37"/>
        <v>550</v>
      </c>
      <c r="G123">
        <f t="shared" si="38"/>
        <v>5.2192977958184277E-7</v>
      </c>
      <c r="H123">
        <f t="shared" ca="1" si="41"/>
        <v>8.4283426566690101E-4</v>
      </c>
      <c r="I123">
        <f t="shared" ca="1" si="39"/>
        <v>7.0252015981883603E-2</v>
      </c>
      <c r="J123">
        <f t="shared" ca="1" si="57"/>
        <v>5.3577165242298386E-2</v>
      </c>
      <c r="K123">
        <f t="shared" ca="1" si="58"/>
        <v>1.0721280680919758E-2</v>
      </c>
      <c r="L123">
        <f t="shared" ca="1" si="59"/>
        <v>2.2662076328917546E-2</v>
      </c>
      <c r="M123">
        <f t="shared" ca="1" si="42"/>
        <v>8.69605222521357E-2</v>
      </c>
      <c r="Q123">
        <f t="shared" si="60"/>
        <v>84</v>
      </c>
      <c r="R123" s="26">
        <f t="shared" si="68"/>
        <v>3.0561756510942377</v>
      </c>
      <c r="S123">
        <f t="shared" ca="1" si="61"/>
        <v>0.1763363815366964</v>
      </c>
      <c r="T123" s="23">
        <f t="shared" ca="1" si="62"/>
        <v>2499.9999993225711</v>
      </c>
      <c r="U123">
        <f t="shared" ca="1" si="43"/>
        <v>1673.7240871218223</v>
      </c>
      <c r="V123">
        <f t="shared" si="44"/>
        <v>550</v>
      </c>
      <c r="W123">
        <f t="shared" si="63"/>
        <v>5.2192977958184277E-7</v>
      </c>
      <c r="X123">
        <f t="shared" ca="1" si="45"/>
        <v>8.7356644387231368E-4</v>
      </c>
      <c r="Y123">
        <f t="shared" ca="1" si="64"/>
        <v>5.5888463656857276E-2</v>
      </c>
      <c r="Z123" s="6">
        <f t="shared" ca="1" si="46"/>
        <v>-2.0741021966218435E-4</v>
      </c>
      <c r="AA123">
        <f t="shared" ca="1" si="65"/>
        <v>5.9487959057830268E-2</v>
      </c>
      <c r="AB123">
        <f t="shared" ca="1" si="66"/>
        <v>1.663207449645164E-2</v>
      </c>
      <c r="AC123">
        <f t="shared" ca="1" si="67"/>
        <v>1.6751282513385667E-2</v>
      </c>
      <c r="AD123">
        <f t="shared" ca="1" si="47"/>
        <v>9.2871316067667575E-2</v>
      </c>
      <c r="AE123">
        <f t="shared" ca="1" si="48"/>
        <v>0.1698690668390791</v>
      </c>
      <c r="AG123">
        <f t="shared" ca="1" si="49"/>
        <v>3.6762825876778468E-2</v>
      </c>
      <c r="AI123">
        <f t="shared" ca="1" si="50"/>
        <v>7.9247491407779175E-2</v>
      </c>
      <c r="AK123">
        <f t="shared" ca="1" si="51"/>
        <v>43.326421690852975</v>
      </c>
      <c r="AL123" s="6">
        <f t="shared" si="52"/>
        <v>3.0000000000000001E-5</v>
      </c>
      <c r="AM123" s="6">
        <f t="shared" ca="1" si="53"/>
        <v>128779.94078883997</v>
      </c>
      <c r="AN123" s="6">
        <f t="shared" ca="1" si="54"/>
        <v>4.2957334457796236E-3</v>
      </c>
    </row>
    <row r="124" spans="1:40" x14ac:dyDescent="0.25">
      <c r="A124">
        <f t="shared" si="55"/>
        <v>85</v>
      </c>
      <c r="B124">
        <f t="shared" si="35"/>
        <v>3.5299060032655114</v>
      </c>
      <c r="C124">
        <f t="shared" ca="1" si="56"/>
        <v>0.26109401790889003</v>
      </c>
      <c r="D124">
        <f t="shared" si="36"/>
        <v>2500</v>
      </c>
      <c r="E124">
        <f t="shared" ca="1" si="40"/>
        <v>1612.587929543897</v>
      </c>
      <c r="F124">
        <f t="shared" si="37"/>
        <v>550</v>
      </c>
      <c r="G124">
        <f t="shared" si="38"/>
        <v>5.2192977958184277E-7</v>
      </c>
      <c r="H124">
        <f t="shared" ca="1" si="41"/>
        <v>8.4165766262318635E-4</v>
      </c>
      <c r="I124">
        <f t="shared" ca="1" si="39"/>
        <v>7.0153943633382246E-2</v>
      </c>
      <c r="J124">
        <f t="shared" ca="1" si="57"/>
        <v>5.3366456675881656E-2</v>
      </c>
      <c r="K124">
        <f t="shared" ca="1" si="58"/>
        <v>1.0510572114503035E-2</v>
      </c>
      <c r="L124">
        <f t="shared" ca="1" si="59"/>
        <v>2.2872784895334269E-2</v>
      </c>
      <c r="M124">
        <f t="shared" ca="1" si="42"/>
        <v>8.6749813685718963E-2</v>
      </c>
      <c r="Q124">
        <f t="shared" si="60"/>
        <v>85</v>
      </c>
      <c r="R124" s="26">
        <f t="shared" si="68"/>
        <v>3.0925586945596448</v>
      </c>
      <c r="S124">
        <f t="shared" ca="1" si="61"/>
        <v>0.17836977393913866</v>
      </c>
      <c r="T124" s="23">
        <f t="shared" ca="1" si="62"/>
        <v>2499.999999315025</v>
      </c>
      <c r="U124">
        <f t="shared" ca="1" si="43"/>
        <v>1672.3561735705498</v>
      </c>
      <c r="V124">
        <f t="shared" si="44"/>
        <v>550</v>
      </c>
      <c r="W124">
        <f t="shared" si="63"/>
        <v>5.2192977958184277E-7</v>
      </c>
      <c r="X124">
        <f t="shared" ca="1" si="45"/>
        <v>8.7285248905401107E-4</v>
      </c>
      <c r="Y124">
        <f t="shared" ca="1" si="64"/>
        <v>5.584278672158207E-2</v>
      </c>
      <c r="Z124" s="6">
        <f t="shared" ca="1" si="46"/>
        <v>-2.070822384754396E-4</v>
      </c>
      <c r="AA124">
        <f t="shared" ca="1" si="65"/>
        <v>5.9341100120184502E-2</v>
      </c>
      <c r="AB124">
        <f t="shared" ca="1" si="66"/>
        <v>1.6485215558805874E-2</v>
      </c>
      <c r="AC124">
        <f t="shared" ca="1" si="67"/>
        <v>1.6898141451031433E-2</v>
      </c>
      <c r="AD124">
        <f t="shared" ca="1" si="47"/>
        <v>9.2724457130021809E-2</v>
      </c>
      <c r="AE124">
        <f t="shared" ca="1" si="48"/>
        <v>0.16960045009384911</v>
      </c>
      <c r="AG124">
        <f t="shared" ca="1" si="49"/>
        <v>3.6704692216446823E-2</v>
      </c>
      <c r="AI124">
        <f t="shared" ca="1" si="50"/>
        <v>7.9373005244791114E-2</v>
      </c>
      <c r="AK124">
        <f t="shared" ca="1" si="51"/>
        <v>43.395042985021817</v>
      </c>
      <c r="AL124" s="6">
        <f t="shared" si="52"/>
        <v>3.0000000000000001E-5</v>
      </c>
      <c r="AM124" s="6">
        <f t="shared" ca="1" si="53"/>
        <v>128779.94078883996</v>
      </c>
      <c r="AN124" s="6">
        <f t="shared" ca="1" si="54"/>
        <v>4.2957334457796236E-3</v>
      </c>
    </row>
    <row r="125" spans="1:40" x14ac:dyDescent="0.25">
      <c r="A125">
        <f t="shared" si="55"/>
        <v>86</v>
      </c>
      <c r="B125">
        <f t="shared" si="35"/>
        <v>3.5714343091862819</v>
      </c>
      <c r="C125">
        <f t="shared" ca="1" si="56"/>
        <v>0.26400739234164561</v>
      </c>
      <c r="D125">
        <f t="shared" si="36"/>
        <v>2500</v>
      </c>
      <c r="E125">
        <f t="shared" ca="1" si="40"/>
        <v>1610.3252566205501</v>
      </c>
      <c r="F125">
        <f t="shared" si="37"/>
        <v>550</v>
      </c>
      <c r="G125">
        <f t="shared" si="38"/>
        <v>5.2192977958184277E-7</v>
      </c>
      <c r="H125">
        <f t="shared" ca="1" si="41"/>
        <v>8.4047670624303817E-4</v>
      </c>
      <c r="I125">
        <f t="shared" ca="1" si="39"/>
        <v>7.0055508425095558E-2</v>
      </c>
      <c r="J125">
        <f t="shared" ca="1" si="57"/>
        <v>5.3156042260225869E-2</v>
      </c>
      <c r="K125">
        <f t="shared" ca="1" si="58"/>
        <v>1.0300157698847238E-2</v>
      </c>
      <c r="L125">
        <f t="shared" ca="1" si="59"/>
        <v>2.3083199310990066E-2</v>
      </c>
      <c r="M125">
        <f t="shared" ca="1" si="42"/>
        <v>8.6539399270063169E-2</v>
      </c>
      <c r="Q125">
        <f t="shared" si="60"/>
        <v>86</v>
      </c>
      <c r="R125" s="26">
        <f t="shared" si="68"/>
        <v>3.1289417380250528</v>
      </c>
      <c r="S125">
        <f t="shared" ca="1" si="61"/>
        <v>0.1804015044756595</v>
      </c>
      <c r="T125" s="23">
        <f t="shared" ca="1" si="62"/>
        <v>2499.9999993074907</v>
      </c>
      <c r="U125">
        <f t="shared" ca="1" si="43"/>
        <v>1670.9848468461134</v>
      </c>
      <c r="V125">
        <f t="shared" si="44"/>
        <v>550</v>
      </c>
      <c r="W125">
        <f t="shared" si="63"/>
        <v>5.2192977958184277E-7</v>
      </c>
      <c r="X125">
        <f t="shared" ca="1" si="45"/>
        <v>8.7213675279899125E-4</v>
      </c>
      <c r="Y125">
        <f t="shared" ca="1" si="64"/>
        <v>5.5796995814711557E-2</v>
      </c>
      <c r="Z125" s="6">
        <f t="shared" ca="1" si="46"/>
        <v>-2.0675452534357292E-4</v>
      </c>
      <c r="AA125">
        <f t="shared" ca="1" si="65"/>
        <v>5.9194361208493113E-2</v>
      </c>
      <c r="AB125">
        <f t="shared" ca="1" si="66"/>
        <v>1.6338476647114485E-2</v>
      </c>
      <c r="AC125">
        <f t="shared" ca="1" si="67"/>
        <v>1.7044880362722819E-2</v>
      </c>
      <c r="AD125">
        <f t="shared" ca="1" si="47"/>
        <v>9.2577718218330426E-2</v>
      </c>
      <c r="AE125">
        <f t="shared" ca="1" si="48"/>
        <v>0.16933205288568942</v>
      </c>
      <c r="AG125">
        <f t="shared" ca="1" si="49"/>
        <v>3.66466060680209E-2</v>
      </c>
      <c r="AI125">
        <f t="shared" ca="1" si="50"/>
        <v>7.9498814225952522E-2</v>
      </c>
      <c r="AK125">
        <f t="shared" ca="1" si="51"/>
        <v>43.463825641268322</v>
      </c>
      <c r="AL125" s="6">
        <f t="shared" si="52"/>
        <v>3.0000000000000001E-5</v>
      </c>
      <c r="AM125" s="6">
        <f t="shared" ca="1" si="53"/>
        <v>128779.94078884002</v>
      </c>
      <c r="AN125" s="6">
        <f t="shared" ca="1" si="54"/>
        <v>4.2957334457796236E-3</v>
      </c>
    </row>
    <row r="126" spans="1:40" x14ac:dyDescent="0.25">
      <c r="A126">
        <f t="shared" si="55"/>
        <v>87</v>
      </c>
      <c r="B126">
        <f t="shared" si="35"/>
        <v>3.6129626151070533</v>
      </c>
      <c r="C126">
        <f t="shared" ca="1" si="56"/>
        <v>0.26691667892695814</v>
      </c>
      <c r="D126">
        <f t="shared" si="36"/>
        <v>2500</v>
      </c>
      <c r="E126">
        <f t="shared" ca="1" si="40"/>
        <v>1608.0542149366415</v>
      </c>
      <c r="F126">
        <f t="shared" si="37"/>
        <v>550</v>
      </c>
      <c r="G126">
        <f t="shared" si="38"/>
        <v>5.2192977958184277E-7</v>
      </c>
      <c r="H126">
        <f t="shared" ca="1" si="41"/>
        <v>8.3929138195753454E-4</v>
      </c>
      <c r="I126">
        <f t="shared" ca="1" si="39"/>
        <v>6.9956709142673143E-2</v>
      </c>
      <c r="J126">
        <f t="shared" ca="1" si="57"/>
        <v>5.2945923083665108E-2</v>
      </c>
      <c r="K126">
        <f t="shared" ca="1" si="58"/>
        <v>1.0090038522286477E-2</v>
      </c>
      <c r="L126">
        <f t="shared" ca="1" si="59"/>
        <v>2.3293318487550826E-2</v>
      </c>
      <c r="M126">
        <f t="shared" ca="1" si="42"/>
        <v>8.6329280093502408E-2</v>
      </c>
      <c r="Q126">
        <f t="shared" si="60"/>
        <v>87</v>
      </c>
      <c r="R126" s="26">
        <f t="shared" si="68"/>
        <v>3.1653247814904604</v>
      </c>
      <c r="S126">
        <f t="shared" ca="1" si="61"/>
        <v>0.18243156899962532</v>
      </c>
      <c r="T126" s="23">
        <f t="shared" ca="1" si="62"/>
        <v>2499.9999992999683</v>
      </c>
      <c r="U126">
        <f t="shared" ca="1" si="43"/>
        <v>1669.6100983520273</v>
      </c>
      <c r="V126">
        <f t="shared" si="44"/>
        <v>550</v>
      </c>
      <c r="W126">
        <f t="shared" si="63"/>
        <v>5.2192977958184277E-7</v>
      </c>
      <c r="X126">
        <f t="shared" ca="1" si="45"/>
        <v>8.7141923062049244E-4</v>
      </c>
      <c r="Y126">
        <f t="shared" ca="1" si="64"/>
        <v>5.5751090649194597E-2</v>
      </c>
      <c r="Z126" s="6">
        <f t="shared" ca="1" si="46"/>
        <v>-2.0642708093542573E-4</v>
      </c>
      <c r="AA126">
        <f t="shared" ca="1" si="65"/>
        <v>5.9047742622240947E-2</v>
      </c>
      <c r="AB126">
        <f t="shared" ca="1" si="66"/>
        <v>1.6191858060862319E-2</v>
      </c>
      <c r="AC126">
        <f t="shared" ca="1" si="67"/>
        <v>1.7191498948974985E-2</v>
      </c>
      <c r="AD126">
        <f t="shared" ca="1" si="47"/>
        <v>9.243109963207824E-2</v>
      </c>
      <c r="AE126">
        <f t="shared" ca="1" si="48"/>
        <v>0.16906387576238169</v>
      </c>
      <c r="AG126">
        <f t="shared" ca="1" si="49"/>
        <v>3.6588567550050834E-2</v>
      </c>
      <c r="AI126">
        <f t="shared" ca="1" si="50"/>
        <v>7.9624919008833284E-2</v>
      </c>
      <c r="AK126">
        <f t="shared" ca="1" si="51"/>
        <v>43.532770019101022</v>
      </c>
      <c r="AL126" s="6">
        <f t="shared" si="52"/>
        <v>3.0000000000000001E-5</v>
      </c>
      <c r="AM126" s="6">
        <f t="shared" ca="1" si="53"/>
        <v>128779.94078883996</v>
      </c>
      <c r="AN126" s="6">
        <f t="shared" ca="1" si="54"/>
        <v>4.2957334457796236E-3</v>
      </c>
    </row>
    <row r="127" spans="1:40" x14ac:dyDescent="0.25">
      <c r="A127">
        <f t="shared" si="55"/>
        <v>88</v>
      </c>
      <c r="B127">
        <f t="shared" si="35"/>
        <v>3.6544909210278238</v>
      </c>
      <c r="C127">
        <f t="shared" ca="1" si="56"/>
        <v>0.26982186254544543</v>
      </c>
      <c r="D127">
        <f t="shared" si="36"/>
        <v>2500</v>
      </c>
      <c r="E127">
        <f t="shared" ca="1" si="40"/>
        <v>1605.7747766330847</v>
      </c>
      <c r="F127">
        <f t="shared" si="37"/>
        <v>550</v>
      </c>
      <c r="G127">
        <f t="shared" si="38"/>
        <v>5.2192977958184277E-7</v>
      </c>
      <c r="H127">
        <f t="shared" ca="1" si="41"/>
        <v>8.3810167522618871E-4</v>
      </c>
      <c r="I127">
        <f t="shared" ca="1" si="39"/>
        <v>6.985754457413472E-2</v>
      </c>
      <c r="J127">
        <f t="shared" ca="1" si="57"/>
        <v>5.273610023817573E-2</v>
      </c>
      <c r="K127">
        <f t="shared" ca="1" si="58"/>
        <v>9.8802156767970953E-3</v>
      </c>
      <c r="L127">
        <f t="shared" ca="1" si="59"/>
        <v>2.3503141333040208E-2</v>
      </c>
      <c r="M127">
        <f t="shared" ca="1" si="42"/>
        <v>8.6119457248013037E-2</v>
      </c>
      <c r="Q127">
        <f t="shared" si="60"/>
        <v>88</v>
      </c>
      <c r="R127" s="26">
        <f t="shared" si="68"/>
        <v>3.2017078249558675</v>
      </c>
      <c r="S127">
        <f t="shared" ca="1" si="61"/>
        <v>0.18445996335395881</v>
      </c>
      <c r="T127" s="23">
        <f t="shared" ca="1" si="62"/>
        <v>2499.9999992924577</v>
      </c>
      <c r="U127">
        <f t="shared" ca="1" si="43"/>
        <v>1668.2319194883935</v>
      </c>
      <c r="V127">
        <f t="shared" si="44"/>
        <v>550</v>
      </c>
      <c r="W127">
        <f t="shared" si="63"/>
        <v>5.2192977958184277E-7</v>
      </c>
      <c r="X127">
        <f t="shared" ca="1" si="45"/>
        <v>8.7069991802997166E-4</v>
      </c>
      <c r="Y127">
        <f t="shared" ca="1" si="64"/>
        <v>5.5705070937866127E-2</v>
      </c>
      <c r="Z127" s="6">
        <f t="shared" ca="1" si="46"/>
        <v>-2.0609990592152468E-4</v>
      </c>
      <c r="AA127">
        <f t="shared" ca="1" si="65"/>
        <v>5.8901244661667136E-2</v>
      </c>
      <c r="AB127">
        <f t="shared" ca="1" si="66"/>
        <v>1.6045360100288501E-2</v>
      </c>
      <c r="AC127">
        <f t="shared" ca="1" si="67"/>
        <v>1.7337996909548802E-2</v>
      </c>
      <c r="AD127">
        <f t="shared" ca="1" si="47"/>
        <v>9.2284601671504443E-2</v>
      </c>
      <c r="AE127">
        <f t="shared" ca="1" si="48"/>
        <v>0.16879591927308743</v>
      </c>
      <c r="AG127">
        <f t="shared" ca="1" si="49"/>
        <v>3.6530576781385403E-2</v>
      </c>
      <c r="AI127">
        <f t="shared" ca="1" si="50"/>
        <v>7.9751320250582902E-2</v>
      </c>
      <c r="AK127">
        <f t="shared" ca="1" si="51"/>
        <v>43.601876477798641</v>
      </c>
      <c r="AL127" s="6">
        <f t="shared" si="52"/>
        <v>3.0000000000000001E-5</v>
      </c>
      <c r="AM127" s="6">
        <f t="shared" ca="1" si="53"/>
        <v>128779.94078883994</v>
      </c>
      <c r="AN127" s="6">
        <f t="shared" ca="1" si="54"/>
        <v>4.2957334457796236E-3</v>
      </c>
    </row>
    <row r="128" spans="1:40" x14ac:dyDescent="0.25">
      <c r="A128">
        <f t="shared" si="55"/>
        <v>89</v>
      </c>
      <c r="B128">
        <f t="shared" si="35"/>
        <v>3.6960192269485947</v>
      </c>
      <c r="C128">
        <f t="shared" ca="1" si="56"/>
        <v>0.27272292802739401</v>
      </c>
      <c r="D128">
        <f t="shared" si="36"/>
        <v>2500</v>
      </c>
      <c r="E128">
        <f t="shared" ca="1" si="40"/>
        <v>1603.4869139085208</v>
      </c>
      <c r="F128">
        <f t="shared" si="37"/>
        <v>550</v>
      </c>
      <c r="G128">
        <f t="shared" si="38"/>
        <v>5.2192977958184277E-7</v>
      </c>
      <c r="H128">
        <f t="shared" ca="1" si="41"/>
        <v>8.3690757153864358E-4</v>
      </c>
      <c r="I128">
        <f t="shared" ca="1" si="39"/>
        <v>6.9758013510011374E-2</v>
      </c>
      <c r="J128">
        <f t="shared" ca="1" si="57"/>
        <v>5.2526574819369176E-2</v>
      </c>
      <c r="K128">
        <f t="shared" ca="1" si="58"/>
        <v>9.6706902579905447E-3</v>
      </c>
      <c r="L128">
        <f t="shared" ca="1" si="59"/>
        <v>2.3712666751846759E-2</v>
      </c>
      <c r="M128">
        <f t="shared" ca="1" si="42"/>
        <v>8.5909931829206476E-2</v>
      </c>
      <c r="Q128">
        <f t="shared" si="60"/>
        <v>89</v>
      </c>
      <c r="R128" s="26">
        <f t="shared" si="68"/>
        <v>3.2380908684212755</v>
      </c>
      <c r="S128">
        <f t="shared" ca="1" si="61"/>
        <v>0.18648668337113483</v>
      </c>
      <c r="T128" s="23">
        <f t="shared" ca="1" si="62"/>
        <v>2499.9999992849594</v>
      </c>
      <c r="U128">
        <f t="shared" ca="1" si="43"/>
        <v>1666.8503016521697</v>
      </c>
      <c r="V128">
        <f t="shared" si="44"/>
        <v>550</v>
      </c>
      <c r="W128">
        <f t="shared" si="63"/>
        <v>5.2192977958184277E-7</v>
      </c>
      <c r="X128">
        <f t="shared" ca="1" si="45"/>
        <v>8.6997881053724505E-4</v>
      </c>
      <c r="Y128">
        <f t="shared" ca="1" si="64"/>
        <v>5.5658936393456093E-2</v>
      </c>
      <c r="Z128" s="6">
        <f t="shared" ca="1" si="46"/>
        <v>-2.0577300097408127E-4</v>
      </c>
      <c r="AA128">
        <f t="shared" ca="1" si="65"/>
        <v>5.875486762776537E-2</v>
      </c>
      <c r="AB128">
        <f t="shared" ca="1" si="66"/>
        <v>1.5898983066386742E-2</v>
      </c>
      <c r="AC128">
        <f t="shared" ca="1" si="67"/>
        <v>1.7484373943450565E-2</v>
      </c>
      <c r="AD128">
        <f t="shared" ca="1" si="47"/>
        <v>9.2138224637602684E-2</v>
      </c>
      <c r="AE128">
        <f t="shared" ca="1" si="48"/>
        <v>0.16852818396834812</v>
      </c>
      <c r="AG128">
        <f t="shared" ca="1" si="49"/>
        <v>3.6472633881172022E-2</v>
      </c>
      <c r="AI128">
        <f t="shared" ca="1" si="50"/>
        <v>7.9878018607903611E-2</v>
      </c>
      <c r="AK128">
        <f t="shared" ca="1" si="51"/>
        <v>43.671145376395351</v>
      </c>
      <c r="AL128" s="6">
        <f t="shared" si="52"/>
        <v>3.0000000000000001E-5</v>
      </c>
      <c r="AM128" s="6">
        <f t="shared" ca="1" si="53"/>
        <v>128779.94078884002</v>
      </c>
      <c r="AN128" s="6">
        <f t="shared" ca="1" si="54"/>
        <v>4.2957334457796236E-3</v>
      </c>
    </row>
    <row r="129" spans="1:40" x14ac:dyDescent="0.25">
      <c r="A129">
        <f t="shared" si="55"/>
        <v>90</v>
      </c>
      <c r="B129">
        <f t="shared" si="35"/>
        <v>3.7375475328693653</v>
      </c>
      <c r="C129">
        <f t="shared" ca="1" si="56"/>
        <v>0.27561986015286299</v>
      </c>
      <c r="D129">
        <f t="shared" si="36"/>
        <v>2500</v>
      </c>
      <c r="E129">
        <f t="shared" ca="1" si="40"/>
        <v>1601.190599022626</v>
      </c>
      <c r="F129">
        <f t="shared" si="37"/>
        <v>550</v>
      </c>
      <c r="G129">
        <f t="shared" si="38"/>
        <v>5.2192977958184277E-7</v>
      </c>
      <c r="H129">
        <f t="shared" ca="1" si="41"/>
        <v>8.3570905641639794E-4</v>
      </c>
      <c r="I129">
        <f t="shared" ca="1" si="39"/>
        <v>6.9658114743489444E-2</v>
      </c>
      <c r="J129">
        <f t="shared" ca="1" si="57"/>
        <v>5.2317347926484514E-2</v>
      </c>
      <c r="K129">
        <f t="shared" ca="1" si="58"/>
        <v>9.4614633651058863E-3</v>
      </c>
      <c r="L129">
        <f t="shared" ca="1" si="59"/>
        <v>2.3921893644731417E-2</v>
      </c>
      <c r="M129">
        <f t="shared" ca="1" si="42"/>
        <v>8.5700704936321814E-2</v>
      </c>
      <c r="Q129">
        <f t="shared" si="60"/>
        <v>90</v>
      </c>
      <c r="R129" s="26">
        <f t="shared" si="68"/>
        <v>3.274473911886683</v>
      </c>
      <c r="S129">
        <f t="shared" ca="1" si="61"/>
        <v>0.1885117248731763</v>
      </c>
      <c r="T129" s="23">
        <f t="shared" ca="1" si="62"/>
        <v>2499.9999992774729</v>
      </c>
      <c r="U129">
        <f t="shared" ca="1" si="43"/>
        <v>1665.465236237442</v>
      </c>
      <c r="V129">
        <f t="shared" si="44"/>
        <v>550</v>
      </c>
      <c r="W129">
        <f t="shared" si="63"/>
        <v>5.2192977958184277E-7</v>
      </c>
      <c r="X129">
        <f t="shared" ca="1" si="45"/>
        <v>8.6925590365062979E-4</v>
      </c>
      <c r="Y129">
        <f t="shared" ca="1" si="64"/>
        <v>5.5612686728598551E-2</v>
      </c>
      <c r="Z129" s="6">
        <f t="shared" ca="1" si="46"/>
        <v>-2.0544636676699267E-4</v>
      </c>
      <c r="AA129">
        <f t="shared" ca="1" si="65"/>
        <v>5.8608611822284246E-2</v>
      </c>
      <c r="AB129">
        <f t="shared" ca="1" si="66"/>
        <v>1.5752727260905611E-2</v>
      </c>
      <c r="AC129">
        <f t="shared" ca="1" si="67"/>
        <v>1.7630629748931693E-2</v>
      </c>
      <c r="AD129">
        <f t="shared" ca="1" si="47"/>
        <v>9.1991968832121546E-2</v>
      </c>
      <c r="AE129">
        <f t="shared" ca="1" si="48"/>
        <v>0.16826067040008602</v>
      </c>
      <c r="AG129">
        <f t="shared" ca="1" si="49"/>
        <v>3.6414738968856927E-2</v>
      </c>
      <c r="AI129">
        <f t="shared" ca="1" si="50"/>
        <v>8.0005014737022845E-2</v>
      </c>
      <c r="AK129">
        <f t="shared" ca="1" si="51"/>
        <v>43.74057707366574</v>
      </c>
      <c r="AL129" s="6">
        <f t="shared" si="52"/>
        <v>3.0000000000000001E-5</v>
      </c>
      <c r="AM129" s="6">
        <f t="shared" ca="1" si="53"/>
        <v>128779.94078883999</v>
      </c>
      <c r="AN129" s="6">
        <f t="shared" ca="1" si="54"/>
        <v>4.2957334457796236E-3</v>
      </c>
    </row>
    <row r="130" spans="1:40" x14ac:dyDescent="0.25">
      <c r="A130">
        <f t="shared" si="55"/>
        <v>91</v>
      </c>
      <c r="B130">
        <f t="shared" si="35"/>
        <v>3.7790758387901362</v>
      </c>
      <c r="C130">
        <f t="shared" ca="1" si="56"/>
        <v>0.27851264365179479</v>
      </c>
      <c r="D130">
        <f t="shared" si="36"/>
        <v>2500</v>
      </c>
      <c r="E130">
        <f t="shared" ca="1" si="40"/>
        <v>1598.8858042994689</v>
      </c>
      <c r="F130">
        <f t="shared" si="37"/>
        <v>550</v>
      </c>
      <c r="G130">
        <f t="shared" si="38"/>
        <v>5.2192977958184277E-7</v>
      </c>
      <c r="H130">
        <f t="shared" ca="1" si="41"/>
        <v>8.3450611541455914E-4</v>
      </c>
      <c r="I130">
        <f t="shared" ca="1" si="39"/>
        <v>6.955784707055665E-2</v>
      </c>
      <c r="J130">
        <f t="shared" ca="1" si="57"/>
        <v>5.210842066238041E-2</v>
      </c>
      <c r="K130">
        <f t="shared" ca="1" si="58"/>
        <v>9.2525361010017855E-3</v>
      </c>
      <c r="L130">
        <f t="shared" ca="1" si="59"/>
        <v>2.4130820908835518E-2</v>
      </c>
      <c r="M130">
        <f t="shared" ca="1" si="42"/>
        <v>8.5491777672217717E-2</v>
      </c>
      <c r="Q130">
        <f t="shared" si="60"/>
        <v>91</v>
      </c>
      <c r="R130" s="26">
        <f t="shared" si="68"/>
        <v>3.310856955352091</v>
      </c>
      <c r="S130">
        <f t="shared" ca="1" si="61"/>
        <v>0.19053508367165101</v>
      </c>
      <c r="T130" s="23">
        <f t="shared" ca="1" si="62"/>
        <v>2499.9999992699982</v>
      </c>
      <c r="U130">
        <f t="shared" ca="1" si="43"/>
        <v>1664.0767146356977</v>
      </c>
      <c r="V130">
        <f t="shared" si="44"/>
        <v>550</v>
      </c>
      <c r="W130">
        <f t="shared" si="63"/>
        <v>5.2192977958184277E-7</v>
      </c>
      <c r="X130">
        <f t="shared" ca="1" si="45"/>
        <v>8.6853119287708678E-4</v>
      </c>
      <c r="Y130">
        <f t="shared" ca="1" si="64"/>
        <v>5.5566321655840779E-2</v>
      </c>
      <c r="Z130" s="6">
        <f t="shared" ca="1" si="46"/>
        <v>-2.05120003975843E-4</v>
      </c>
      <c r="AA130">
        <f t="shared" ca="1" si="65"/>
        <v>5.8462477547727439E-2</v>
      </c>
      <c r="AB130">
        <f t="shared" ca="1" si="66"/>
        <v>1.5606592986348812E-2</v>
      </c>
      <c r="AC130">
        <f t="shared" ca="1" si="67"/>
        <v>1.7776764023488493E-2</v>
      </c>
      <c r="AD130">
        <f t="shared" ca="1" si="47"/>
        <v>9.1845834557564746E-2</v>
      </c>
      <c r="AE130">
        <f t="shared" ca="1" si="48"/>
        <v>0.16799337912160472</v>
      </c>
      <c r="AG130">
        <f t="shared" ca="1" si="49"/>
        <v>3.6356892164185313E-2</v>
      </c>
      <c r="AI130">
        <f t="shared" ca="1" si="50"/>
        <v>8.0132309293665729E-2</v>
      </c>
      <c r="AK130">
        <f t="shared" ca="1" si="51"/>
        <v>43.810171928109774</v>
      </c>
      <c r="AL130" s="6">
        <f t="shared" si="52"/>
        <v>3.0000000000000001E-5</v>
      </c>
      <c r="AM130" s="6">
        <f t="shared" ca="1" si="53"/>
        <v>128779.94078883997</v>
      </c>
      <c r="AN130" s="6">
        <f t="shared" ca="1" si="54"/>
        <v>4.2957334457796236E-3</v>
      </c>
    </row>
    <row r="131" spans="1:40" x14ac:dyDescent="0.25">
      <c r="A131">
        <f t="shared" si="55"/>
        <v>92</v>
      </c>
      <c r="B131">
        <f t="shared" si="35"/>
        <v>3.8206041447109067</v>
      </c>
      <c r="C131">
        <f t="shared" ca="1" si="56"/>
        <v>0.28140126320413106</v>
      </c>
      <c r="D131">
        <f t="shared" si="36"/>
        <v>2500</v>
      </c>
      <c r="E131">
        <f t="shared" ca="1" si="40"/>
        <v>1596.5725021309247</v>
      </c>
      <c r="F131">
        <f t="shared" si="37"/>
        <v>550</v>
      </c>
      <c r="G131">
        <f t="shared" si="38"/>
        <v>5.2192977958184277E-7</v>
      </c>
      <c r="H131">
        <f t="shared" ca="1" si="41"/>
        <v>8.3329873412362474E-4</v>
      </c>
      <c r="I131">
        <f t="shared" ca="1" si="39"/>
        <v>6.9457209290150521E-2</v>
      </c>
      <c r="J131">
        <f t="shared" ca="1" si="57"/>
        <v>5.1899794133526772E-2</v>
      </c>
      <c r="K131">
        <f t="shared" ca="1" si="58"/>
        <v>9.0439095721481476E-3</v>
      </c>
      <c r="L131">
        <f t="shared" ca="1" si="59"/>
        <v>2.4339447437689156E-2</v>
      </c>
      <c r="M131">
        <f t="shared" ca="1" si="42"/>
        <v>8.5283151143364072E-2</v>
      </c>
      <c r="Q131">
        <f t="shared" si="60"/>
        <v>92</v>
      </c>
      <c r="R131" s="26">
        <f t="shared" si="68"/>
        <v>3.3472399988174981</v>
      </c>
      <c r="S131">
        <f t="shared" ca="1" si="61"/>
        <v>0.19255675556766824</v>
      </c>
      <c r="T131" s="23">
        <f t="shared" ca="1" si="62"/>
        <v>2499.9999992625353</v>
      </c>
      <c r="U131">
        <f t="shared" ca="1" si="43"/>
        <v>1662.6847282361059</v>
      </c>
      <c r="V131">
        <f t="shared" si="44"/>
        <v>550</v>
      </c>
      <c r="W131">
        <f t="shared" si="63"/>
        <v>5.2192977958184277E-7</v>
      </c>
      <c r="X131">
        <f t="shared" ca="1" si="45"/>
        <v>8.6780467372236686E-4</v>
      </c>
      <c r="Y131">
        <f t="shared" ca="1" si="64"/>
        <v>5.5519840887652633E-2</v>
      </c>
      <c r="Z131" s="6">
        <f t="shared" ca="1" si="46"/>
        <v>-2.0479391327790289E-4</v>
      </c>
      <c r="AA131">
        <f t="shared" ca="1" si="65"/>
        <v>5.8316465107354006E-2</v>
      </c>
      <c r="AB131">
        <f t="shared" ca="1" si="66"/>
        <v>1.5460580545975379E-2</v>
      </c>
      <c r="AC131">
        <f t="shared" ca="1" si="67"/>
        <v>1.7922776463861926E-2</v>
      </c>
      <c r="AD131">
        <f t="shared" ca="1" si="47"/>
        <v>9.1699822117191312E-2</v>
      </c>
      <c r="AE131">
        <f t="shared" ca="1" si="48"/>
        <v>0.1677263106875892</v>
      </c>
      <c r="AG131">
        <f t="shared" ca="1" si="49"/>
        <v>3.6299093587201327E-2</v>
      </c>
      <c r="AI131">
        <f t="shared" ca="1" si="50"/>
        <v>8.0259902933027136E-2</v>
      </c>
      <c r="AK131">
        <f t="shared" ca="1" si="51"/>
        <v>43.879930297937541</v>
      </c>
      <c r="AL131" s="6">
        <f t="shared" si="52"/>
        <v>3.0000000000000001E-5</v>
      </c>
      <c r="AM131" s="6">
        <f t="shared" ca="1" si="53"/>
        <v>128779.94078884</v>
      </c>
      <c r="AN131" s="6">
        <f t="shared" ca="1" si="54"/>
        <v>4.2957334457796236E-3</v>
      </c>
    </row>
    <row r="132" spans="1:40" x14ac:dyDescent="0.25">
      <c r="A132">
        <f t="shared" si="55"/>
        <v>93</v>
      </c>
      <c r="B132">
        <f t="shared" si="35"/>
        <v>3.8621324506316772</v>
      </c>
      <c r="C132">
        <f t="shared" ca="1" si="56"/>
        <v>0.28428570343993542</v>
      </c>
      <c r="D132">
        <f t="shared" si="36"/>
        <v>2500</v>
      </c>
      <c r="E132">
        <f t="shared" ca="1" si="40"/>
        <v>1594.2506649801448</v>
      </c>
      <c r="F132">
        <f t="shared" si="37"/>
        <v>550</v>
      </c>
      <c r="G132">
        <f t="shared" si="38"/>
        <v>5.2192977958184277E-7</v>
      </c>
      <c r="H132">
        <f t="shared" ca="1" si="41"/>
        <v>8.3208689817129331E-4</v>
      </c>
      <c r="I132">
        <f t="shared" ca="1" si="39"/>
        <v>6.9356200204309368E-2</v>
      </c>
      <c r="J132">
        <f t="shared" ca="1" si="57"/>
        <v>5.1691469449995871E-2</v>
      </c>
      <c r="K132">
        <f t="shared" ca="1" si="58"/>
        <v>8.8355848886172393E-3</v>
      </c>
      <c r="L132">
        <f t="shared" ca="1" si="59"/>
        <v>2.4547772121220064E-2</v>
      </c>
      <c r="M132">
        <f t="shared" ca="1" si="42"/>
        <v>8.5074826459833164E-2</v>
      </c>
      <c r="Q132">
        <f t="shared" si="60"/>
        <v>93</v>
      </c>
      <c r="R132" s="26">
        <f t="shared" si="68"/>
        <v>3.3836230422829061</v>
      </c>
      <c r="S132">
        <f t="shared" ca="1" si="61"/>
        <v>0.19457673635187625</v>
      </c>
      <c r="T132" s="23">
        <f t="shared" ca="1" si="62"/>
        <v>2499.9999992550843</v>
      </c>
      <c r="U132">
        <f t="shared" ca="1" si="43"/>
        <v>1661.2892684257972</v>
      </c>
      <c r="V132">
        <f t="shared" si="44"/>
        <v>550</v>
      </c>
      <c r="W132">
        <f t="shared" si="63"/>
        <v>5.2192977958184277E-7</v>
      </c>
      <c r="X132">
        <f t="shared" ca="1" si="45"/>
        <v>8.6707634169115718E-4</v>
      </c>
      <c r="Y132">
        <f t="shared" ca="1" si="64"/>
        <v>5.5473244136435923E-2</v>
      </c>
      <c r="Z132" s="6">
        <f t="shared" ca="1" si="46"/>
        <v>-2.0446809535213029E-4</v>
      </c>
      <c r="AA132">
        <f t="shared" ca="1" si="65"/>
        <v>5.8170574805178517E-2</v>
      </c>
      <c r="AB132">
        <f t="shared" ca="1" si="66"/>
        <v>1.5314690243799887E-2</v>
      </c>
      <c r="AC132">
        <f t="shared" ca="1" si="67"/>
        <v>1.8068666766037418E-2</v>
      </c>
      <c r="AD132">
        <f t="shared" ca="1" si="47"/>
        <v>9.155393181501581E-2</v>
      </c>
      <c r="AE132">
        <f t="shared" ca="1" si="48"/>
        <v>0.16745946565410638</v>
      </c>
      <c r="AG132">
        <f t="shared" ca="1" si="49"/>
        <v>3.624134335824819E-2</v>
      </c>
      <c r="AI132">
        <f t="shared" ca="1" si="50"/>
        <v>8.0387796309743437E-2</v>
      </c>
      <c r="AK132">
        <f t="shared" ca="1" si="51"/>
        <v>43.949852541053751</v>
      </c>
      <c r="AL132" s="6">
        <f t="shared" si="52"/>
        <v>3.0000000000000001E-5</v>
      </c>
      <c r="AM132" s="6">
        <f t="shared" ca="1" si="53"/>
        <v>128779.94078883999</v>
      </c>
      <c r="AN132" s="6">
        <f t="shared" ca="1" si="54"/>
        <v>4.2957334457796236E-3</v>
      </c>
    </row>
    <row r="133" spans="1:40" x14ac:dyDescent="0.25">
      <c r="A133">
        <f t="shared" si="55"/>
        <v>94</v>
      </c>
      <c r="B133">
        <f t="shared" si="35"/>
        <v>3.9036607565524482</v>
      </c>
      <c r="C133">
        <f t="shared" ca="1" si="56"/>
        <v>0.28716594893952224</v>
      </c>
      <c r="D133">
        <f t="shared" si="36"/>
        <v>2500</v>
      </c>
      <c r="E133">
        <f t="shared" ca="1" si="40"/>
        <v>1591.9202653850853</v>
      </c>
      <c r="F133">
        <f t="shared" si="37"/>
        <v>550</v>
      </c>
      <c r="G133">
        <f t="shared" si="38"/>
        <v>5.2192977958184277E-7</v>
      </c>
      <c r="H133">
        <f t="shared" ca="1" si="41"/>
        <v>8.308705932243062E-4</v>
      </c>
      <c r="I133">
        <f t="shared" ca="1" si="39"/>
        <v>6.9254818618325831E-2</v>
      </c>
      <c r="J133">
        <f t="shared" ca="1" si="57"/>
        <v>5.1483447725453046E-2</v>
      </c>
      <c r="K133">
        <f t="shared" ca="1" si="58"/>
        <v>8.6275631640744151E-3</v>
      </c>
      <c r="L133">
        <f t="shared" ca="1" si="59"/>
        <v>2.4755793845762888E-2</v>
      </c>
      <c r="M133">
        <f t="shared" ca="1" si="42"/>
        <v>8.4866804735290347E-2</v>
      </c>
      <c r="Q133">
        <f t="shared" si="60"/>
        <v>94</v>
      </c>
      <c r="R133" s="26">
        <f t="shared" si="68"/>
        <v>3.4200060857483137</v>
      </c>
      <c r="S133">
        <f t="shared" ca="1" si="61"/>
        <v>0.19659502180445937</v>
      </c>
      <c r="T133" s="23">
        <f t="shared" ca="1" si="62"/>
        <v>2499.9999992476451</v>
      </c>
      <c r="U133">
        <f t="shared" ca="1" si="43"/>
        <v>1659.8903265901502</v>
      </c>
      <c r="V133">
        <f t="shared" si="44"/>
        <v>550</v>
      </c>
      <c r="W133">
        <f t="shared" si="63"/>
        <v>5.2192977958184277E-7</v>
      </c>
      <c r="X133">
        <f t="shared" ca="1" si="45"/>
        <v>8.6634619228723013E-4</v>
      </c>
      <c r="Y133">
        <f t="shared" ca="1" si="64"/>
        <v>5.5426531114533918E-2</v>
      </c>
      <c r="Z133" s="6">
        <f t="shared" ca="1" si="46"/>
        <v>-2.0414255087917131E-4</v>
      </c>
      <c r="AA133">
        <f t="shared" ca="1" si="65"/>
        <v>5.8024806945971279E-2</v>
      </c>
      <c r="AB133">
        <f t="shared" ca="1" si="66"/>
        <v>1.5168922384592654E-2</v>
      </c>
      <c r="AC133">
        <f t="shared" ca="1" si="67"/>
        <v>1.8214434625244649E-2</v>
      </c>
      <c r="AD133">
        <f t="shared" ca="1" si="47"/>
        <v>9.1408163955808586E-2</v>
      </c>
      <c r="AE133">
        <f t="shared" ca="1" si="48"/>
        <v>0.16719284457860573</v>
      </c>
      <c r="AG133">
        <f t="shared" ca="1" si="49"/>
        <v>3.6183641597968344E-2</v>
      </c>
      <c r="AI133">
        <f t="shared" ca="1" si="50"/>
        <v>8.051599007786378E-2</v>
      </c>
      <c r="AK133">
        <f t="shared" ca="1" si="51"/>
        <v>44.019939015042063</v>
      </c>
      <c r="AL133" s="6">
        <f t="shared" si="52"/>
        <v>3.0000000000000001E-5</v>
      </c>
      <c r="AM133" s="6">
        <f t="shared" ca="1" si="53"/>
        <v>128779.94078883997</v>
      </c>
      <c r="AN133" s="6">
        <f t="shared" ca="1" si="54"/>
        <v>4.2957334457796236E-3</v>
      </c>
    </row>
    <row r="134" spans="1:40" x14ac:dyDescent="0.25">
      <c r="A134">
        <f t="shared" si="55"/>
        <v>95</v>
      </c>
      <c r="B134">
        <f t="shared" si="35"/>
        <v>3.9451890624732187</v>
      </c>
      <c r="C134">
        <f t="shared" ca="1" si="56"/>
        <v>0.29004198423359157</v>
      </c>
      <c r="D134">
        <f t="shared" si="36"/>
        <v>2500</v>
      </c>
      <c r="E134">
        <f t="shared" ca="1" si="40"/>
        <v>1589.5812759620894</v>
      </c>
      <c r="F134">
        <f t="shared" si="37"/>
        <v>550</v>
      </c>
      <c r="G134">
        <f t="shared" si="38"/>
        <v>5.2192977958184277E-7</v>
      </c>
      <c r="H134">
        <f t="shared" ca="1" si="41"/>
        <v>8.2964980499031769E-4</v>
      </c>
      <c r="I134">
        <f t="shared" ca="1" si="39"/>
        <v>6.9153063340902696E-2</v>
      </c>
      <c r="J134">
        <f t="shared" ca="1" si="57"/>
        <v>5.1275730077146968E-2</v>
      </c>
      <c r="K134">
        <f t="shared" ca="1" si="58"/>
        <v>8.4198455157683399E-3</v>
      </c>
      <c r="L134">
        <f t="shared" ca="1" si="59"/>
        <v>2.4963511494068964E-2</v>
      </c>
      <c r="M134">
        <f t="shared" ca="1" si="42"/>
        <v>8.4659087086984275E-2</v>
      </c>
      <c r="Q134">
        <f t="shared" si="60"/>
        <v>95</v>
      </c>
      <c r="R134" s="26">
        <f t="shared" si="68"/>
        <v>3.4563891292137208</v>
      </c>
      <c r="S134">
        <f t="shared" ca="1" si="61"/>
        <v>0.19861160769513619</v>
      </c>
      <c r="T134" s="23">
        <f t="shared" ca="1" si="62"/>
        <v>2499.9999992402177</v>
      </c>
      <c r="U134">
        <f t="shared" ca="1" si="43"/>
        <v>1658.4878941130833</v>
      </c>
      <c r="V134">
        <f t="shared" si="44"/>
        <v>550</v>
      </c>
      <c r="W134">
        <f t="shared" si="63"/>
        <v>5.2192977958184277E-7</v>
      </c>
      <c r="X134">
        <f t="shared" ca="1" si="45"/>
        <v>8.6561422101359611E-4</v>
      </c>
      <c r="Y134">
        <f t="shared" ca="1" si="64"/>
        <v>5.5379701534241189E-2</v>
      </c>
      <c r="Z134" s="6">
        <f t="shared" ca="1" si="46"/>
        <v>-2.0381728054135977E-4</v>
      </c>
      <c r="AA134">
        <f t="shared" ca="1" si="65"/>
        <v>5.78791618352585E-2</v>
      </c>
      <c r="AB134">
        <f t="shared" ca="1" si="66"/>
        <v>1.502327727387987E-2</v>
      </c>
      <c r="AC134">
        <f t="shared" ca="1" si="67"/>
        <v>1.8360079735957435E-2</v>
      </c>
      <c r="AD134">
        <f t="shared" ca="1" si="47"/>
        <v>9.12625188450958E-2</v>
      </c>
      <c r="AE134">
        <f t="shared" ca="1" si="48"/>
        <v>0.16692644801991893</v>
      </c>
      <c r="AG134">
        <f t="shared" ca="1" si="49"/>
        <v>3.6125988427303357E-2</v>
      </c>
      <c r="AI134">
        <f t="shared" ca="1" si="50"/>
        <v>8.0644484890821391E-2</v>
      </c>
      <c r="AK134">
        <f t="shared" ca="1" si="51"/>
        <v>44.090190077149437</v>
      </c>
      <c r="AL134" s="6">
        <f t="shared" si="52"/>
        <v>3.0000000000000001E-5</v>
      </c>
      <c r="AM134" s="6">
        <f t="shared" ca="1" si="53"/>
        <v>128779.94078883999</v>
      </c>
      <c r="AN134" s="6">
        <f t="shared" ca="1" si="54"/>
        <v>4.2957334457796236E-3</v>
      </c>
    </row>
    <row r="135" spans="1:40" x14ac:dyDescent="0.25">
      <c r="A135">
        <f t="shared" si="55"/>
        <v>96</v>
      </c>
      <c r="B135">
        <f t="shared" si="35"/>
        <v>3.9867173683939892</v>
      </c>
      <c r="C135">
        <f t="shared" ca="1" si="56"/>
        <v>0.29291379380337101</v>
      </c>
      <c r="D135">
        <f t="shared" si="36"/>
        <v>2500</v>
      </c>
      <c r="E135">
        <f t="shared" ca="1" si="40"/>
        <v>1587.2336694095284</v>
      </c>
      <c r="F135">
        <f t="shared" si="37"/>
        <v>550</v>
      </c>
      <c r="G135">
        <f t="shared" si="38"/>
        <v>5.2192977958184277E-7</v>
      </c>
      <c r="H135">
        <f t="shared" ca="1" si="41"/>
        <v>8.2842451921979468E-4</v>
      </c>
      <c r="I135">
        <f t="shared" ca="1" si="39"/>
        <v>6.9050933184311297E-2</v>
      </c>
      <c r="J135">
        <f t="shared" ca="1" si="57"/>
        <v>5.106831762589939E-2</v>
      </c>
      <c r="K135">
        <f t="shared" ca="1" si="58"/>
        <v>8.2124330645207584E-3</v>
      </c>
      <c r="L135">
        <f t="shared" ca="1" si="59"/>
        <v>2.5170923945316545E-2</v>
      </c>
      <c r="M135">
        <f t="shared" ca="1" si="42"/>
        <v>8.445167463573669E-2</v>
      </c>
      <c r="Q135">
        <f t="shared" si="60"/>
        <v>96</v>
      </c>
      <c r="R135" s="26">
        <f t="shared" si="68"/>
        <v>3.4927721726791288</v>
      </c>
      <c r="S135">
        <f t="shared" ca="1" si="61"/>
        <v>0.20062648978315781</v>
      </c>
      <c r="T135" s="23">
        <f t="shared" ca="1" si="62"/>
        <v>2499.9999992328021</v>
      </c>
      <c r="U135">
        <f t="shared" ca="1" si="43"/>
        <v>1657.0819623773446</v>
      </c>
      <c r="V135">
        <f t="shared" si="44"/>
        <v>550</v>
      </c>
      <c r="W135">
        <f t="shared" si="63"/>
        <v>5.2192977958184277E-7</v>
      </c>
      <c r="X135">
        <f t="shared" ca="1" si="45"/>
        <v>8.6488042337265491E-4</v>
      </c>
      <c r="Y135">
        <f t="shared" ca="1" si="64"/>
        <v>5.5332755107813179E-2</v>
      </c>
      <c r="Z135" s="6">
        <f t="shared" ca="1" si="46"/>
        <v>-2.0349228502271812E-4</v>
      </c>
      <c r="AA135">
        <f t="shared" ca="1" si="65"/>
        <v>5.7733639779322353E-2</v>
      </c>
      <c r="AB135">
        <f t="shared" ca="1" si="66"/>
        <v>1.4877755217943723E-2</v>
      </c>
      <c r="AC135">
        <f t="shared" ca="1" si="67"/>
        <v>1.8505601791893582E-2</v>
      </c>
      <c r="AD135">
        <f t="shared" ca="1" si="47"/>
        <v>9.111699678915966E-2</v>
      </c>
      <c r="AE135">
        <f t="shared" ca="1" si="48"/>
        <v>0.16666027653826071</v>
      </c>
      <c r="AG135">
        <f t="shared" ca="1" si="49"/>
        <v>3.6068383967494115E-2</v>
      </c>
      <c r="AI135">
        <f t="shared" ca="1" si="50"/>
        <v>8.0773281401404134E-2</v>
      </c>
      <c r="AK135">
        <f t="shared" ca="1" si="51"/>
        <v>44.160606084269958</v>
      </c>
      <c r="AL135" s="6">
        <f t="shared" si="52"/>
        <v>3.0000000000000001E-5</v>
      </c>
      <c r="AM135" s="6">
        <f t="shared" ca="1" si="53"/>
        <v>128779.94078883999</v>
      </c>
      <c r="AN135" s="6">
        <f t="shared" ca="1" si="54"/>
        <v>4.2957334457796236E-3</v>
      </c>
    </row>
    <row r="136" spans="1:40" x14ac:dyDescent="0.25">
      <c r="A136">
        <f t="shared" si="55"/>
        <v>97</v>
      </c>
      <c r="B136">
        <f t="shared" si="35"/>
        <v>4.0282456743147605</v>
      </c>
      <c r="C136">
        <f t="shared" ca="1" si="56"/>
        <v>0.29578136208076383</v>
      </c>
      <c r="D136">
        <f t="shared" si="36"/>
        <v>2500</v>
      </c>
      <c r="E136">
        <f t="shared" ca="1" si="40"/>
        <v>1584.8774185115012</v>
      </c>
      <c r="F136">
        <f t="shared" si="37"/>
        <v>550</v>
      </c>
      <c r="G136">
        <f t="shared" si="38"/>
        <v>5.2192977958184277E-7</v>
      </c>
      <c r="H136">
        <f t="shared" ca="1" si="41"/>
        <v>8.2719472170794781E-4</v>
      </c>
      <c r="I136">
        <f t="shared" ca="1" si="39"/>
        <v>6.8948426964552445E-2</v>
      </c>
      <c r="J136">
        <f t="shared" ca="1" si="57"/>
        <v>5.0861211496094433E-2</v>
      </c>
      <c r="K136">
        <f t="shared" ca="1" si="58"/>
        <v>8.0053269347158083E-3</v>
      </c>
      <c r="L136">
        <f t="shared" ca="1" si="59"/>
        <v>2.5378030075121495E-2</v>
      </c>
      <c r="M136">
        <f t="shared" ca="1" si="42"/>
        <v>8.4244568505931733E-2</v>
      </c>
      <c r="Q136">
        <f t="shared" si="60"/>
        <v>97</v>
      </c>
      <c r="R136" s="26">
        <f t="shared" si="68"/>
        <v>3.5291552161445363</v>
      </c>
      <c r="S136">
        <f t="shared" ca="1" si="61"/>
        <v>0.20263966381730614</v>
      </c>
      <c r="T136" s="23">
        <f t="shared" ca="1" si="62"/>
        <v>2499.9999992253984</v>
      </c>
      <c r="U136">
        <f t="shared" ca="1" si="43"/>
        <v>1655.6725227648103</v>
      </c>
      <c r="V136">
        <f t="shared" si="44"/>
        <v>550</v>
      </c>
      <c r="W136">
        <f t="shared" si="63"/>
        <v>5.2192977958184277E-7</v>
      </c>
      <c r="X136">
        <f t="shared" ca="1" si="45"/>
        <v>8.6414479486635097E-4</v>
      </c>
      <c r="Y136">
        <f t="shared" ca="1" si="64"/>
        <v>5.5285691547476229E-2</v>
      </c>
      <c r="Z136" s="6">
        <f t="shared" ca="1" si="46"/>
        <v>-2.0316756500895732E-4</v>
      </c>
      <c r="AA136">
        <f t="shared" ca="1" si="65"/>
        <v>5.7588241085201157E-2</v>
      </c>
      <c r="AB136">
        <f t="shared" ca="1" si="66"/>
        <v>1.4732356523822527E-2</v>
      </c>
      <c r="AC136">
        <f t="shared" ca="1" si="67"/>
        <v>1.8651000486014778E-2</v>
      </c>
      <c r="AD136">
        <f t="shared" ca="1" si="47"/>
        <v>9.0971598095038464E-2</v>
      </c>
      <c r="AE136">
        <f t="shared" ca="1" si="48"/>
        <v>0.16639433069522869</v>
      </c>
      <c r="AG136">
        <f t="shared" ca="1" si="49"/>
        <v>3.6010828340080785E-2</v>
      </c>
      <c r="AI136">
        <f t="shared" ca="1" si="50"/>
        <v>8.090238026172511E-2</v>
      </c>
      <c r="AK136">
        <f t="shared" ca="1" si="51"/>
        <v>44.231187392928824</v>
      </c>
      <c r="AL136" s="6">
        <f t="shared" si="52"/>
        <v>3.0000000000000001E-5</v>
      </c>
      <c r="AM136" s="6">
        <f t="shared" ca="1" si="53"/>
        <v>128779.94078883993</v>
      </c>
      <c r="AN136" s="6">
        <f t="shared" ca="1" si="54"/>
        <v>4.2957334457796236E-3</v>
      </c>
    </row>
    <row r="137" spans="1:40" x14ac:dyDescent="0.25">
      <c r="A137">
        <f t="shared" si="55"/>
        <v>98</v>
      </c>
      <c r="B137">
        <f t="shared" si="35"/>
        <v>4.0697739802355315</v>
      </c>
      <c r="C137">
        <f t="shared" ca="1" si="56"/>
        <v>0.29864467344850371</v>
      </c>
      <c r="D137">
        <f t="shared" si="36"/>
        <v>2500</v>
      </c>
      <c r="E137">
        <f t="shared" ca="1" si="40"/>
        <v>1582.5124961415927</v>
      </c>
      <c r="F137">
        <f t="shared" si="37"/>
        <v>550</v>
      </c>
      <c r="G137">
        <f t="shared" si="38"/>
        <v>5.2192977958184277E-7</v>
      </c>
      <c r="H137">
        <f t="shared" ca="1" si="41"/>
        <v>8.259603982966933E-4</v>
      </c>
      <c r="I137">
        <f t="shared" ca="1" si="39"/>
        <v>6.8845543501519946E-2</v>
      </c>
      <c r="J137">
        <f t="shared" ca="1" si="57"/>
        <v>5.0654412815667446E-2</v>
      </c>
      <c r="K137">
        <f t="shared" ca="1" si="58"/>
        <v>7.7985282542888182E-3</v>
      </c>
      <c r="L137">
        <f t="shared" ca="1" si="59"/>
        <v>2.5584828755548485E-2</v>
      </c>
      <c r="M137">
        <f t="shared" ca="1" si="42"/>
        <v>8.4037769825504746E-2</v>
      </c>
      <c r="Q137">
        <f t="shared" si="60"/>
        <v>98</v>
      </c>
      <c r="R137" s="26">
        <f t="shared" si="68"/>
        <v>3.5655382596099439</v>
      </c>
      <c r="S137">
        <f t="shared" ca="1" si="61"/>
        <v>0.20465112553589307</v>
      </c>
      <c r="T137" s="23">
        <f t="shared" ca="1" si="62"/>
        <v>2499.9999992180065</v>
      </c>
      <c r="U137">
        <f t="shared" ca="1" si="43"/>
        <v>1654.2595666567868</v>
      </c>
      <c r="V137">
        <f t="shared" si="44"/>
        <v>550</v>
      </c>
      <c r="W137">
        <f t="shared" si="63"/>
        <v>5.2192977958184277E-7</v>
      </c>
      <c r="X137">
        <f t="shared" ca="1" si="45"/>
        <v>8.6340733099633143E-4</v>
      </c>
      <c r="Y137">
        <f t="shared" ca="1" si="64"/>
        <v>5.5238510565437673E-2</v>
      </c>
      <c r="Z137" s="6">
        <f t="shared" ca="1" si="46"/>
        <v>-2.0284312118747726E-4</v>
      </c>
      <c r="AA137">
        <f t="shared" ca="1" si="65"/>
        <v>5.744296606068941E-2</v>
      </c>
      <c r="AB137">
        <f t="shared" ca="1" si="66"/>
        <v>1.4587081499310778E-2</v>
      </c>
      <c r="AC137">
        <f t="shared" ca="1" si="67"/>
        <v>1.8796275510526525E-2</v>
      </c>
      <c r="AD137">
        <f t="shared" ca="1" si="47"/>
        <v>9.082632307052671E-2</v>
      </c>
      <c r="AE137">
        <f t="shared" ca="1" si="48"/>
        <v>0.16612861105380361</v>
      </c>
      <c r="AG137">
        <f t="shared" ca="1" si="49"/>
        <v>3.5953321666902884E-2</v>
      </c>
      <c r="AI137">
        <f t="shared" ca="1" si="50"/>
        <v>8.1031782123192689E-2</v>
      </c>
      <c r="AK137">
        <f t="shared" ca="1" si="51"/>
        <v>44.301934359265942</v>
      </c>
      <c r="AL137" s="6">
        <f t="shared" si="52"/>
        <v>3.0000000000000001E-5</v>
      </c>
      <c r="AM137" s="6">
        <f t="shared" ca="1" si="53"/>
        <v>128779.94078883997</v>
      </c>
      <c r="AN137" s="6">
        <f t="shared" ca="1" si="54"/>
        <v>4.2957334457796236E-3</v>
      </c>
    </row>
    <row r="138" spans="1:40" x14ac:dyDescent="0.25">
      <c r="A138">
        <f t="shared" si="55"/>
        <v>99</v>
      </c>
      <c r="B138">
        <f t="shared" si="35"/>
        <v>4.1113022861563016</v>
      </c>
      <c r="C138">
        <f t="shared" ca="1" si="56"/>
        <v>0.30150371224031652</v>
      </c>
      <c r="D138">
        <f t="shared" si="36"/>
        <v>2500</v>
      </c>
      <c r="E138">
        <f t="shared" ca="1" si="40"/>
        <v>1580.1388752666896</v>
      </c>
      <c r="F138">
        <f t="shared" si="37"/>
        <v>550</v>
      </c>
      <c r="G138">
        <f t="shared" si="38"/>
        <v>5.2192977958184277E-7</v>
      </c>
      <c r="H138">
        <f t="shared" ca="1" si="41"/>
        <v>8.2472153487664422E-4</v>
      </c>
      <c r="I138">
        <f t="shared" ca="1" si="39"/>
        <v>6.8742281619166595E-2</v>
      </c>
      <c r="J138">
        <f t="shared" ca="1" si="57"/>
        <v>5.0447922716093274E-2</v>
      </c>
      <c r="K138">
        <f t="shared" ca="1" si="58"/>
        <v>7.5920381547146497E-3</v>
      </c>
      <c r="L138">
        <f t="shared" ca="1" si="59"/>
        <v>2.5791318855122654E-2</v>
      </c>
      <c r="M138">
        <f t="shared" ca="1" si="42"/>
        <v>8.3831279725930574E-2</v>
      </c>
      <c r="Q138">
        <f t="shared" si="60"/>
        <v>99</v>
      </c>
      <c r="R138" s="26">
        <f t="shared" si="68"/>
        <v>3.6019213030753514</v>
      </c>
      <c r="S138">
        <f t="shared" ca="1" si="61"/>
        <v>0.20666087066675976</v>
      </c>
      <c r="T138" s="23">
        <f t="shared" ca="1" si="62"/>
        <v>2499.9999992106264</v>
      </c>
      <c r="U138">
        <f t="shared" ca="1" si="43"/>
        <v>1652.8430854343135</v>
      </c>
      <c r="V138">
        <f t="shared" si="44"/>
        <v>550</v>
      </c>
      <c r="W138">
        <f t="shared" si="63"/>
        <v>5.2192977958184277E-7</v>
      </c>
      <c r="X138">
        <f t="shared" ca="1" si="45"/>
        <v>8.626680272641042E-4</v>
      </c>
      <c r="Y138">
        <f t="shared" ca="1" si="64"/>
        <v>5.5191211873895897E-2</v>
      </c>
      <c r="Z138" s="6">
        <f t="shared" ca="1" si="46"/>
        <v>-2.0251895424736654E-4</v>
      </c>
      <c r="AA138">
        <f t="shared" ca="1" si="65"/>
        <v>5.7297815014337831E-2</v>
      </c>
      <c r="AB138">
        <f t="shared" ca="1" si="66"/>
        <v>1.4441930452959207E-2</v>
      </c>
      <c r="AC138">
        <f t="shared" ca="1" si="67"/>
        <v>1.8941426556878097E-2</v>
      </c>
      <c r="AD138">
        <f t="shared" ca="1" si="47"/>
        <v>9.0681172024175138E-2</v>
      </c>
      <c r="AE138">
        <f t="shared" ca="1" si="48"/>
        <v>0.16586311817834948</v>
      </c>
      <c r="AG138">
        <f t="shared" ca="1" si="49"/>
        <v>3.5895864070099273E-2</v>
      </c>
      <c r="AI138">
        <f t="shared" ca="1" si="50"/>
        <v>8.1161487636480262E-2</v>
      </c>
      <c r="AK138">
        <f t="shared" ca="1" si="51"/>
        <v>44.372847339019373</v>
      </c>
      <c r="AL138" s="6">
        <f t="shared" si="52"/>
        <v>3.0000000000000001E-5</v>
      </c>
      <c r="AM138" s="6">
        <f t="shared" ca="1" si="53"/>
        <v>128779.94078883999</v>
      </c>
      <c r="AN138" s="6">
        <f t="shared" ca="1" si="54"/>
        <v>4.2957334457796236E-3</v>
      </c>
    </row>
    <row r="139" spans="1:40" x14ac:dyDescent="0.25">
      <c r="A139">
        <f t="shared" si="55"/>
        <v>100</v>
      </c>
      <c r="B139">
        <f t="shared" si="35"/>
        <v>4.1528305920770725</v>
      </c>
      <c r="C139">
        <f t="shared" ca="1" si="56"/>
        <v>0.30435846274108908</v>
      </c>
      <c r="D139">
        <f t="shared" si="36"/>
        <v>2500</v>
      </c>
      <c r="E139">
        <f t="shared" ca="1" si="40"/>
        <v>1577.7565289508591</v>
      </c>
      <c r="F139">
        <f t="shared" si="37"/>
        <v>550</v>
      </c>
      <c r="G139">
        <f t="shared" si="38"/>
        <v>5.2192977958184277E-7</v>
      </c>
      <c r="H139">
        <f t="shared" ca="1" si="41"/>
        <v>8.2347811738913519E-4</v>
      </c>
      <c r="I139">
        <f t="shared" ca="1" si="39"/>
        <v>6.8638640145672961E-2</v>
      </c>
      <c r="J139">
        <f t="shared" ca="1" si="57"/>
        <v>5.0241742332374106E-2</v>
      </c>
      <c r="K139">
        <f t="shared" ca="1" si="58"/>
        <v>7.3858577709954853E-3</v>
      </c>
      <c r="L139">
        <f t="shared" ca="1" si="59"/>
        <v>2.5997499238841818E-2</v>
      </c>
      <c r="M139">
        <f t="shared" ca="1" si="42"/>
        <v>8.3625099342211406E-2</v>
      </c>
      <c r="Q139">
        <f t="shared" si="60"/>
        <v>100</v>
      </c>
      <c r="R139" s="26">
        <f t="shared" si="68"/>
        <v>3.6383043465407585</v>
      </c>
      <c r="S139">
        <f t="shared" ca="1" si="61"/>
        <v>0.20866889492727619</v>
      </c>
      <c r="T139" s="23">
        <f t="shared" ca="1" si="62"/>
        <v>2499.9999992032581</v>
      </c>
      <c r="U139">
        <f t="shared" ca="1" si="43"/>
        <v>1651.4230704784729</v>
      </c>
      <c r="V139">
        <f t="shared" si="44"/>
        <v>550</v>
      </c>
      <c r="W139">
        <f t="shared" si="63"/>
        <v>5.2192977958184277E-7</v>
      </c>
      <c r="X139">
        <f t="shared" ca="1" si="45"/>
        <v>8.6192687917119933E-4</v>
      </c>
      <c r="Y139">
        <f t="shared" ca="1" si="64"/>
        <v>5.5143795185050741E-2</v>
      </c>
      <c r="Z139" s="6">
        <f t="shared" ca="1" si="46"/>
        <v>-2.0219506487940281E-4</v>
      </c>
      <c r="AA139">
        <f t="shared" ca="1" si="65"/>
        <v>5.7152788255453439E-2</v>
      </c>
      <c r="AB139">
        <f t="shared" ca="1" si="66"/>
        <v>1.4296903694074804E-2</v>
      </c>
      <c r="AC139">
        <f t="shared" ca="1" si="67"/>
        <v>1.9086453315762499E-2</v>
      </c>
      <c r="AD139">
        <f t="shared" ca="1" si="47"/>
        <v>9.0536145265290746E-2</v>
      </c>
      <c r="AE139">
        <f t="shared" ca="1" si="48"/>
        <v>0.16559785263461349</v>
      </c>
      <c r="AG139">
        <f t="shared" ca="1" si="49"/>
        <v>3.5838455672108173E-2</v>
      </c>
      <c r="AI139">
        <f t="shared" ca="1" si="50"/>
        <v>8.1291497451495734E-2</v>
      </c>
      <c r="AK139">
        <f t="shared" ca="1" si="51"/>
        <v>44.443926687508693</v>
      </c>
      <c r="AL139" s="6">
        <f t="shared" si="52"/>
        <v>3.0000000000000001E-5</v>
      </c>
      <c r="AM139" s="6">
        <f t="shared" ca="1" si="53"/>
        <v>128779.94078883999</v>
      </c>
      <c r="AN139" s="6">
        <f t="shared" ca="1" si="54"/>
        <v>4.2957334457796236E-3</v>
      </c>
    </row>
    <row r="140" spans="1:40" x14ac:dyDescent="0.25">
      <c r="A140">
        <f t="shared" si="55"/>
        <v>101</v>
      </c>
      <c r="B140">
        <f t="shared" si="35"/>
        <v>4.1943588979978434</v>
      </c>
      <c r="C140">
        <f t="shared" ca="1" si="56"/>
        <v>0.3072089091870443</v>
      </c>
      <c r="D140">
        <f t="shared" si="36"/>
        <v>2500</v>
      </c>
      <c r="E140">
        <f t="shared" ca="1" si="40"/>
        <v>1575.3654303592841</v>
      </c>
      <c r="F140">
        <f t="shared" si="37"/>
        <v>550</v>
      </c>
      <c r="G140">
        <f t="shared" si="38"/>
        <v>5.2192977958184277E-7</v>
      </c>
      <c r="H140">
        <f t="shared" ca="1" si="41"/>
        <v>8.2223013182827602E-4</v>
      </c>
      <c r="I140">
        <f t="shared" ca="1" si="39"/>
        <v>6.8534617913618534E-2</v>
      </c>
      <c r="J140">
        <f t="shared" ca="1" si="57"/>
        <v>5.0035872803026835E-2</v>
      </c>
      <c r="K140">
        <f t="shared" ca="1" si="58"/>
        <v>7.1799882416481997E-3</v>
      </c>
      <c r="L140">
        <f t="shared" ca="1" si="59"/>
        <v>2.6203368768189104E-2</v>
      </c>
      <c r="M140">
        <f t="shared" ca="1" si="42"/>
        <v>8.3419229812864135E-2</v>
      </c>
      <c r="Q140">
        <f t="shared" si="60"/>
        <v>101</v>
      </c>
      <c r="R140" s="26">
        <f t="shared" si="68"/>
        <v>3.6746873900061665</v>
      </c>
      <c r="S140">
        <f t="shared" ca="1" si="61"/>
        <v>0.21067519402434146</v>
      </c>
      <c r="T140" s="23">
        <f t="shared" ca="1" si="62"/>
        <v>2499.9999991959016</v>
      </c>
      <c r="U140">
        <f t="shared" ca="1" si="43"/>
        <v>1649.9995131707021</v>
      </c>
      <c r="V140">
        <f t="shared" si="44"/>
        <v>550</v>
      </c>
      <c r="W140">
        <f t="shared" si="63"/>
        <v>5.2192977958184277E-7</v>
      </c>
      <c r="X140">
        <f t="shared" ca="1" si="45"/>
        <v>8.6118388221933248E-4</v>
      </c>
      <c r="Y140">
        <f t="shared" ca="1" si="64"/>
        <v>5.5096260211113898E-2</v>
      </c>
      <c r="Z140" s="6">
        <f t="shared" ca="1" si="46"/>
        <v>-2.0187145377605284E-4</v>
      </c>
      <c r="AA140">
        <f t="shared" ca="1" si="65"/>
        <v>5.7007886094099444E-2</v>
      </c>
      <c r="AB140">
        <f t="shared" ca="1" si="66"/>
        <v>1.4152001532720815E-2</v>
      </c>
      <c r="AC140">
        <f t="shared" ca="1" si="67"/>
        <v>1.9231355477116491E-2</v>
      </c>
      <c r="AD140">
        <f t="shared" ca="1" si="47"/>
        <v>9.0391243103936744E-2</v>
      </c>
      <c r="AE140">
        <f t="shared" ca="1" si="48"/>
        <v>0.16533281498972616</v>
      </c>
      <c r="AG140">
        <f t="shared" ca="1" si="49"/>
        <v>3.5781096595667167E-2</v>
      </c>
      <c r="AI140">
        <f t="shared" ca="1" si="50"/>
        <v>8.1421812217350661E-2</v>
      </c>
      <c r="AK140">
        <f t="shared" ca="1" si="51"/>
        <v>44.515172759618061</v>
      </c>
      <c r="AL140" s="6">
        <f t="shared" si="52"/>
        <v>3.0000000000000001E-5</v>
      </c>
      <c r="AM140" s="6">
        <f t="shared" ca="1" si="53"/>
        <v>128779.94078883996</v>
      </c>
      <c r="AN140" s="6">
        <f t="shared" ca="1" si="54"/>
        <v>4.2957334457796236E-3</v>
      </c>
    </row>
    <row r="141" spans="1:40" x14ac:dyDescent="0.25">
      <c r="A141">
        <f t="shared" si="55"/>
        <v>102</v>
      </c>
      <c r="B141">
        <f t="shared" si="35"/>
        <v>4.2358872039186135</v>
      </c>
      <c r="C141">
        <f t="shared" ca="1" si="56"/>
        <v>0.31005503576592414</v>
      </c>
      <c r="D141">
        <f t="shared" si="36"/>
        <v>2500</v>
      </c>
      <c r="E141">
        <f t="shared" ca="1" si="40"/>
        <v>1572.9655527622622</v>
      </c>
      <c r="F141">
        <f t="shared" si="37"/>
        <v>550</v>
      </c>
      <c r="G141">
        <f t="shared" si="38"/>
        <v>5.2192977958184277E-7</v>
      </c>
      <c r="H141">
        <f t="shared" ca="1" si="41"/>
        <v>8.2097756424303898E-4</v>
      </c>
      <c r="I141">
        <f t="shared" ca="1" si="39"/>
        <v>6.843021376015565E-2</v>
      </c>
      <c r="J141">
        <f t="shared" ca="1" si="57"/>
        <v>4.9830315270069758E-2</v>
      </c>
      <c r="K141">
        <f t="shared" ca="1" si="58"/>
        <v>6.9744307086911338E-3</v>
      </c>
      <c r="L141">
        <f t="shared" ca="1" si="59"/>
        <v>2.640892630114617E-2</v>
      </c>
      <c r="M141">
        <f t="shared" ca="1" si="42"/>
        <v>8.3213672279907058E-2</v>
      </c>
      <c r="Q141">
        <f t="shared" si="60"/>
        <v>102</v>
      </c>
      <c r="R141" s="26">
        <f t="shared" si="68"/>
        <v>3.7110704334715741</v>
      </c>
      <c r="S141">
        <f t="shared" ca="1" si="61"/>
        <v>0.21267976365438382</v>
      </c>
      <c r="T141" s="23">
        <f t="shared" ca="1" si="62"/>
        <v>2499.999999188557</v>
      </c>
      <c r="U141">
        <f t="shared" ca="1" si="43"/>
        <v>1648.5724048931106</v>
      </c>
      <c r="V141">
        <f t="shared" si="44"/>
        <v>550</v>
      </c>
      <c r="W141">
        <f t="shared" si="63"/>
        <v>5.2192977958184277E-7</v>
      </c>
      <c r="X141">
        <f t="shared" ca="1" si="45"/>
        <v>8.6043903191056962E-4</v>
      </c>
      <c r="Y141">
        <f t="shared" ca="1" si="64"/>
        <v>5.5048606664319488E-2</v>
      </c>
      <c r="Z141" s="6">
        <f t="shared" ca="1" si="46"/>
        <v>-2.0154812163147203E-4</v>
      </c>
      <c r="AA141">
        <f t="shared" ca="1" si="65"/>
        <v>5.6863108841095349E-2</v>
      </c>
      <c r="AB141">
        <f t="shared" ca="1" si="66"/>
        <v>1.4007224279716721E-2</v>
      </c>
      <c r="AC141">
        <f t="shared" ca="1" si="67"/>
        <v>1.9376132730120583E-2</v>
      </c>
      <c r="AD141">
        <f t="shared" ca="1" si="47"/>
        <v>9.0246465850932642E-2</v>
      </c>
      <c r="AE141">
        <f t="shared" ca="1" si="48"/>
        <v>0.16506800581220119</v>
      </c>
      <c r="AG141">
        <f t="shared" ca="1" si="49"/>
        <v>3.572378696381321E-2</v>
      </c>
      <c r="AI141">
        <f t="shared" ca="1" si="50"/>
        <v>8.1552432582328874E-2</v>
      </c>
      <c r="AK141">
        <f t="shared" ca="1" si="51"/>
        <v>44.586585909779131</v>
      </c>
      <c r="AL141" s="6">
        <f t="shared" si="52"/>
        <v>3.0000000000000001E-5</v>
      </c>
      <c r="AM141" s="6">
        <f t="shared" ca="1" si="53"/>
        <v>128779.94078883997</v>
      </c>
      <c r="AN141" s="6">
        <f t="shared" ca="1" si="54"/>
        <v>4.2957334457796236E-3</v>
      </c>
    </row>
    <row r="142" spans="1:40" x14ac:dyDescent="0.25">
      <c r="A142">
        <f t="shared" si="55"/>
        <v>103</v>
      </c>
      <c r="B142">
        <f t="shared" si="35"/>
        <v>4.2774155098393845</v>
      </c>
      <c r="C142">
        <f t="shared" ca="1" si="56"/>
        <v>0.31289682661717966</v>
      </c>
      <c r="D142">
        <f t="shared" si="36"/>
        <v>2500</v>
      </c>
      <c r="E142">
        <f t="shared" ca="1" si="40"/>
        <v>1570.5568695392658</v>
      </c>
      <c r="F142">
        <f t="shared" si="37"/>
        <v>550</v>
      </c>
      <c r="G142">
        <f t="shared" si="38"/>
        <v>5.2192977958184277E-7</v>
      </c>
      <c r="H142">
        <f t="shared" ca="1" si="41"/>
        <v>8.1972040073937801E-4</v>
      </c>
      <c r="I142">
        <f t="shared" ca="1" si="39"/>
        <v>6.8325426527186248E-2</v>
      </c>
      <c r="J142">
        <f t="shared" ca="1" si="57"/>
        <v>4.9625070879008998E-2</v>
      </c>
      <c r="K142">
        <f t="shared" ca="1" si="58"/>
        <v>6.7691863176303733E-3</v>
      </c>
      <c r="L142">
        <f t="shared" ca="1" si="59"/>
        <v>2.661417069220693E-2</v>
      </c>
      <c r="M142">
        <f t="shared" ca="1" si="42"/>
        <v>8.3008427888846298E-2</v>
      </c>
      <c r="Q142">
        <f t="shared" si="60"/>
        <v>103</v>
      </c>
      <c r="R142" s="26">
        <f t="shared" si="68"/>
        <v>3.7474534769369821</v>
      </c>
      <c r="S142">
        <f t="shared" ca="1" si="61"/>
        <v>0.21468259950336191</v>
      </c>
      <c r="T142" s="23">
        <f t="shared" ca="1" si="62"/>
        <v>2499.9999991812242</v>
      </c>
      <c r="U142">
        <f t="shared" ca="1" si="43"/>
        <v>1647.1417370288002</v>
      </c>
      <c r="V142">
        <f t="shared" si="44"/>
        <v>550</v>
      </c>
      <c r="W142">
        <f t="shared" si="63"/>
        <v>5.2192977958184277E-7</v>
      </c>
      <c r="X142">
        <f t="shared" ca="1" si="45"/>
        <v>8.5969232374749529E-4</v>
      </c>
      <c r="Y142">
        <f t="shared" ca="1" si="64"/>
        <v>5.5000834256934812E-2</v>
      </c>
      <c r="Z142" s="6">
        <f t="shared" ca="1" si="46"/>
        <v>-2.0122506914150475E-4</v>
      </c>
      <c r="AA142">
        <f t="shared" ca="1" si="65"/>
        <v>5.6718456808016786E-2</v>
      </c>
      <c r="AB142">
        <f t="shared" ca="1" si="66"/>
        <v>1.3862572246638156E-2</v>
      </c>
      <c r="AC142">
        <f t="shared" ca="1" si="67"/>
        <v>1.9520784763199149E-2</v>
      </c>
      <c r="AD142">
        <f t="shared" ca="1" si="47"/>
        <v>9.0101813817854093E-2</v>
      </c>
      <c r="AE142">
        <f t="shared" ca="1" si="48"/>
        <v>0.16480342567193537</v>
      </c>
      <c r="AG142">
        <f t="shared" ca="1" si="49"/>
        <v>3.5666526899882561E-2</v>
      </c>
      <c r="AI142">
        <f t="shared" ca="1" si="50"/>
        <v>8.1683359193855068E-2</v>
      </c>
      <c r="AK142">
        <f t="shared" ca="1" si="51"/>
        <v>44.658166491953843</v>
      </c>
      <c r="AL142" s="6">
        <f t="shared" si="52"/>
        <v>3.0000000000000001E-5</v>
      </c>
      <c r="AM142" s="6">
        <f t="shared" ca="1" si="53"/>
        <v>128779.94078883997</v>
      </c>
      <c r="AN142" s="6">
        <f t="shared" ca="1" si="54"/>
        <v>4.2957334457796236E-3</v>
      </c>
    </row>
    <row r="143" spans="1:40" x14ac:dyDescent="0.25">
      <c r="A143">
        <f t="shared" si="55"/>
        <v>104</v>
      </c>
      <c r="B143">
        <f t="shared" si="35"/>
        <v>4.3189438157601554</v>
      </c>
      <c r="C143">
        <f t="shared" ca="1" si="56"/>
        <v>0.31573426583216779</v>
      </c>
      <c r="D143">
        <f t="shared" si="36"/>
        <v>2500</v>
      </c>
      <c r="E143">
        <f t="shared" ca="1" si="40"/>
        <v>1568.1393541830621</v>
      </c>
      <c r="F143">
        <f t="shared" si="37"/>
        <v>550</v>
      </c>
      <c r="G143">
        <f t="shared" si="38"/>
        <v>5.2192977958184277E-7</v>
      </c>
      <c r="H143">
        <f t="shared" ca="1" si="41"/>
        <v>8.1845862748237887E-4</v>
      </c>
      <c r="I143">
        <f t="shared" ca="1" si="39"/>
        <v>6.8220255061541002E-2</v>
      </c>
      <c r="J143">
        <f t="shared" ca="1" si="57"/>
        <v>4.9420140778824159E-2</v>
      </c>
      <c r="K143">
        <f t="shared" ca="1" si="58"/>
        <v>6.5642562174455278E-3</v>
      </c>
      <c r="L143">
        <f t="shared" ca="1" si="59"/>
        <v>2.6819100792391776E-2</v>
      </c>
      <c r="M143">
        <f t="shared" ca="1" si="42"/>
        <v>8.2803497788661459E-2</v>
      </c>
      <c r="Q143">
        <f t="shared" si="60"/>
        <v>104</v>
      </c>
      <c r="R143" s="26">
        <f t="shared" si="68"/>
        <v>3.7838365204023892</v>
      </c>
      <c r="S143">
        <f t="shared" ca="1" si="61"/>
        <v>0.21668369724676562</v>
      </c>
      <c r="T143" s="23">
        <f t="shared" ca="1" si="62"/>
        <v>2499.9999991739032</v>
      </c>
      <c r="U143">
        <f t="shared" ca="1" si="43"/>
        <v>1645.7075009621879</v>
      </c>
      <c r="V143">
        <f t="shared" si="44"/>
        <v>550</v>
      </c>
      <c r="W143">
        <f t="shared" si="63"/>
        <v>5.2192977958184277E-7</v>
      </c>
      <c r="X143">
        <f t="shared" ca="1" si="45"/>
        <v>8.5894375323338E-4</v>
      </c>
      <c r="Y143">
        <f t="shared" ca="1" si="64"/>
        <v>5.4952942701271018E-2</v>
      </c>
      <c r="Z143" s="6">
        <f t="shared" ca="1" si="46"/>
        <v>-2.0090229700368375E-4</v>
      </c>
      <c r="AA143">
        <f t="shared" ca="1" si="65"/>
        <v>5.6573930307195479E-2</v>
      </c>
      <c r="AB143">
        <f t="shared" ca="1" si="66"/>
        <v>1.3718045745816851E-2</v>
      </c>
      <c r="AC143">
        <f t="shared" ca="1" si="67"/>
        <v>1.9665311264020453E-2</v>
      </c>
      <c r="AD143">
        <f t="shared" ca="1" si="47"/>
        <v>8.9957287317032772E-2</v>
      </c>
      <c r="AE143">
        <f t="shared" ca="1" si="48"/>
        <v>0.16453907514020841</v>
      </c>
      <c r="AG143">
        <f t="shared" ca="1" si="49"/>
        <v>3.5609316527510766E-2</v>
      </c>
      <c r="AI143">
        <f t="shared" ca="1" si="50"/>
        <v>8.1814592698462807E-2</v>
      </c>
      <c r="AK143">
        <f t="shared" ca="1" si="51"/>
        <v>44.729914859616905</v>
      </c>
      <c r="AL143" s="6">
        <f t="shared" si="52"/>
        <v>3.0000000000000001E-5</v>
      </c>
      <c r="AM143" s="6">
        <f t="shared" ca="1" si="53"/>
        <v>128779.94078883997</v>
      </c>
      <c r="AN143" s="6">
        <f t="shared" ca="1" si="54"/>
        <v>4.2957334457796236E-3</v>
      </c>
    </row>
    <row r="144" spans="1:40" x14ac:dyDescent="0.25">
      <c r="A144">
        <f t="shared" si="55"/>
        <v>105</v>
      </c>
      <c r="B144">
        <f t="shared" si="35"/>
        <v>4.3604721216809255</v>
      </c>
      <c r="C144">
        <f t="shared" ca="1" si="56"/>
        <v>0.31856733745435645</v>
      </c>
      <c r="D144">
        <f t="shared" si="36"/>
        <v>2500</v>
      </c>
      <c r="E144">
        <f t="shared" ca="1" si="40"/>
        <v>1565.7129803038972</v>
      </c>
      <c r="F144">
        <f t="shared" si="37"/>
        <v>550</v>
      </c>
      <c r="G144">
        <f t="shared" si="38"/>
        <v>5.2192977958184277E-7</v>
      </c>
      <c r="H144">
        <f t="shared" ca="1" si="41"/>
        <v>8.1719223069844321E-4</v>
      </c>
      <c r="I144">
        <f t="shared" ca="1" si="39"/>
        <v>6.8114698215161432E-2</v>
      </c>
      <c r="J144">
        <f t="shared" ca="1" si="57"/>
        <v>4.9215526121953561E-2</v>
      </c>
      <c r="K144">
        <f t="shared" ca="1" si="58"/>
        <v>6.3596415605749364E-3</v>
      </c>
      <c r="L144">
        <f t="shared" ca="1" si="59"/>
        <v>2.7023715449262367E-2</v>
      </c>
      <c r="M144">
        <f t="shared" ca="1" si="42"/>
        <v>8.2598883131790868E-2</v>
      </c>
      <c r="Q144">
        <f t="shared" si="60"/>
        <v>105</v>
      </c>
      <c r="R144" s="26">
        <f t="shared" si="68"/>
        <v>3.8202195638677967</v>
      </c>
      <c r="S144">
        <f t="shared" ca="1" si="61"/>
        <v>0.21868305254961801</v>
      </c>
      <c r="T144" s="23">
        <f t="shared" ca="1" si="62"/>
        <v>2499.9999991665936</v>
      </c>
      <c r="U144">
        <f t="shared" ca="1" si="43"/>
        <v>1644.2696880793378</v>
      </c>
      <c r="V144">
        <f t="shared" si="44"/>
        <v>550</v>
      </c>
      <c r="W144">
        <f t="shared" si="63"/>
        <v>5.2192977958184277E-7</v>
      </c>
      <c r="X144">
        <f t="shared" ca="1" si="45"/>
        <v>8.5819331587235414E-4</v>
      </c>
      <c r="Y144">
        <f t="shared" ca="1" si="64"/>
        <v>5.4904931709694321E-2</v>
      </c>
      <c r="Z144" s="6">
        <f t="shared" ca="1" si="46"/>
        <v>-2.0057980591723024E-4</v>
      </c>
      <c r="AA144">
        <f t="shared" ca="1" si="65"/>
        <v>5.6429529651719115E-2</v>
      </c>
      <c r="AB144">
        <f t="shared" ca="1" si="66"/>
        <v>1.357364509034048E-2</v>
      </c>
      <c r="AC144">
        <f t="shared" ca="1" si="67"/>
        <v>1.9809711919496823E-2</v>
      </c>
      <c r="AD144">
        <f t="shared" ca="1" si="47"/>
        <v>8.9812886661556415E-2</v>
      </c>
      <c r="AE144">
        <f t="shared" ca="1" si="48"/>
        <v>0.16427495478968274</v>
      </c>
      <c r="AG144">
        <f t="shared" ca="1" si="49"/>
        <v>3.5552155970632646E-2</v>
      </c>
      <c r="AI144">
        <f t="shared" ca="1" si="50"/>
        <v>8.194613374176217E-2</v>
      </c>
      <c r="AK144">
        <f t="shared" ca="1" si="51"/>
        <v>44.801831365738181</v>
      </c>
      <c r="AL144" s="6">
        <f t="shared" si="52"/>
        <v>3.0000000000000001E-5</v>
      </c>
      <c r="AM144" s="6">
        <f t="shared" ca="1" si="53"/>
        <v>128779.94078883997</v>
      </c>
      <c r="AN144" s="6">
        <f t="shared" ca="1" si="54"/>
        <v>4.2957334457796236E-3</v>
      </c>
    </row>
    <row r="145" spans="1:40" x14ac:dyDescent="0.25">
      <c r="A145">
        <f t="shared" si="55"/>
        <v>106</v>
      </c>
      <c r="B145">
        <f t="shared" si="35"/>
        <v>4.4020004276016973</v>
      </c>
      <c r="C145">
        <f t="shared" ca="1" si="56"/>
        <v>0.32139602547953672</v>
      </c>
      <c r="D145">
        <f t="shared" si="36"/>
        <v>2500</v>
      </c>
      <c r="E145">
        <f t="shared" ca="1" si="40"/>
        <v>1563.2777216337436</v>
      </c>
      <c r="F145">
        <f t="shared" si="37"/>
        <v>550</v>
      </c>
      <c r="G145">
        <f t="shared" si="38"/>
        <v>5.2192977958184277E-7</v>
      </c>
      <c r="H145">
        <f t="shared" ca="1" si="41"/>
        <v>8.1592119667750517E-4</v>
      </c>
      <c r="I145">
        <f t="shared" ca="1" si="39"/>
        <v>6.8008754845284541E-2</v>
      </c>
      <c r="J145">
        <f t="shared" ca="1" si="57"/>
        <v>4.9011228064278947E-2</v>
      </c>
      <c r="K145">
        <f t="shared" ca="1" si="58"/>
        <v>6.1553435029003192E-3</v>
      </c>
      <c r="L145">
        <f t="shared" ca="1" si="59"/>
        <v>2.7228013506936984E-2</v>
      </c>
      <c r="M145">
        <f t="shared" ca="1" si="42"/>
        <v>8.2394585074116247E-2</v>
      </c>
      <c r="Q145">
        <f t="shared" si="60"/>
        <v>106</v>
      </c>
      <c r="R145" s="26">
        <f t="shared" si="68"/>
        <v>3.8566026073332047</v>
      </c>
      <c r="S145">
        <f t="shared" ca="1" si="61"/>
        <v>0.22068066106647707</v>
      </c>
      <c r="T145" s="23">
        <f t="shared" ca="1" si="62"/>
        <v>2499.9999991592958</v>
      </c>
      <c r="U145">
        <f t="shared" ca="1" si="43"/>
        <v>1642.8282897682914</v>
      </c>
      <c r="V145">
        <f t="shared" si="44"/>
        <v>550</v>
      </c>
      <c r="W145">
        <f t="shared" si="63"/>
        <v>5.2192977958184277E-7</v>
      </c>
      <c r="X145">
        <f t="shared" ca="1" si="45"/>
        <v>8.5744100716958005E-4</v>
      </c>
      <c r="Y145">
        <f t="shared" ca="1" si="64"/>
        <v>5.4856800994636926E-2</v>
      </c>
      <c r="Z145" s="6">
        <f t="shared" ca="1" si="46"/>
        <v>-2.0025759658305319E-4</v>
      </c>
      <c r="AA145">
        <f t="shared" ca="1" si="65"/>
        <v>5.6285255155431181E-2</v>
      </c>
      <c r="AB145">
        <f t="shared" ca="1" si="66"/>
        <v>1.3429370594052553E-2</v>
      </c>
      <c r="AC145">
        <f t="shared" ca="1" si="67"/>
        <v>1.995398641578475E-2</v>
      </c>
      <c r="AD145">
        <f t="shared" ca="1" si="47"/>
        <v>8.9668612165268474E-2</v>
      </c>
      <c r="AE145">
        <f t="shared" ca="1" si="48"/>
        <v>0.16401106519440317</v>
      </c>
      <c r="AG145">
        <f t="shared" ca="1" si="49"/>
        <v>3.5495045353482163E-2</v>
      </c>
      <c r="AI145">
        <f t="shared" ca="1" si="50"/>
        <v>8.2077982968407348E-2</v>
      </c>
      <c r="AK145">
        <f t="shared" ca="1" si="51"/>
        <v>44.873916362764902</v>
      </c>
      <c r="AL145" s="6">
        <f t="shared" si="52"/>
        <v>3.0000000000000001E-5</v>
      </c>
      <c r="AM145" s="6">
        <f t="shared" ca="1" si="53"/>
        <v>128779.94078883996</v>
      </c>
      <c r="AN145" s="6">
        <f t="shared" ca="1" si="54"/>
        <v>4.2957334457796236E-3</v>
      </c>
    </row>
    <row r="146" spans="1:40" x14ac:dyDescent="0.25">
      <c r="A146">
        <f t="shared" si="55"/>
        <v>107</v>
      </c>
      <c r="B146">
        <f t="shared" si="35"/>
        <v>4.4435287335224674</v>
      </c>
      <c r="C146">
        <f t="shared" ca="1" si="56"/>
        <v>0.32422031385604233</v>
      </c>
      <c r="D146">
        <f t="shared" si="36"/>
        <v>2500</v>
      </c>
      <c r="E146">
        <f t="shared" ca="1" si="40"/>
        <v>1560.8335520306086</v>
      </c>
      <c r="F146">
        <f t="shared" si="37"/>
        <v>550</v>
      </c>
      <c r="G146">
        <f t="shared" si="38"/>
        <v>5.2192977958184277E-7</v>
      </c>
      <c r="H146">
        <f t="shared" ca="1" si="41"/>
        <v>8.1464551177528027E-4</v>
      </c>
      <c r="I146">
        <f t="shared" ca="1" si="39"/>
        <v>6.790242381463045E-2</v>
      </c>
      <c r="J146">
        <f t="shared" ca="1" si="57"/>
        <v>4.8807247765109578E-2</v>
      </c>
      <c r="K146">
        <f t="shared" ca="1" si="58"/>
        <v>5.95136320373095E-3</v>
      </c>
      <c r="L146">
        <f t="shared" ca="1" si="59"/>
        <v>2.7431993806106354E-2</v>
      </c>
      <c r="M146">
        <f t="shared" ca="1" si="42"/>
        <v>8.2190604774946885E-2</v>
      </c>
      <c r="Q146">
        <f t="shared" si="60"/>
        <v>107</v>
      </c>
      <c r="R146" s="26">
        <f t="shared" si="68"/>
        <v>3.8929856507986118</v>
      </c>
      <c r="S146">
        <f t="shared" ca="1" si="61"/>
        <v>0.22267651844143813</v>
      </c>
      <c r="T146" s="23">
        <f t="shared" ca="1" si="62"/>
        <v>2499.9999991520099</v>
      </c>
      <c r="U146">
        <f t="shared" ca="1" si="43"/>
        <v>1641.3832974194054</v>
      </c>
      <c r="V146">
        <f t="shared" si="44"/>
        <v>550</v>
      </c>
      <c r="W146">
        <f t="shared" si="63"/>
        <v>5.2192977958184277E-7</v>
      </c>
      <c r="X146">
        <f t="shared" ca="1" si="45"/>
        <v>8.5668682263142853E-4</v>
      </c>
      <c r="Y146">
        <f t="shared" ca="1" si="64"/>
        <v>5.4808550268608335E-2</v>
      </c>
      <c r="Z146" s="6">
        <f t="shared" ca="1" si="46"/>
        <v>-1.9993566970374934E-4</v>
      </c>
      <c r="AA146">
        <f t="shared" ca="1" si="65"/>
        <v>5.6141107132930856E-2</v>
      </c>
      <c r="AB146">
        <f t="shared" ca="1" si="66"/>
        <v>1.3285222571552225E-2</v>
      </c>
      <c r="AC146">
        <f t="shared" ca="1" si="67"/>
        <v>2.0098134438285079E-2</v>
      </c>
      <c r="AD146">
        <f t="shared" ca="1" si="47"/>
        <v>8.9524464142768156E-2</v>
      </c>
      <c r="AE146">
        <f t="shared" ca="1" si="48"/>
        <v>0.16374740692979683</v>
      </c>
      <c r="AG146">
        <f t="shared" ca="1" si="49"/>
        <v>3.5437984800592459E-2</v>
      </c>
      <c r="AI146">
        <f t="shared" ca="1" si="50"/>
        <v>8.2210141022063421E-2</v>
      </c>
      <c r="AK146">
        <f t="shared" ca="1" si="51"/>
        <v>44.946170202603533</v>
      </c>
      <c r="AL146" s="6">
        <f t="shared" si="52"/>
        <v>3.0000000000000001E-5</v>
      </c>
      <c r="AM146" s="6">
        <f t="shared" ca="1" si="53"/>
        <v>128779.94078883999</v>
      </c>
      <c r="AN146" s="6">
        <f t="shared" ca="1" si="54"/>
        <v>4.2957334457796236E-3</v>
      </c>
    </row>
    <row r="147" spans="1:40" x14ac:dyDescent="0.25">
      <c r="A147">
        <f t="shared" si="55"/>
        <v>108</v>
      </c>
      <c r="B147">
        <f t="shared" si="35"/>
        <v>4.4850570394432383</v>
      </c>
      <c r="C147">
        <f t="shared" ca="1" si="56"/>
        <v>0.32704018648497812</v>
      </c>
      <c r="D147">
        <f t="shared" si="36"/>
        <v>2500</v>
      </c>
      <c r="E147">
        <f t="shared" ca="1" si="40"/>
        <v>1558.3804454829112</v>
      </c>
      <c r="F147">
        <f t="shared" si="37"/>
        <v>550</v>
      </c>
      <c r="G147">
        <f t="shared" si="38"/>
        <v>5.2192977958184277E-7</v>
      </c>
      <c r="H147">
        <f t="shared" ca="1" si="41"/>
        <v>8.1336516241554979E-4</v>
      </c>
      <c r="I147">
        <f t="shared" ca="1" si="39"/>
        <v>6.7795703991592626E-2</v>
      </c>
      <c r="J147">
        <f t="shared" ca="1" si="57"/>
        <v>4.8603586387165755E-2</v>
      </c>
      <c r="K147">
        <f t="shared" ca="1" si="58"/>
        <v>5.7477018257871305E-3</v>
      </c>
      <c r="L147">
        <f t="shared" ca="1" si="59"/>
        <v>2.7635655184050173E-2</v>
      </c>
      <c r="M147">
        <f t="shared" ca="1" si="42"/>
        <v>8.1986943397003062E-2</v>
      </c>
      <c r="Q147">
        <f t="shared" si="60"/>
        <v>108</v>
      </c>
      <c r="R147" s="26">
        <f t="shared" si="68"/>
        <v>3.9293686942640198</v>
      </c>
      <c r="S147">
        <f t="shared" ca="1" si="61"/>
        <v>0.22467062030813689</v>
      </c>
      <c r="T147" s="23">
        <f t="shared" ca="1" si="62"/>
        <v>2499.9999991447357</v>
      </c>
      <c r="U147">
        <f t="shared" ca="1" si="43"/>
        <v>1639.9347024256926</v>
      </c>
      <c r="V147">
        <f t="shared" si="44"/>
        <v>550</v>
      </c>
      <c r="W147">
        <f t="shared" si="63"/>
        <v>5.2192977958184277E-7</v>
      </c>
      <c r="X147">
        <f t="shared" ca="1" si="45"/>
        <v>8.5593075776565673E-4</v>
      </c>
      <c r="Y147">
        <f t="shared" ca="1" si="64"/>
        <v>5.47601792442068E-2</v>
      </c>
      <c r="Z147" s="6">
        <f t="shared" ca="1" si="46"/>
        <v>-1.9961402598360264E-4</v>
      </c>
      <c r="AA147">
        <f t="shared" ca="1" si="65"/>
        <v>5.5997085899572703E-2</v>
      </c>
      <c r="AB147">
        <f t="shared" ca="1" si="66"/>
        <v>1.3141201338194075E-2</v>
      </c>
      <c r="AC147">
        <f t="shared" ca="1" si="67"/>
        <v>2.0242155671643228E-2</v>
      </c>
      <c r="AD147">
        <f t="shared" ca="1" si="47"/>
        <v>8.9380442909409996E-2</v>
      </c>
      <c r="AE147">
        <f t="shared" ca="1" si="48"/>
        <v>0.16348398057267244</v>
      </c>
      <c r="AG147">
        <f t="shared" ca="1" si="49"/>
        <v>3.5380974436795658E-2</v>
      </c>
      <c r="AI147">
        <f t="shared" ca="1" si="50"/>
        <v>8.2342608545373258E-2</v>
      </c>
      <c r="AK147">
        <f t="shared" ca="1" si="51"/>
        <v>45.018593236601667</v>
      </c>
      <c r="AL147" s="6">
        <f t="shared" si="52"/>
        <v>3.0000000000000001E-5</v>
      </c>
      <c r="AM147" s="6">
        <f t="shared" ca="1" si="53"/>
        <v>128779.94078883996</v>
      </c>
      <c r="AN147" s="6">
        <f t="shared" ca="1" si="54"/>
        <v>4.2957334457796236E-3</v>
      </c>
    </row>
    <row r="148" spans="1:40" x14ac:dyDescent="0.25">
      <c r="A148">
        <f t="shared" si="55"/>
        <v>109</v>
      </c>
      <c r="B148">
        <f t="shared" si="35"/>
        <v>4.5265853453640092</v>
      </c>
      <c r="C148">
        <f t="shared" ca="1" si="56"/>
        <v>0.32985562722045503</v>
      </c>
      <c r="D148">
        <f t="shared" si="36"/>
        <v>2500</v>
      </c>
      <c r="E148">
        <f t="shared" ca="1" si="40"/>
        <v>1555.9183761139182</v>
      </c>
      <c r="F148">
        <f t="shared" si="37"/>
        <v>550</v>
      </c>
      <c r="G148">
        <f t="shared" si="38"/>
        <v>5.2192977958184277E-7</v>
      </c>
      <c r="H148">
        <f t="shared" ca="1" si="41"/>
        <v>8.1208013509247601E-4</v>
      </c>
      <c r="I148">
        <f t="shared" ca="1" si="39"/>
        <v>6.7688594250430986E-2</v>
      </c>
      <c r="J148">
        <f t="shared" ca="1" si="57"/>
        <v>4.8400245096561871E-2</v>
      </c>
      <c r="K148">
        <f t="shared" ca="1" si="58"/>
        <v>5.5443605351832397E-3</v>
      </c>
      <c r="L148">
        <f t="shared" ca="1" si="59"/>
        <v>2.7838996474654064E-2</v>
      </c>
      <c r="M148">
        <f t="shared" ca="1" si="42"/>
        <v>8.1783602106399178E-2</v>
      </c>
      <c r="Q148">
        <f t="shared" si="60"/>
        <v>109</v>
      </c>
      <c r="R148" s="26">
        <f t="shared" si="68"/>
        <v>3.9657517377294274</v>
      </c>
      <c r="S148">
        <f t="shared" ca="1" si="61"/>
        <v>0.22666296228975238</v>
      </c>
      <c r="T148" s="23">
        <f t="shared" ca="1" si="62"/>
        <v>2499.999999137473</v>
      </c>
      <c r="U148">
        <f t="shared" ca="1" si="43"/>
        <v>1638.4824961831664</v>
      </c>
      <c r="V148">
        <f t="shared" si="44"/>
        <v>550</v>
      </c>
      <c r="W148">
        <f t="shared" si="63"/>
        <v>5.2192977958184277E-7</v>
      </c>
      <c r="X148">
        <f t="shared" ca="1" si="45"/>
        <v>8.5517280808158761E-4</v>
      </c>
      <c r="Y148">
        <f t="shared" ca="1" si="64"/>
        <v>5.4711687634130694E-2</v>
      </c>
      <c r="Z148" s="6">
        <f t="shared" ca="1" si="46"/>
        <v>-1.9929266612858342E-4</v>
      </c>
      <c r="AA148">
        <f t="shared" ca="1" si="65"/>
        <v>5.5853191771466547E-2</v>
      </c>
      <c r="AB148">
        <f t="shared" ca="1" si="66"/>
        <v>1.2997307210087919E-2</v>
      </c>
      <c r="AC148">
        <f t="shared" ca="1" si="67"/>
        <v>2.0386049799749385E-2</v>
      </c>
      <c r="AD148">
        <f t="shared" ca="1" si="47"/>
        <v>8.923654878130384E-2</v>
      </c>
      <c r="AE148">
        <f t="shared" ca="1" si="48"/>
        <v>0.16322078670122017</v>
      </c>
      <c r="AG148">
        <f t="shared" ca="1" si="49"/>
        <v>3.5324014387222887E-2</v>
      </c>
      <c r="AI148">
        <f t="shared" ca="1" si="50"/>
        <v>8.2475386179923657E-2</v>
      </c>
      <c r="AK148">
        <f t="shared" ca="1" si="51"/>
        <v>45.091185815529528</v>
      </c>
      <c r="AL148" s="6">
        <f t="shared" si="52"/>
        <v>3.0000000000000001E-5</v>
      </c>
      <c r="AM148" s="6">
        <f t="shared" ca="1" si="53"/>
        <v>128779.94078883997</v>
      </c>
      <c r="AN148" s="6">
        <f t="shared" ca="1" si="54"/>
        <v>4.2957334457796236E-3</v>
      </c>
    </row>
    <row r="149" spans="1:40" x14ac:dyDescent="0.25">
      <c r="A149">
        <f t="shared" si="55"/>
        <v>110</v>
      </c>
      <c r="B149">
        <f t="shared" si="35"/>
        <v>4.5681136512847793</v>
      </c>
      <c r="C149">
        <f t="shared" ca="1" si="56"/>
        <v>0.33266661986983381</v>
      </c>
      <c r="D149">
        <f t="shared" si="36"/>
        <v>2500</v>
      </c>
      <c r="E149">
        <f t="shared" ca="1" si="40"/>
        <v>1553.4473181862488</v>
      </c>
      <c r="F149">
        <f t="shared" si="37"/>
        <v>550</v>
      </c>
      <c r="G149">
        <f t="shared" si="38"/>
        <v>5.2192977958184277E-7</v>
      </c>
      <c r="H149">
        <f t="shared" ca="1" si="41"/>
        <v>8.1079041637295362E-4</v>
      </c>
      <c r="I149">
        <f t="shared" ca="1" si="39"/>
        <v>6.7581093471467846E-2</v>
      </c>
      <c r="J149">
        <f t="shared" ca="1" si="57"/>
        <v>4.819722506278875E-2</v>
      </c>
      <c r="K149">
        <f t="shared" ca="1" si="58"/>
        <v>5.3413405014101252E-3</v>
      </c>
      <c r="L149">
        <f t="shared" ca="1" si="59"/>
        <v>2.8042016508427178E-2</v>
      </c>
      <c r="M149">
        <f t="shared" ca="1" si="42"/>
        <v>8.1580582072626057E-2</v>
      </c>
      <c r="Q149">
        <f t="shared" si="60"/>
        <v>110</v>
      </c>
      <c r="R149" s="26">
        <f t="shared" si="68"/>
        <v>4.0021347811948349</v>
      </c>
      <c r="S149">
        <f t="shared" ca="1" si="61"/>
        <v>0.22865353999901075</v>
      </c>
      <c r="T149" s="23">
        <f t="shared" ca="1" si="62"/>
        <v>2499.999999130222</v>
      </c>
      <c r="U149">
        <f t="shared" ca="1" si="43"/>
        <v>1637.0266700911916</v>
      </c>
      <c r="V149">
        <f t="shared" si="44"/>
        <v>550</v>
      </c>
      <c r="W149">
        <f t="shared" si="63"/>
        <v>5.2192977958184277E-7</v>
      </c>
      <c r="X149">
        <f t="shared" ca="1" si="45"/>
        <v>8.5441296909029361E-4</v>
      </c>
      <c r="Y149">
        <f t="shared" ca="1" si="64"/>
        <v>5.466307515119035E-2</v>
      </c>
      <c r="Z149" s="6">
        <f t="shared" ca="1" si="46"/>
        <v>-1.9897159084634821E-4</v>
      </c>
      <c r="AA149">
        <f t="shared" ca="1" si="65"/>
        <v>5.5709425065477138E-2</v>
      </c>
      <c r="AB149">
        <f t="shared" ca="1" si="66"/>
        <v>1.2853540504098506E-2</v>
      </c>
      <c r="AC149">
        <f t="shared" ca="1" si="67"/>
        <v>2.0529816505738797E-2</v>
      </c>
      <c r="AD149">
        <f t="shared" ca="1" si="47"/>
        <v>8.9092782075314431E-2</v>
      </c>
      <c r="AE149">
        <f t="shared" ca="1" si="48"/>
        <v>0.16295782589501098</v>
      </c>
      <c r="AG149">
        <f t="shared" ca="1" si="49"/>
        <v>3.5267104777304069E-2</v>
      </c>
      <c r="AI149">
        <f t="shared" ca="1" si="50"/>
        <v>8.2608474566211426E-2</v>
      </c>
      <c r="AK149">
        <f t="shared" ca="1" si="51"/>
        <v>45.163948289561425</v>
      </c>
      <c r="AL149" s="6">
        <f t="shared" si="52"/>
        <v>3.0000000000000001E-5</v>
      </c>
      <c r="AM149" s="6">
        <f t="shared" ca="1" si="53"/>
        <v>128779.94078883997</v>
      </c>
      <c r="AN149" s="6">
        <f t="shared" ca="1" si="54"/>
        <v>4.2957334457796236E-3</v>
      </c>
    </row>
    <row r="150" spans="1:40" x14ac:dyDescent="0.25">
      <c r="A150">
        <f t="shared" si="55"/>
        <v>111</v>
      </c>
      <c r="B150">
        <f t="shared" si="35"/>
        <v>4.6096419572055503</v>
      </c>
      <c r="C150">
        <f t="shared" ca="1" si="56"/>
        <v>0.33547314819397717</v>
      </c>
      <c r="D150">
        <f t="shared" si="36"/>
        <v>2500</v>
      </c>
      <c r="E150">
        <f t="shared" ca="1" si="40"/>
        <v>1550.9672461064461</v>
      </c>
      <c r="F150">
        <f t="shared" si="37"/>
        <v>550</v>
      </c>
      <c r="G150">
        <f t="shared" si="38"/>
        <v>5.2192977958184277E-7</v>
      </c>
      <c r="H150">
        <f t="shared" ca="1" si="41"/>
        <v>8.0949599289899504E-4</v>
      </c>
      <c r="I150">
        <f t="shared" ca="1" si="39"/>
        <v>6.7473200541286721E-2</v>
      </c>
      <c r="J150">
        <f t="shared" ca="1" si="57"/>
        <v>4.7994527458695507E-2</v>
      </c>
      <c r="K150">
        <f t="shared" ca="1" si="58"/>
        <v>5.1386428973168828E-3</v>
      </c>
      <c r="L150">
        <f t="shared" ca="1" si="59"/>
        <v>2.8244714112520421E-2</v>
      </c>
      <c r="M150">
        <f t="shared" ca="1" si="42"/>
        <v>8.1377884468532807E-2</v>
      </c>
      <c r="Q150">
        <f t="shared" si="60"/>
        <v>111</v>
      </c>
      <c r="R150" s="26">
        <f t="shared" si="68"/>
        <v>4.0385178246602429</v>
      </c>
      <c r="S150">
        <f t="shared" ca="1" si="61"/>
        <v>0.23064234903818936</v>
      </c>
      <c r="T150" s="23">
        <f t="shared" ca="1" si="62"/>
        <v>2499.9999991229829</v>
      </c>
      <c r="U150">
        <f t="shared" ca="1" si="43"/>
        <v>1635.5672155528368</v>
      </c>
      <c r="V150">
        <f t="shared" si="44"/>
        <v>550</v>
      </c>
      <c r="W150">
        <f t="shared" si="63"/>
        <v>5.2192977958184277E-7</v>
      </c>
      <c r="X150">
        <f t="shared" ca="1" si="45"/>
        <v>8.5365123630478041E-4</v>
      </c>
      <c r="Y150">
        <f t="shared" ca="1" si="64"/>
        <v>5.4614341508319779E-2</v>
      </c>
      <c r="Z150" s="6">
        <f t="shared" ca="1" si="46"/>
        <v>-1.9865080084623872E-4</v>
      </c>
      <c r="AA150">
        <f t="shared" ca="1" si="65"/>
        <v>5.5565786099223857E-2</v>
      </c>
      <c r="AB150">
        <f t="shared" ca="1" si="66"/>
        <v>1.2709901537845233E-2</v>
      </c>
      <c r="AC150">
        <f t="shared" ca="1" si="67"/>
        <v>2.0673455471992071E-2</v>
      </c>
      <c r="AD150">
        <f t="shared" ca="1" si="47"/>
        <v>8.8949143109061157E-2</v>
      </c>
      <c r="AE150">
        <f t="shared" ca="1" si="48"/>
        <v>0.16269509873499616</v>
      </c>
      <c r="AG150">
        <f t="shared" ca="1" si="49"/>
        <v>3.5210245732767868E-2</v>
      </c>
      <c r="AI150">
        <f t="shared" ca="1" si="50"/>
        <v>8.2741874343608968E-2</v>
      </c>
      <c r="AK150">
        <f t="shared" ca="1" si="51"/>
        <v>45.236881008256901</v>
      </c>
      <c r="AL150" s="6">
        <f t="shared" si="52"/>
        <v>3.0000000000000001E-5</v>
      </c>
      <c r="AM150" s="6">
        <f t="shared" ca="1" si="53"/>
        <v>128779.94078883996</v>
      </c>
      <c r="AN150" s="6">
        <f t="shared" ca="1" si="54"/>
        <v>4.2957334457796236E-3</v>
      </c>
    </row>
    <row r="151" spans="1:40" x14ac:dyDescent="0.25">
      <c r="A151">
        <f t="shared" si="55"/>
        <v>112</v>
      </c>
      <c r="B151">
        <f t="shared" si="35"/>
        <v>4.6511702631263212</v>
      </c>
      <c r="C151">
        <f t="shared" ca="1" si="56"/>
        <v>0.33827519590750926</v>
      </c>
      <c r="D151">
        <f t="shared" si="36"/>
        <v>2500</v>
      </c>
      <c r="E151">
        <f t="shared" ca="1" si="40"/>
        <v>1548.4781344296089</v>
      </c>
      <c r="F151">
        <f t="shared" si="37"/>
        <v>550</v>
      </c>
      <c r="G151">
        <f t="shared" si="38"/>
        <v>5.2192977958184277E-7</v>
      </c>
      <c r="H151">
        <f t="shared" ca="1" si="41"/>
        <v>8.0819685139014888E-4</v>
      </c>
      <c r="I151">
        <f t="shared" ca="1" si="39"/>
        <v>6.736491435293393E-2</v>
      </c>
      <c r="J151">
        <f t="shared" ca="1" si="57"/>
        <v>4.7792153460470763E-2</v>
      </c>
      <c r="K151">
        <f t="shared" ca="1" si="58"/>
        <v>4.9362688990921312E-3</v>
      </c>
      <c r="L151">
        <f t="shared" ca="1" si="59"/>
        <v>2.8447088110745172E-2</v>
      </c>
      <c r="M151">
        <f t="shared" ca="1" si="42"/>
        <v>8.1175510470308063E-2</v>
      </c>
      <c r="Q151">
        <f t="shared" si="60"/>
        <v>112</v>
      </c>
      <c r="R151" s="26">
        <f t="shared" si="68"/>
        <v>4.07490086812565</v>
      </c>
      <c r="S151">
        <f t="shared" ca="1" si="61"/>
        <v>0.23262938499912114</v>
      </c>
      <c r="T151" s="23">
        <f t="shared" ca="1" si="62"/>
        <v>2499.9999991157556</v>
      </c>
      <c r="U151">
        <f t="shared" ca="1" si="43"/>
        <v>1634.1041239752331</v>
      </c>
      <c r="V151">
        <f t="shared" si="44"/>
        <v>550</v>
      </c>
      <c r="W151">
        <f t="shared" si="63"/>
        <v>5.2192977958184277E-7</v>
      </c>
      <c r="X151">
        <f t="shared" ca="1" si="45"/>
        <v>8.5288760524017361E-4</v>
      </c>
      <c r="Y151">
        <f t="shared" ca="1" si="64"/>
        <v>5.4565486418588605E-2</v>
      </c>
      <c r="Z151" s="6">
        <f t="shared" ca="1" si="46"/>
        <v>-1.9833029683928162E-4</v>
      </c>
      <c r="AA151">
        <f t="shared" ca="1" si="65"/>
        <v>5.5422275191080464E-2</v>
      </c>
      <c r="AB151">
        <f t="shared" ca="1" si="66"/>
        <v>1.2566390629701833E-2</v>
      </c>
      <c r="AC151">
        <f t="shared" ca="1" si="67"/>
        <v>2.0816966380135471E-2</v>
      </c>
      <c r="AD151">
        <f t="shared" ca="1" si="47"/>
        <v>8.8805632200917764E-2</v>
      </c>
      <c r="AE151">
        <f t="shared" ca="1" si="48"/>
        <v>0.16243260580350671</v>
      </c>
      <c r="AG151">
        <f t="shared" ca="1" si="49"/>
        <v>3.5153437379641557E-2</v>
      </c>
      <c r="AI151">
        <f t="shared" ca="1" si="50"/>
        <v>8.2875586150329444E-2</v>
      </c>
      <c r="AK151">
        <f t="shared" ca="1" si="51"/>
        <v>45.309984320541766</v>
      </c>
      <c r="AL151" s="6">
        <f t="shared" si="52"/>
        <v>3.0000000000000001E-5</v>
      </c>
      <c r="AM151" s="6">
        <f t="shared" ca="1" si="53"/>
        <v>128779.94078883999</v>
      </c>
      <c r="AN151" s="6">
        <f t="shared" ca="1" si="54"/>
        <v>4.2957334457796236E-3</v>
      </c>
    </row>
    <row r="152" spans="1:40" x14ac:dyDescent="0.25">
      <c r="A152">
        <f t="shared" si="55"/>
        <v>113</v>
      </c>
      <c r="B152">
        <f t="shared" si="35"/>
        <v>4.6926985690470921</v>
      </c>
      <c r="C152">
        <f t="shared" ca="1" si="56"/>
        <v>0.34107274667908444</v>
      </c>
      <c r="D152">
        <f t="shared" si="36"/>
        <v>2500</v>
      </c>
      <c r="E152">
        <f t="shared" ca="1" si="40"/>
        <v>1545.9799578640952</v>
      </c>
      <c r="F152">
        <f t="shared" si="37"/>
        <v>550</v>
      </c>
      <c r="G152">
        <f t="shared" si="38"/>
        <v>5.2192977958184277E-7</v>
      </c>
      <c r="H152">
        <f t="shared" ca="1" si="41"/>
        <v>8.068929786459538E-4</v>
      </c>
      <c r="I152">
        <f t="shared" ca="1" si="39"/>
        <v>6.7256233806123153E-2</v>
      </c>
      <c r="J152">
        <f t="shared" ca="1" si="57"/>
        <v>4.7590104247623229E-2</v>
      </c>
      <c r="K152">
        <f t="shared" ca="1" si="58"/>
        <v>4.7342196862445937E-3</v>
      </c>
      <c r="L152">
        <f t="shared" ca="1" si="59"/>
        <v>2.864913732359271E-2</v>
      </c>
      <c r="M152">
        <f t="shared" ca="1" si="42"/>
        <v>8.0973461257460536E-2</v>
      </c>
      <c r="Q152">
        <f t="shared" si="60"/>
        <v>113</v>
      </c>
      <c r="R152" s="26">
        <f t="shared" si="68"/>
        <v>4.111283911591058</v>
      </c>
      <c r="S152">
        <f t="shared" ca="1" si="61"/>
        <v>0.23461464346319977</v>
      </c>
      <c r="T152" s="23">
        <f t="shared" ca="1" si="62"/>
        <v>2499.9999991085397</v>
      </c>
      <c r="U152">
        <f t="shared" ca="1" si="43"/>
        <v>1632.6373867699356</v>
      </c>
      <c r="V152">
        <f t="shared" si="44"/>
        <v>550</v>
      </c>
      <c r="W152">
        <f t="shared" si="63"/>
        <v>5.2192977958184277E-7</v>
      </c>
      <c r="X152">
        <f t="shared" ca="1" si="45"/>
        <v>8.5212207141390829E-4</v>
      </c>
      <c r="Y152">
        <f t="shared" ca="1" si="64"/>
        <v>5.4516509595214223E-2</v>
      </c>
      <c r="Z152" s="6">
        <f t="shared" ca="1" si="46"/>
        <v>-1.9801007953818719E-4</v>
      </c>
      <c r="AA152">
        <f t="shared" ca="1" si="65"/>
        <v>5.527889266017464E-2</v>
      </c>
      <c r="AB152">
        <f t="shared" ca="1" si="66"/>
        <v>1.2423008098796005E-2</v>
      </c>
      <c r="AC152">
        <f t="shared" ca="1" si="67"/>
        <v>2.0960348911041298E-2</v>
      </c>
      <c r="AD152">
        <f t="shared" ca="1" si="47"/>
        <v>8.8662249670011947E-2</v>
      </c>
      <c r="AE152">
        <f t="shared" ca="1" si="48"/>
        <v>0.16217034768425281</v>
      </c>
      <c r="AG152">
        <f t="shared" ca="1" si="49"/>
        <v>3.5096679844250869E-2</v>
      </c>
      <c r="AI152">
        <f t="shared" ca="1" si="50"/>
        <v>8.3009610623391697E-2</v>
      </c>
      <c r="AK152">
        <f t="shared" ca="1" si="51"/>
        <v>45.383258574688803</v>
      </c>
      <c r="AL152" s="6">
        <f t="shared" si="52"/>
        <v>3.0000000000000001E-5</v>
      </c>
      <c r="AM152" s="6">
        <f t="shared" ca="1" si="53"/>
        <v>128779.94078884</v>
      </c>
      <c r="AN152" s="6">
        <f t="shared" ca="1" si="54"/>
        <v>4.2957334457796236E-3</v>
      </c>
    </row>
    <row r="153" spans="1:40" x14ac:dyDescent="0.25">
      <c r="A153">
        <f t="shared" si="55"/>
        <v>114</v>
      </c>
      <c r="B153">
        <f t="shared" si="35"/>
        <v>4.7342268749678622</v>
      </c>
      <c r="C153">
        <f t="shared" ca="1" si="56"/>
        <v>0.34386578413166397</v>
      </c>
      <c r="D153">
        <f t="shared" si="36"/>
        <v>2500</v>
      </c>
      <c r="E153">
        <f t="shared" ca="1" si="40"/>
        <v>1543.4726912762922</v>
      </c>
      <c r="F153">
        <f t="shared" si="37"/>
        <v>550</v>
      </c>
      <c r="G153">
        <f t="shared" si="38"/>
        <v>5.2192977958184277E-7</v>
      </c>
      <c r="H153">
        <f t="shared" ca="1" si="41"/>
        <v>8.0558436154842881E-4</v>
      </c>
      <c r="I153">
        <f t="shared" ca="1" si="39"/>
        <v>6.7147157807442986E-2</v>
      </c>
      <c r="J153">
        <f t="shared" ca="1" si="57"/>
        <v>4.7388381002961742E-2</v>
      </c>
      <c r="K153">
        <f t="shared" ca="1" si="58"/>
        <v>4.5324964415831073E-3</v>
      </c>
      <c r="L153">
        <f t="shared" ca="1" si="59"/>
        <v>2.8850860568254196E-2</v>
      </c>
      <c r="M153">
        <f t="shared" ca="1" si="42"/>
        <v>8.0771738012799049E-2</v>
      </c>
      <c r="Q153">
        <f t="shared" si="60"/>
        <v>114</v>
      </c>
      <c r="R153" s="26">
        <f t="shared" si="68"/>
        <v>4.1476669550564651</v>
      </c>
      <c r="S153">
        <f t="shared" ca="1" si="61"/>
        <v>0.23659812000138472</v>
      </c>
      <c r="T153" s="23">
        <f t="shared" ca="1" si="62"/>
        <v>2499.9999991013356</v>
      </c>
      <c r="U153">
        <f t="shared" ca="1" si="43"/>
        <v>1631.1669953532917</v>
      </c>
      <c r="V153">
        <f t="shared" si="44"/>
        <v>550</v>
      </c>
      <c r="W153">
        <f t="shared" si="63"/>
        <v>5.2192977958184277E-7</v>
      </c>
      <c r="X153">
        <f t="shared" ca="1" si="45"/>
        <v>8.5135463034592023E-4</v>
      </c>
      <c r="Y153">
        <f t="shared" ca="1" si="64"/>
        <v>5.4467410751573998E-2</v>
      </c>
      <c r="Z153" s="6">
        <f t="shared" ca="1" si="46"/>
        <v>-1.9769014965734873E-4</v>
      </c>
      <c r="AA153">
        <f t="shared" ca="1" si="65"/>
        <v>5.5135638826387667E-2</v>
      </c>
      <c r="AB153">
        <f t="shared" ca="1" si="66"/>
        <v>1.2279754265009039E-2</v>
      </c>
      <c r="AC153">
        <f t="shared" ca="1" si="67"/>
        <v>2.1103602744828264E-2</v>
      </c>
      <c r="AD153">
        <f t="shared" ca="1" si="47"/>
        <v>8.8518995836224981E-2</v>
      </c>
      <c r="AE153">
        <f t="shared" ca="1" si="48"/>
        <v>0.16190832496232291</v>
      </c>
      <c r="AG153">
        <f t="shared" ca="1" si="49"/>
        <v>3.5039973253219822E-2</v>
      </c>
      <c r="AI153">
        <f t="shared" ca="1" si="50"/>
        <v>8.3143948398584772E-2</v>
      </c>
      <c r="AK153">
        <f t="shared" ca="1" si="51"/>
        <v>45.456704118298468</v>
      </c>
      <c r="AL153" s="6">
        <f t="shared" si="52"/>
        <v>3.0000000000000001E-5</v>
      </c>
      <c r="AM153" s="6">
        <f t="shared" ca="1" si="53"/>
        <v>128779.94078883997</v>
      </c>
      <c r="AN153" s="6">
        <f t="shared" ca="1" si="54"/>
        <v>4.2957334457796236E-3</v>
      </c>
    </row>
    <row r="154" spans="1:40" x14ac:dyDescent="0.25">
      <c r="A154">
        <f t="shared" si="55"/>
        <v>115</v>
      </c>
      <c r="B154">
        <f t="shared" si="35"/>
        <v>4.775755180888634</v>
      </c>
      <c r="C154">
        <f t="shared" ca="1" si="56"/>
        <v>0.34665429184280178</v>
      </c>
      <c r="D154">
        <f t="shared" si="36"/>
        <v>2500</v>
      </c>
      <c r="E154">
        <f t="shared" ca="1" si="40"/>
        <v>1540.9563096954503</v>
      </c>
      <c r="F154">
        <f t="shared" si="37"/>
        <v>550</v>
      </c>
      <c r="G154">
        <f t="shared" si="38"/>
        <v>5.2192977958184277E-7</v>
      </c>
      <c r="H154">
        <f t="shared" ca="1" si="41"/>
        <v>8.0427098706459623E-4</v>
      </c>
      <c r="I154">
        <f t="shared" ca="1" si="39"/>
        <v>6.7037685270567179E-2</v>
      </c>
      <c r="J154">
        <f t="shared" ca="1" si="57"/>
        <v>4.7186984912574628E-2</v>
      </c>
      <c r="K154">
        <f t="shared" ca="1" si="58"/>
        <v>4.3311003511959968E-3</v>
      </c>
      <c r="L154">
        <f t="shared" ca="1" si="59"/>
        <v>2.9052256658641307E-2</v>
      </c>
      <c r="M154">
        <f t="shared" ca="1" si="42"/>
        <v>8.0570341922411928E-2</v>
      </c>
      <c r="Q154">
        <f t="shared" si="60"/>
        <v>115</v>
      </c>
      <c r="R154" s="26">
        <f t="shared" si="68"/>
        <v>4.1840499985218731</v>
      </c>
      <c r="S154">
        <f t="shared" ca="1" si="61"/>
        <v>0.23857981017420746</v>
      </c>
      <c r="T154" s="23">
        <f t="shared" ca="1" si="62"/>
        <v>2499.9999990941428</v>
      </c>
      <c r="U154">
        <f t="shared" ca="1" si="43"/>
        <v>1629.69294114681</v>
      </c>
      <c r="V154">
        <f t="shared" si="44"/>
        <v>550</v>
      </c>
      <c r="W154">
        <f t="shared" si="63"/>
        <v>5.2192977958184277E-7</v>
      </c>
      <c r="X154">
        <f t="shared" ca="1" si="45"/>
        <v>8.5058527755883958E-4</v>
      </c>
      <c r="Y154">
        <f t="shared" ca="1" si="64"/>
        <v>5.4418189601217699E-2</v>
      </c>
      <c r="Z154" s="6">
        <f t="shared" ca="1" si="46"/>
        <v>-1.9737050791284152E-4</v>
      </c>
      <c r="AA154">
        <f t="shared" ca="1" si="65"/>
        <v>5.4992514010354002E-2</v>
      </c>
      <c r="AB154">
        <f t="shared" ca="1" si="66"/>
        <v>1.2136629448975374E-2</v>
      </c>
      <c r="AC154">
        <f t="shared" ca="1" si="67"/>
        <v>2.124672756086193E-2</v>
      </c>
      <c r="AD154">
        <f t="shared" ca="1" si="47"/>
        <v>8.8375871020191316E-2</v>
      </c>
      <c r="AE154">
        <f t="shared" ca="1" si="48"/>
        <v>0.16164653822418301</v>
      </c>
      <c r="AG154">
        <f t="shared" ca="1" si="49"/>
        <v>3.4983317733470583E-2</v>
      </c>
      <c r="AI154">
        <f t="shared" ca="1" si="50"/>
        <v>8.3278600110432005E-2</v>
      </c>
      <c r="AK154">
        <f t="shared" ca="1" si="51"/>
        <v>45.53032129827924</v>
      </c>
      <c r="AL154" s="6">
        <f t="shared" si="52"/>
        <v>3.0000000000000001E-5</v>
      </c>
      <c r="AM154" s="6">
        <f t="shared" ca="1" si="53"/>
        <v>128779.94078883997</v>
      </c>
      <c r="AN154" s="6">
        <f t="shared" ca="1" si="54"/>
        <v>4.2957334457796236E-3</v>
      </c>
    </row>
    <row r="155" spans="1:40" x14ac:dyDescent="0.25">
      <c r="A155">
        <f t="shared" si="55"/>
        <v>116</v>
      </c>
      <c r="B155">
        <f t="shared" si="35"/>
        <v>4.8172834868094041</v>
      </c>
      <c r="C155">
        <f t="shared" ca="1" si="56"/>
        <v>0.34943825334493817</v>
      </c>
      <c r="D155">
        <f t="shared" si="36"/>
        <v>2500</v>
      </c>
      <c r="E155">
        <f t="shared" ca="1" si="40"/>
        <v>1538.4307883185888</v>
      </c>
      <c r="F155">
        <f t="shared" si="37"/>
        <v>550</v>
      </c>
      <c r="G155">
        <f t="shared" si="38"/>
        <v>5.2192977958184277E-7</v>
      </c>
      <c r="H155">
        <f t="shared" ca="1" si="41"/>
        <v>8.0295284224904168E-4</v>
      </c>
      <c r="I155">
        <f t="shared" ca="1" si="39"/>
        <v>6.6927815116468142E-2</v>
      </c>
      <c r="J155">
        <f t="shared" ca="1" si="57"/>
        <v>4.698591716580848E-2</v>
      </c>
      <c r="K155">
        <f t="shared" ca="1" si="58"/>
        <v>4.1300326044298556E-3</v>
      </c>
      <c r="L155">
        <f t="shared" ca="1" si="59"/>
        <v>2.9253324405407448E-2</v>
      </c>
      <c r="M155">
        <f t="shared" ca="1" si="42"/>
        <v>8.0369274175645794E-2</v>
      </c>
      <c r="Q155">
        <f t="shared" si="60"/>
        <v>116</v>
      </c>
      <c r="R155" s="26">
        <f t="shared" si="68"/>
        <v>4.2204330419872802</v>
      </c>
      <c r="S155">
        <f t="shared" ca="1" si="61"/>
        <v>0.24055970953177733</v>
      </c>
      <c r="T155" s="23">
        <f t="shared" ca="1" si="62"/>
        <v>2499.9999990869619</v>
      </c>
      <c r="U155">
        <f t="shared" ca="1" si="43"/>
        <v>1628.2152155775384</v>
      </c>
      <c r="V155">
        <f t="shared" si="44"/>
        <v>550</v>
      </c>
      <c r="W155">
        <f t="shared" si="63"/>
        <v>5.2192977958184277E-7</v>
      </c>
      <c r="X155">
        <f t="shared" ca="1" si="45"/>
        <v>8.4981400857818727E-4</v>
      </c>
      <c r="Y155">
        <f t="shared" ca="1" si="64"/>
        <v>5.4368845857880023E-2</v>
      </c>
      <c r="Z155" s="6">
        <f t="shared" ca="1" si="46"/>
        <v>-1.9705115502242213E-4</v>
      </c>
      <c r="AA155">
        <f t="shared" ca="1" si="65"/>
        <v>5.4849518533460803E-2</v>
      </c>
      <c r="AB155">
        <f t="shared" ca="1" si="66"/>
        <v>1.1993633972082172E-2</v>
      </c>
      <c r="AC155">
        <f t="shared" ca="1" si="67"/>
        <v>2.1389723037755132E-2</v>
      </c>
      <c r="AD155">
        <f t="shared" ca="1" si="47"/>
        <v>8.8232875543298103E-2</v>
      </c>
      <c r="AE155">
        <f t="shared" ca="1" si="48"/>
        <v>0.16138498805767595</v>
      </c>
      <c r="AG155">
        <f t="shared" ca="1" si="49"/>
        <v>3.4926713412223261E-2</v>
      </c>
      <c r="AI155">
        <f t="shared" ca="1" si="50"/>
        <v>8.3413566392154817E-2</v>
      </c>
      <c r="AK155">
        <f t="shared" ca="1" si="51"/>
        <v>45.604110460827805</v>
      </c>
      <c r="AL155" s="6">
        <f t="shared" si="52"/>
        <v>3.0000000000000001E-5</v>
      </c>
      <c r="AM155" s="6">
        <f t="shared" ca="1" si="53"/>
        <v>128779.94078883999</v>
      </c>
      <c r="AN155" s="6">
        <f t="shared" ca="1" si="54"/>
        <v>4.2957334457796236E-3</v>
      </c>
    </row>
    <row r="156" spans="1:40" x14ac:dyDescent="0.25">
      <c r="A156">
        <f t="shared" si="55"/>
        <v>117</v>
      </c>
      <c r="B156">
        <f t="shared" si="35"/>
        <v>4.858811792730175</v>
      </c>
      <c r="C156">
        <f t="shared" ca="1" si="56"/>
        <v>0.35221765212570366</v>
      </c>
      <c r="D156">
        <f t="shared" si="36"/>
        <v>2500</v>
      </c>
      <c r="E156">
        <f t="shared" ca="1" si="40"/>
        <v>1535.8961025154681</v>
      </c>
      <c r="F156">
        <f t="shared" si="37"/>
        <v>550</v>
      </c>
      <c r="G156">
        <f t="shared" si="38"/>
        <v>5.2192977958184277E-7</v>
      </c>
      <c r="H156">
        <f t="shared" ca="1" si="41"/>
        <v>8.0162991424650965E-4</v>
      </c>
      <c r="I156">
        <f t="shared" ca="1" si="39"/>
        <v>6.6817546273633149E-2</v>
      </c>
      <c r="J156">
        <f t="shared" ca="1" si="57"/>
        <v>4.6785178955246219E-2</v>
      </c>
      <c r="K156">
        <f t="shared" ca="1" si="58"/>
        <v>3.9292943938675912E-3</v>
      </c>
      <c r="L156">
        <f t="shared" ca="1" si="59"/>
        <v>2.9454062615969712E-2</v>
      </c>
      <c r="M156">
        <f t="shared" ca="1" si="42"/>
        <v>8.0168535965083526E-2</v>
      </c>
      <c r="Q156">
        <f t="shared" si="60"/>
        <v>117</v>
      </c>
      <c r="R156" s="26">
        <f t="shared" si="68"/>
        <v>4.2568160854526873</v>
      </c>
      <c r="S156">
        <f t="shared" ca="1" si="61"/>
        <v>0.24253781361378859</v>
      </c>
      <c r="T156" s="23">
        <f t="shared" ca="1" si="62"/>
        <v>2499.9999990797924</v>
      </c>
      <c r="U156">
        <f t="shared" ca="1" si="43"/>
        <v>1626.7338100784407</v>
      </c>
      <c r="V156">
        <f t="shared" si="44"/>
        <v>550</v>
      </c>
      <c r="W156">
        <f t="shared" si="63"/>
        <v>5.2192977958184277E-7</v>
      </c>
      <c r="X156">
        <f t="shared" ca="1" si="45"/>
        <v>8.4904081893257184E-4</v>
      </c>
      <c r="Y156">
        <f t="shared" ca="1" si="64"/>
        <v>5.4319379235493188E-2</v>
      </c>
      <c r="Z156" s="6">
        <f t="shared" ca="1" si="46"/>
        <v>-1.9673209170552693E-4</v>
      </c>
      <c r="AA156">
        <f t="shared" ca="1" si="65"/>
        <v>5.4706652717847443E-2</v>
      </c>
      <c r="AB156">
        <f t="shared" ca="1" si="66"/>
        <v>1.1850768156468808E-2</v>
      </c>
      <c r="AC156">
        <f t="shared" ca="1" si="67"/>
        <v>2.1532588853368496E-2</v>
      </c>
      <c r="AD156">
        <f t="shared" ca="1" si="47"/>
        <v>8.8090009727684743E-2</v>
      </c>
      <c r="AE156">
        <f t="shared" ca="1" si="48"/>
        <v>0.16112367505202049</v>
      </c>
      <c r="AG156">
        <f t="shared" ca="1" si="49"/>
        <v>3.4870160416995769E-2</v>
      </c>
      <c r="AI156">
        <f t="shared" ca="1" si="50"/>
        <v>8.3548847875636045E-2</v>
      </c>
      <c r="AK156">
        <f t="shared" ca="1" si="51"/>
        <v>45.678071951408981</v>
      </c>
      <c r="AL156" s="6">
        <f t="shared" si="52"/>
        <v>3.0000000000000001E-5</v>
      </c>
      <c r="AM156" s="6">
        <f t="shared" ca="1" si="53"/>
        <v>128779.94078884</v>
      </c>
      <c r="AN156" s="6">
        <f t="shared" ca="1" si="54"/>
        <v>4.2957334457796236E-3</v>
      </c>
    </row>
    <row r="157" spans="1:40" x14ac:dyDescent="0.25">
      <c r="A157">
        <f t="shared" si="55"/>
        <v>118</v>
      </c>
      <c r="B157">
        <f t="shared" si="35"/>
        <v>4.900340098650946</v>
      </c>
      <c r="C157">
        <f t="shared" ca="1" si="56"/>
        <v>0.35499247162823039</v>
      </c>
      <c r="D157">
        <f t="shared" si="36"/>
        <v>2500</v>
      </c>
      <c r="E157">
        <f t="shared" ca="1" si="40"/>
        <v>1533.3522278336318</v>
      </c>
      <c r="F157">
        <f t="shared" si="37"/>
        <v>550</v>
      </c>
      <c r="G157">
        <f t="shared" si="38"/>
        <v>5.2192977958184277E-7</v>
      </c>
      <c r="H157">
        <f t="shared" ca="1" si="41"/>
        <v>8.0030219029453504E-4</v>
      </c>
      <c r="I157">
        <f t="shared" ca="1" si="39"/>
        <v>6.6706877678283816E-2</v>
      </c>
      <c r="J157">
        <f t="shared" ca="1" si="57"/>
        <v>4.6584771476684585E-2</v>
      </c>
      <c r="K157">
        <f t="shared" ca="1" si="58"/>
        <v>3.7288869153059637E-3</v>
      </c>
      <c r="L157">
        <f t="shared" ca="1" si="59"/>
        <v>2.965447009453134E-2</v>
      </c>
      <c r="M157">
        <f t="shared" ca="1" si="42"/>
        <v>7.9968128486521892E-2</v>
      </c>
      <c r="Q157">
        <f t="shared" si="60"/>
        <v>118</v>
      </c>
      <c r="R157" s="26">
        <f t="shared" si="68"/>
        <v>4.2931991289180953</v>
      </c>
      <c r="S157">
        <f t="shared" ca="1" si="61"/>
        <v>0.24451411794952752</v>
      </c>
      <c r="T157" s="23">
        <f t="shared" ca="1" si="62"/>
        <v>2499.9999990726346</v>
      </c>
      <c r="U157">
        <f t="shared" ca="1" si="43"/>
        <v>1625.2487160887856</v>
      </c>
      <c r="V157">
        <f t="shared" si="44"/>
        <v>550</v>
      </c>
      <c r="W157">
        <f t="shared" si="63"/>
        <v>5.2192977958184277E-7</v>
      </c>
      <c r="X157">
        <f t="shared" ca="1" si="45"/>
        <v>8.4826570415389281E-4</v>
      </c>
      <c r="Y157">
        <f t="shared" ca="1" si="64"/>
        <v>5.4269789448200004E-2</v>
      </c>
      <c r="Z157" s="6">
        <f t="shared" ca="1" si="46"/>
        <v>-1.9641331868327076E-4</v>
      </c>
      <c r="AA157">
        <f t="shared" ca="1" si="65"/>
        <v>5.4563916886404995E-2</v>
      </c>
      <c r="AB157">
        <f t="shared" ca="1" si="66"/>
        <v>1.1708032325026367E-2</v>
      </c>
      <c r="AC157">
        <f t="shared" ca="1" si="67"/>
        <v>2.1675324684810936E-2</v>
      </c>
      <c r="AD157">
        <f t="shared" ca="1" si="47"/>
        <v>8.7947273896242309E-2</v>
      </c>
      <c r="AE157">
        <f t="shared" ca="1" si="48"/>
        <v>0.16086259979781023</v>
      </c>
      <c r="AG157">
        <f t="shared" ca="1" si="49"/>
        <v>3.4813658875603538E-2</v>
      </c>
      <c r="AI157">
        <f t="shared" ca="1" si="50"/>
        <v>8.3684445191382906E-2</v>
      </c>
      <c r="AK157">
        <f t="shared" ca="1" si="51"/>
        <v>45.752206114735543</v>
      </c>
      <c r="AL157" s="6">
        <f t="shared" si="52"/>
        <v>3.0000000000000001E-5</v>
      </c>
      <c r="AM157" s="6">
        <f t="shared" ca="1" si="53"/>
        <v>128779.94078883996</v>
      </c>
      <c r="AN157" s="6">
        <f t="shared" ca="1" si="54"/>
        <v>4.2957334457796236E-3</v>
      </c>
    </row>
    <row r="158" spans="1:40" x14ac:dyDescent="0.25">
      <c r="A158">
        <f t="shared" si="55"/>
        <v>119</v>
      </c>
      <c r="B158">
        <f t="shared" si="35"/>
        <v>4.9418684045717161</v>
      </c>
      <c r="C158">
        <f t="shared" ca="1" si="56"/>
        <v>0.35776269525147353</v>
      </c>
      <c r="D158">
        <f t="shared" si="36"/>
        <v>2500</v>
      </c>
      <c r="E158">
        <f t="shared" ca="1" si="40"/>
        <v>1530.7991400035155</v>
      </c>
      <c r="F158">
        <f t="shared" si="37"/>
        <v>550</v>
      </c>
      <c r="G158">
        <f t="shared" si="38"/>
        <v>5.2192977958184277E-7</v>
      </c>
      <c r="H158">
        <f t="shared" ca="1" si="41"/>
        <v>7.9896965772610932E-4</v>
      </c>
      <c r="I158">
        <f t="shared" ca="1" si="39"/>
        <v>6.6595808274598212E-2</v>
      </c>
      <c r="J158">
        <f t="shared" ca="1" si="57"/>
        <v>4.6384695929110958E-2</v>
      </c>
      <c r="K158">
        <f t="shared" ca="1" si="58"/>
        <v>3.5288113677323339E-3</v>
      </c>
      <c r="L158">
        <f t="shared" ca="1" si="59"/>
        <v>2.985454564210497E-2</v>
      </c>
      <c r="M158">
        <f t="shared" ca="1" si="42"/>
        <v>7.9768052938948258E-2</v>
      </c>
      <c r="Q158">
        <f t="shared" si="60"/>
        <v>119</v>
      </c>
      <c r="R158" s="26">
        <f t="shared" si="68"/>
        <v>4.3295821723835033</v>
      </c>
      <c r="S158">
        <f t="shared" ca="1" si="61"/>
        <v>0.24648861805787992</v>
      </c>
      <c r="T158" s="23">
        <f t="shared" ca="1" si="62"/>
        <v>2499.9999990654887</v>
      </c>
      <c r="U158">
        <f t="shared" ca="1" si="43"/>
        <v>1623.7599250545306</v>
      </c>
      <c r="V158">
        <f t="shared" si="44"/>
        <v>550</v>
      </c>
      <c r="W158">
        <f t="shared" si="63"/>
        <v>5.2192977958184277E-7</v>
      </c>
      <c r="X158">
        <f t="shared" ca="1" si="45"/>
        <v>8.4748865977754074E-4</v>
      </c>
      <c r="Y158">
        <f t="shared" ca="1" si="64"/>
        <v>5.4220076210366577E-2</v>
      </c>
      <c r="Z158" s="6">
        <f t="shared" ca="1" si="46"/>
        <v>-1.9609483667844659E-4</v>
      </c>
      <c r="AA158">
        <f t="shared" ca="1" si="65"/>
        <v>5.4421311362775712E-2</v>
      </c>
      <c r="AB158">
        <f t="shared" ca="1" si="66"/>
        <v>1.1565426801397084E-2</v>
      </c>
      <c r="AC158">
        <f t="shared" ca="1" si="67"/>
        <v>2.1817930208440219E-2</v>
      </c>
      <c r="AD158">
        <f t="shared" ca="1" si="47"/>
        <v>8.7804668372613026E-2</v>
      </c>
      <c r="AE158">
        <f t="shared" ca="1" si="48"/>
        <v>0.16060176288701269</v>
      </c>
      <c r="AG158">
        <f t="shared" ca="1" si="49"/>
        <v>3.4757208916159361E-2</v>
      </c>
      <c r="AI158">
        <f t="shared" ca="1" si="50"/>
        <v>8.3820358968489841E-2</v>
      </c>
      <c r="AK158">
        <f t="shared" ca="1" si="51"/>
        <v>45.826513294747855</v>
      </c>
      <c r="AL158" s="6">
        <f t="shared" si="52"/>
        <v>3.0000000000000001E-5</v>
      </c>
      <c r="AM158" s="6">
        <f t="shared" ca="1" si="53"/>
        <v>128779.94078883999</v>
      </c>
      <c r="AN158" s="6">
        <f t="shared" ca="1" si="54"/>
        <v>4.2957334457796236E-3</v>
      </c>
    </row>
    <row r="159" spans="1:40" x14ac:dyDescent="0.25">
      <c r="A159">
        <f t="shared" si="55"/>
        <v>120</v>
      </c>
      <c r="B159">
        <f t="shared" si="35"/>
        <v>4.983396710492487</v>
      </c>
      <c r="C159">
        <f t="shared" ca="1" si="56"/>
        <v>0.36052830635054206</v>
      </c>
      <c r="D159">
        <f t="shared" si="36"/>
        <v>2500</v>
      </c>
      <c r="E159">
        <f t="shared" ca="1" si="40"/>
        <v>1528.2368149436286</v>
      </c>
      <c r="F159">
        <f t="shared" si="37"/>
        <v>550</v>
      </c>
      <c r="G159">
        <f t="shared" si="38"/>
        <v>5.2192977958184277E-7</v>
      </c>
      <c r="H159">
        <f t="shared" ca="1" si="41"/>
        <v>7.9763230397238551E-4</v>
      </c>
      <c r="I159">
        <f t="shared" ca="1" si="39"/>
        <v>6.6484337014936376E-2</v>
      </c>
      <c r="J159">
        <f t="shared" ca="1" si="57"/>
        <v>4.6184953514679439E-2</v>
      </c>
      <c r="K159">
        <f t="shared" ca="1" si="58"/>
        <v>3.3290689533008039E-3</v>
      </c>
      <c r="L159">
        <f t="shared" ca="1" si="59"/>
        <v>3.00542880565365E-2</v>
      </c>
      <c r="M159">
        <f t="shared" ca="1" si="42"/>
        <v>7.9568310524516739E-2</v>
      </c>
      <c r="Q159">
        <f t="shared" si="60"/>
        <v>120</v>
      </c>
      <c r="R159" s="26">
        <f t="shared" si="68"/>
        <v>4.3659652158489113</v>
      </c>
      <c r="S159">
        <f t="shared" ca="1" si="61"/>
        <v>0.24846130944733941</v>
      </c>
      <c r="T159" s="23">
        <f t="shared" ca="1" si="62"/>
        <v>2499.9999990583542</v>
      </c>
      <c r="U159">
        <f t="shared" ca="1" si="43"/>
        <v>1622.2674284287198</v>
      </c>
      <c r="V159">
        <f t="shared" si="44"/>
        <v>550</v>
      </c>
      <c r="W159">
        <f t="shared" si="63"/>
        <v>5.2192977958184277E-7</v>
      </c>
      <c r="X159">
        <f t="shared" ca="1" si="45"/>
        <v>8.4670968134260458E-4</v>
      </c>
      <c r="Y159">
        <f t="shared" ca="1" si="64"/>
        <v>5.4170239236595676E-2</v>
      </c>
      <c r="Z159" s="6">
        <f t="shared" ca="1" si="46"/>
        <v>-1.9577664641552323E-4</v>
      </c>
      <c r="AA159">
        <f t="shared" ca="1" si="65"/>
        <v>5.4278836471352392E-2</v>
      </c>
      <c r="AB159">
        <f t="shared" ca="1" si="66"/>
        <v>1.1422951909973764E-2</v>
      </c>
      <c r="AC159">
        <f t="shared" ca="1" si="67"/>
        <v>2.196040509986354E-2</v>
      </c>
      <c r="AD159">
        <f t="shared" ca="1" si="47"/>
        <v>8.7662193481189685E-2</v>
      </c>
      <c r="AE159">
        <f t="shared" ca="1" si="48"/>
        <v>0.16034116491296826</v>
      </c>
      <c r="AG159">
        <f t="shared" ca="1" si="49"/>
        <v>3.4700810667073125E-2</v>
      </c>
      <c r="AI159">
        <f t="shared" ca="1" si="50"/>
        <v>8.395658983460047E-2</v>
      </c>
      <c r="AK159">
        <f t="shared" ca="1" si="51"/>
        <v>45.900993834593088</v>
      </c>
      <c r="AL159" s="6">
        <f t="shared" si="52"/>
        <v>3.0000000000000001E-5</v>
      </c>
      <c r="AM159" s="6">
        <f t="shared" ca="1" si="53"/>
        <v>128779.94078883997</v>
      </c>
      <c r="AN159" s="6">
        <f t="shared" ca="1" si="54"/>
        <v>4.2957334457796236E-3</v>
      </c>
    </row>
    <row r="160" spans="1:40" x14ac:dyDescent="0.25">
      <c r="A160">
        <f t="shared" si="55"/>
        <v>121</v>
      </c>
      <c r="B160">
        <f t="shared" si="35"/>
        <v>5.0249250164132579</v>
      </c>
      <c r="C160">
        <f t="shared" ca="1" si="56"/>
        <v>0.36328928823703799</v>
      </c>
      <c r="D160">
        <f t="shared" si="36"/>
        <v>2500</v>
      </c>
      <c r="E160">
        <f t="shared" ca="1" si="40"/>
        <v>1525.6652287658055</v>
      </c>
      <c r="F160">
        <f t="shared" si="37"/>
        <v>550</v>
      </c>
      <c r="G160">
        <f t="shared" si="38"/>
        <v>5.2192977958184277E-7</v>
      </c>
      <c r="H160">
        <f t="shared" ca="1" si="41"/>
        <v>7.9629011656541862E-4</v>
      </c>
      <c r="I160">
        <f t="shared" ca="1" si="39"/>
        <v>6.6372462860068801E-2</v>
      </c>
      <c r="J160">
        <f t="shared" ca="1" si="57"/>
        <v>4.5985545438686333E-2</v>
      </c>
      <c r="K160">
        <f t="shared" ca="1" si="58"/>
        <v>3.129660877307705E-3</v>
      </c>
      <c r="L160">
        <f t="shared" ca="1" si="59"/>
        <v>3.0253696132529598E-2</v>
      </c>
      <c r="M160">
        <f t="shared" ca="1" si="42"/>
        <v>7.936890244852364E-2</v>
      </c>
      <c r="Q160">
        <f t="shared" si="60"/>
        <v>121</v>
      </c>
      <c r="R160" s="26">
        <f t="shared" si="68"/>
        <v>4.4023482593143184</v>
      </c>
      <c r="S160">
        <f t="shared" ca="1" si="61"/>
        <v>0.25043218761601599</v>
      </c>
      <c r="T160" s="23">
        <f t="shared" ca="1" si="62"/>
        <v>2499.999999051231</v>
      </c>
      <c r="U160">
        <f t="shared" ca="1" si="43"/>
        <v>1620.7712176718794</v>
      </c>
      <c r="V160">
        <f t="shared" si="44"/>
        <v>550</v>
      </c>
      <c r="W160">
        <f t="shared" si="63"/>
        <v>5.2192977958184277E-7</v>
      </c>
      <c r="X160">
        <f t="shared" ca="1" si="45"/>
        <v>8.4592876439207895E-4</v>
      </c>
      <c r="Y160">
        <f t="shared" ca="1" si="64"/>
        <v>5.4120278241739907E-2</v>
      </c>
      <c r="Z160" s="6">
        <f t="shared" ca="1" si="46"/>
        <v>-1.954587486206445E-4</v>
      </c>
      <c r="AA160">
        <f t="shared" ca="1" si="65"/>
        <v>5.4136492537277765E-2</v>
      </c>
      <c r="AB160">
        <f t="shared" ca="1" si="66"/>
        <v>1.1280607975899141E-2</v>
      </c>
      <c r="AC160">
        <f t="shared" ca="1" si="67"/>
        <v>2.2102749033938163E-2</v>
      </c>
      <c r="AD160">
        <f t="shared" ca="1" si="47"/>
        <v>8.7519849547115072E-2</v>
      </c>
      <c r="AE160">
        <f t="shared" ca="1" si="48"/>
        <v>0.16008080647038911</v>
      </c>
      <c r="AG160">
        <f t="shared" ca="1" si="49"/>
        <v>3.4644464257051609E-2</v>
      </c>
      <c r="AI160">
        <f t="shared" ca="1" si="50"/>
        <v>8.40931384158696E-2</v>
      </c>
      <c r="AK160">
        <f t="shared" ca="1" si="51"/>
        <v>45.975648076604422</v>
      </c>
      <c r="AL160" s="6">
        <f t="shared" si="52"/>
        <v>3.0000000000000001E-5</v>
      </c>
      <c r="AM160" s="6">
        <f t="shared" ca="1" si="53"/>
        <v>128779.94078883996</v>
      </c>
      <c r="AN160" s="6">
        <f t="shared" ca="1" si="54"/>
        <v>4.2957334457796236E-3</v>
      </c>
    </row>
    <row r="161" spans="1:40" x14ac:dyDescent="0.25">
      <c r="A161">
        <f t="shared" si="55"/>
        <v>122</v>
      </c>
      <c r="B161">
        <f t="shared" si="35"/>
        <v>5.066453322334028</v>
      </c>
      <c r="C161">
        <f t="shared" ca="1" si="56"/>
        <v>0.36604562417940589</v>
      </c>
      <c r="D161">
        <f t="shared" si="36"/>
        <v>2500</v>
      </c>
      <c r="E161">
        <f t="shared" ca="1" si="40"/>
        <v>1523.0843577805235</v>
      </c>
      <c r="F161">
        <f t="shared" si="37"/>
        <v>550</v>
      </c>
      <c r="G161">
        <f t="shared" si="38"/>
        <v>5.2192977958184277E-7</v>
      </c>
      <c r="H161">
        <f t="shared" ca="1" si="41"/>
        <v>7.9494308314094118E-4</v>
      </c>
      <c r="I161">
        <f t="shared" ca="1" si="39"/>
        <v>6.6260184779407663E-2</v>
      </c>
      <c r="J161">
        <f t="shared" ca="1" si="57"/>
        <v>4.5786472909544983E-2</v>
      </c>
      <c r="K161">
        <f t="shared" ca="1" si="58"/>
        <v>2.9305883481663547E-3</v>
      </c>
      <c r="L161">
        <f t="shared" ca="1" si="59"/>
        <v>3.0452768661670949E-2</v>
      </c>
      <c r="M161">
        <f t="shared" ca="1" si="42"/>
        <v>7.916982991938229E-2</v>
      </c>
      <c r="Q161">
        <f t="shared" si="60"/>
        <v>122</v>
      </c>
      <c r="R161" s="26">
        <f t="shared" si="68"/>
        <v>4.4387313027797264</v>
      </c>
      <c r="S161">
        <f t="shared" ca="1" si="61"/>
        <v>0.25240124805164521</v>
      </c>
      <c r="T161" s="23">
        <f t="shared" ca="1" si="62"/>
        <v>2499.9999990441197</v>
      </c>
      <c r="U161">
        <f t="shared" ca="1" si="43"/>
        <v>1619.2712842524222</v>
      </c>
      <c r="V161">
        <f t="shared" si="44"/>
        <v>550</v>
      </c>
      <c r="W161">
        <f t="shared" si="63"/>
        <v>5.2192977958184277E-7</v>
      </c>
      <c r="X161">
        <f t="shared" ca="1" si="45"/>
        <v>8.4514590447307418E-4</v>
      </c>
      <c r="Y161">
        <f t="shared" ca="1" si="64"/>
        <v>5.407019294091521E-2</v>
      </c>
      <c r="Z161" s="6">
        <f t="shared" ca="1" si="46"/>
        <v>-1.9514114402162754E-4</v>
      </c>
      <c r="AA161">
        <f t="shared" ca="1" si="65"/>
        <v>5.3994279886443876E-2</v>
      </c>
      <c r="AB161">
        <f t="shared" ca="1" si="66"/>
        <v>1.1138395325065248E-2</v>
      </c>
      <c r="AC161">
        <f t="shared" ca="1" si="67"/>
        <v>2.2244961684772056E-2</v>
      </c>
      <c r="AD161">
        <f t="shared" ca="1" si="47"/>
        <v>8.7377636896281169E-2</v>
      </c>
      <c r="AE161">
        <f t="shared" ca="1" si="48"/>
        <v>0.15982068815535774</v>
      </c>
      <c r="AG161">
        <f t="shared" ca="1" si="49"/>
        <v>3.4588169815098165E-2</v>
      </c>
      <c r="AI161">
        <f t="shared" ca="1" si="50"/>
        <v>8.4230005336924693E-2</v>
      </c>
      <c r="AK161">
        <f t="shared" ca="1" si="51"/>
        <v>46.050476362280037</v>
      </c>
      <c r="AL161" s="6">
        <f t="shared" si="52"/>
        <v>3.0000000000000001E-5</v>
      </c>
      <c r="AM161" s="6">
        <f t="shared" ca="1" si="53"/>
        <v>128779.94078884</v>
      </c>
      <c r="AN161" s="6">
        <f t="shared" ca="1" si="54"/>
        <v>4.2957334457796236E-3</v>
      </c>
    </row>
    <row r="162" spans="1:40" x14ac:dyDescent="0.25">
      <c r="A162">
        <f t="shared" si="55"/>
        <v>123</v>
      </c>
      <c r="B162">
        <f t="shared" si="35"/>
        <v>5.107981628254799</v>
      </c>
      <c r="C162">
        <f t="shared" ca="1" si="56"/>
        <v>0.36879729740329192</v>
      </c>
      <c r="D162">
        <f t="shared" si="36"/>
        <v>2500</v>
      </c>
      <c r="E162">
        <f t="shared" ca="1" si="40"/>
        <v>1520.4941785022995</v>
      </c>
      <c r="F162">
        <f t="shared" si="37"/>
        <v>550</v>
      </c>
      <c r="G162">
        <f t="shared" si="38"/>
        <v>5.2192977958184277E-7</v>
      </c>
      <c r="H162">
        <f t="shared" ca="1" si="41"/>
        <v>7.9359119144118025E-4</v>
      </c>
      <c r="I162">
        <f t="shared" ca="1" si="39"/>
        <v>6.6147501751241705E-2</v>
      </c>
      <c r="J162">
        <f t="shared" ca="1" si="57"/>
        <v>4.558773713875975E-2</v>
      </c>
      <c r="K162">
        <f t="shared" ca="1" si="58"/>
        <v>2.7318525773811185E-3</v>
      </c>
      <c r="L162">
        <f t="shared" ca="1" si="59"/>
        <v>3.0651504432456185E-2</v>
      </c>
      <c r="M162">
        <f t="shared" ca="1" si="42"/>
        <v>7.8971094148597043E-2</v>
      </c>
      <c r="Q162">
        <f t="shared" si="60"/>
        <v>123</v>
      </c>
      <c r="R162" s="26">
        <f t="shared" si="68"/>
        <v>4.4751143462451335</v>
      </c>
      <c r="S162">
        <f t="shared" ca="1" si="61"/>
        <v>0.25436848623159747</v>
      </c>
      <c r="T162" s="23">
        <f t="shared" ca="1" si="62"/>
        <v>2499.9999990370197</v>
      </c>
      <c r="U162">
        <f t="shared" ca="1" si="43"/>
        <v>1617.7676196470538</v>
      </c>
      <c r="V162">
        <f t="shared" si="44"/>
        <v>550</v>
      </c>
      <c r="W162">
        <f t="shared" si="63"/>
        <v>5.2192977958184277E-7</v>
      </c>
      <c r="X162">
        <f t="shared" ca="1" si="45"/>
        <v>8.4436109713702928E-4</v>
      </c>
      <c r="Y162">
        <f t="shared" ca="1" si="64"/>
        <v>5.4019983049514449E-2</v>
      </c>
      <c r="Z162" s="6">
        <f t="shared" ca="1" si="46"/>
        <v>-1.9482383334796141E-4</v>
      </c>
      <c r="AA162">
        <f t="shared" ca="1" si="65"/>
        <v>5.3852198845491334E-2</v>
      </c>
      <c r="AB162">
        <f t="shared" ca="1" si="66"/>
        <v>1.0996314284112709E-2</v>
      </c>
      <c r="AC162">
        <f t="shared" ca="1" si="67"/>
        <v>2.2387042725724594E-2</v>
      </c>
      <c r="AD162">
        <f t="shared" ca="1" si="47"/>
        <v>8.7235555855328634E-2</v>
      </c>
      <c r="AE162">
        <f t="shared" ca="1" si="48"/>
        <v>0.15956081056532606</v>
      </c>
      <c r="AG162">
        <f t="shared" ca="1" si="49"/>
        <v>3.453192747051248E-2</v>
      </c>
      <c r="AI162">
        <f t="shared" ca="1" si="50"/>
        <v>8.4367191220826823E-2</v>
      </c>
      <c r="AK162">
        <f t="shared" ca="1" si="51"/>
        <v>46.125479032261708</v>
      </c>
      <c r="AL162" s="6">
        <f t="shared" si="52"/>
        <v>3.0000000000000001E-5</v>
      </c>
      <c r="AM162" s="6">
        <f t="shared" ca="1" si="53"/>
        <v>128779.94078883997</v>
      </c>
      <c r="AN162" s="6">
        <f t="shared" ca="1" si="54"/>
        <v>4.2957334457796236E-3</v>
      </c>
    </row>
    <row r="163" spans="1:40" x14ac:dyDescent="0.25">
      <c r="A163">
        <f t="shared" si="55"/>
        <v>124</v>
      </c>
      <c r="B163">
        <f t="shared" si="35"/>
        <v>5.1495099341755699</v>
      </c>
      <c r="C163">
        <f t="shared" ca="1" si="56"/>
        <v>0.37154429109191223</v>
      </c>
      <c r="D163">
        <f t="shared" si="36"/>
        <v>2500</v>
      </c>
      <c r="E163">
        <f t="shared" ca="1" si="40"/>
        <v>1517.8946676551475</v>
      </c>
      <c r="F163">
        <f t="shared" si="37"/>
        <v>550</v>
      </c>
      <c r="G163">
        <f t="shared" si="38"/>
        <v>5.2192977958184277E-7</v>
      </c>
      <c r="H163">
        <f t="shared" ca="1" si="41"/>
        <v>7.9223442931770558E-4</v>
      </c>
      <c r="I163">
        <f t="shared" ca="1" si="39"/>
        <v>6.6034412762973602E-2</v>
      </c>
      <c r="J163">
        <f t="shared" ca="1" si="57"/>
        <v>4.5389339340899448E-2</v>
      </c>
      <c r="K163">
        <f t="shared" ca="1" si="58"/>
        <v>2.5334547795208238E-3</v>
      </c>
      <c r="L163">
        <f t="shared" ca="1" si="59"/>
        <v>3.084990223031648E-2</v>
      </c>
      <c r="M163">
        <f t="shared" ca="1" si="42"/>
        <v>7.8772696350736748E-2</v>
      </c>
      <c r="Q163">
        <f t="shared" si="60"/>
        <v>124</v>
      </c>
      <c r="R163" s="26">
        <f t="shared" si="68"/>
        <v>4.5114973897105406</v>
      </c>
      <c r="S163">
        <f t="shared" ca="1" si="61"/>
        <v>0.2563338976228885</v>
      </c>
      <c r="T163" s="23">
        <f t="shared" ca="1" si="62"/>
        <v>2499.9999990299316</v>
      </c>
      <c r="U163">
        <f t="shared" ca="1" si="43"/>
        <v>1616.2602153411865</v>
      </c>
      <c r="V163">
        <f t="shared" si="44"/>
        <v>550</v>
      </c>
      <c r="W163">
        <f t="shared" si="63"/>
        <v>5.2192977958184277E-7</v>
      </c>
      <c r="X163">
        <f t="shared" ca="1" si="45"/>
        <v>8.4357433793992717E-4</v>
      </c>
      <c r="Y163">
        <f t="shared" ca="1" si="64"/>
        <v>5.3969648283221192E-2</v>
      </c>
      <c r="Z163" s="6">
        <f t="shared" ca="1" si="46"/>
        <v>-1.9450681733080522E-4</v>
      </c>
      <c r="AA163">
        <f t="shared" ca="1" si="65"/>
        <v>5.3710249741808637E-2</v>
      </c>
      <c r="AB163">
        <f t="shared" ca="1" si="66"/>
        <v>1.0854365180430009E-2</v>
      </c>
      <c r="AC163">
        <f t="shared" ca="1" si="67"/>
        <v>2.2528991829407295E-2</v>
      </c>
      <c r="AD163">
        <f t="shared" ca="1" si="47"/>
        <v>8.709360675164593E-2</v>
      </c>
      <c r="AE163">
        <f t="shared" ca="1" si="48"/>
        <v>0.15930117429911375</v>
      </c>
      <c r="AG163">
        <f t="shared" ca="1" si="49"/>
        <v>3.4475737352890286E-2</v>
      </c>
      <c r="AI163">
        <f t="shared" ca="1" si="50"/>
        <v>8.4504696689031558E-2</v>
      </c>
      <c r="AK163">
        <f t="shared" ca="1" si="51"/>
        <v>46.200656426313465</v>
      </c>
      <c r="AL163" s="6">
        <f t="shared" si="52"/>
        <v>3.0000000000000001E-5</v>
      </c>
      <c r="AM163" s="6">
        <f t="shared" ca="1" si="53"/>
        <v>128779.94078883999</v>
      </c>
      <c r="AN163" s="6">
        <f t="shared" ca="1" si="54"/>
        <v>4.2957334457796236E-3</v>
      </c>
    </row>
    <row r="164" spans="1:40" x14ac:dyDescent="0.25">
      <c r="A164">
        <f t="shared" si="55"/>
        <v>125</v>
      </c>
      <c r="B164">
        <f t="shared" si="35"/>
        <v>5.1910382400963409</v>
      </c>
      <c r="C164">
        <f t="shared" ca="1" si="56"/>
        <v>0.37428658838643147</v>
      </c>
      <c r="D164">
        <f t="shared" si="36"/>
        <v>2500</v>
      </c>
      <c r="E164">
        <f t="shared" ca="1" si="40"/>
        <v>1515.2858021781171</v>
      </c>
      <c r="F164">
        <f t="shared" si="37"/>
        <v>550</v>
      </c>
      <c r="G164">
        <f t="shared" si="38"/>
        <v>5.2192977958184277E-7</v>
      </c>
      <c r="H164">
        <f t="shared" ca="1" si="41"/>
        <v>7.9087278473432047E-4</v>
      </c>
      <c r="I164">
        <f t="shared" ca="1" si="39"/>
        <v>6.5920916811360947E-2</v>
      </c>
      <c r="J164">
        <f t="shared" ca="1" si="57"/>
        <v>4.5191280733570025E-2</v>
      </c>
      <c r="K164">
        <f t="shared" ca="1" si="58"/>
        <v>2.3353961721913931E-3</v>
      </c>
      <c r="L164">
        <f t="shared" ca="1" si="59"/>
        <v>3.104796083764591E-2</v>
      </c>
      <c r="M164">
        <f t="shared" ca="1" si="42"/>
        <v>7.8574637743407325E-2</v>
      </c>
      <c r="Q164">
        <f t="shared" si="60"/>
        <v>125</v>
      </c>
      <c r="R164" s="26">
        <f t="shared" si="68"/>
        <v>4.5478804331759486</v>
      </c>
      <c r="S164">
        <f t="shared" ca="1" si="61"/>
        <v>0.25829747768218969</v>
      </c>
      <c r="T164" s="23">
        <f t="shared" ca="1" si="62"/>
        <v>2499.9999990228548</v>
      </c>
      <c r="U164">
        <f t="shared" ca="1" si="43"/>
        <v>1614.749062829354</v>
      </c>
      <c r="V164">
        <f t="shared" si="44"/>
        <v>550</v>
      </c>
      <c r="W164">
        <f t="shared" si="63"/>
        <v>5.2192977958184277E-7</v>
      </c>
      <c r="X164">
        <f t="shared" ca="1" si="45"/>
        <v>8.427856224425119E-4</v>
      </c>
      <c r="Y164">
        <f t="shared" ca="1" si="64"/>
        <v>5.3919188358023631E-2</v>
      </c>
      <c r="Z164" s="6">
        <f t="shared" ca="1" si="46"/>
        <v>-1.9419009670298683E-4</v>
      </c>
      <c r="AA164">
        <f t="shared" ca="1" si="65"/>
        <v>5.3568432903531367E-2</v>
      </c>
      <c r="AB164">
        <f t="shared" ca="1" si="66"/>
        <v>1.0712548342152739E-2</v>
      </c>
      <c r="AC164">
        <f t="shared" ca="1" si="67"/>
        <v>2.2670808667684565E-2</v>
      </c>
      <c r="AD164">
        <f t="shared" ca="1" si="47"/>
        <v>8.695178991336866E-2</v>
      </c>
      <c r="AE164">
        <f t="shared" ca="1" si="48"/>
        <v>0.15904177995690713</v>
      </c>
      <c r="AG164">
        <f t="shared" ca="1" si="49"/>
        <v>3.4419599592123068E-2</v>
      </c>
      <c r="AI164">
        <f t="shared" ca="1" si="50"/>
        <v>8.4642522361349032E-2</v>
      </c>
      <c r="AK164">
        <f t="shared" ca="1" si="51"/>
        <v>46.276008883299696</v>
      </c>
      <c r="AL164" s="6">
        <f t="shared" si="52"/>
        <v>3.0000000000000001E-5</v>
      </c>
      <c r="AM164" s="6">
        <f t="shared" ca="1" si="53"/>
        <v>128779.94078883999</v>
      </c>
      <c r="AN164" s="6">
        <f t="shared" ca="1" si="54"/>
        <v>4.2957334457796236E-3</v>
      </c>
    </row>
    <row r="165" spans="1:40" x14ac:dyDescent="0.25">
      <c r="A165">
        <f t="shared" si="55"/>
        <v>126</v>
      </c>
      <c r="B165">
        <f t="shared" si="35"/>
        <v>5.2325665460171118</v>
      </c>
      <c r="C165">
        <f t="shared" ca="1" si="56"/>
        <v>0.37702417238635139</v>
      </c>
      <c r="D165">
        <f t="shared" si="36"/>
        <v>2500</v>
      </c>
      <c r="E165">
        <f t="shared" ca="1" si="40"/>
        <v>1512.6675592309</v>
      </c>
      <c r="F165">
        <f t="shared" si="37"/>
        <v>550</v>
      </c>
      <c r="G165">
        <f t="shared" si="38"/>
        <v>5.2192977958184277E-7</v>
      </c>
      <c r="H165">
        <f t="shared" ca="1" si="41"/>
        <v>7.8950624576998773E-4</v>
      </c>
      <c r="I165">
        <f t="shared" ca="1" si="39"/>
        <v>6.5807012902760129E-2</v>
      </c>
      <c r="J165">
        <f t="shared" ca="1" si="57"/>
        <v>4.4993562537386435E-2</v>
      </c>
      <c r="K165">
        <f t="shared" ca="1" si="58"/>
        <v>2.1376779760078103E-3</v>
      </c>
      <c r="L165">
        <f t="shared" ca="1" si="59"/>
        <v>3.1245679033829493E-2</v>
      </c>
      <c r="M165">
        <f t="shared" ca="1" si="42"/>
        <v>7.8376919547223742E-2</v>
      </c>
      <c r="Q165">
        <f t="shared" si="60"/>
        <v>126</v>
      </c>
      <c r="R165" s="26">
        <f t="shared" si="68"/>
        <v>4.5842634766413566</v>
      </c>
      <c r="S165">
        <f t="shared" ca="1" si="61"/>
        <v>0.26025922185583916</v>
      </c>
      <c r="T165" s="23">
        <f t="shared" ca="1" si="62"/>
        <v>2499.9999990157894</v>
      </c>
      <c r="U165">
        <f t="shared" ca="1" si="43"/>
        <v>1613.2341536156343</v>
      </c>
      <c r="V165">
        <f t="shared" si="44"/>
        <v>550</v>
      </c>
      <c r="W165">
        <f t="shared" si="63"/>
        <v>5.2192977958184277E-7</v>
      </c>
      <c r="X165">
        <f t="shared" ca="1" si="45"/>
        <v>8.419949462105087E-4</v>
      </c>
      <c r="Y165">
        <f t="shared" ca="1" si="64"/>
        <v>5.3868602990228637E-2</v>
      </c>
      <c r="Z165" s="6">
        <f t="shared" ca="1" si="46"/>
        <v>-1.9387367219900049E-4</v>
      </c>
      <c r="AA165">
        <f t="shared" ca="1" si="65"/>
        <v>5.3426748659541425E-2</v>
      </c>
      <c r="AB165">
        <f t="shared" ca="1" si="66"/>
        <v>1.0570864098162793E-2</v>
      </c>
      <c r="AC165">
        <f t="shared" ca="1" si="67"/>
        <v>2.281249291167451E-2</v>
      </c>
      <c r="AD165">
        <f t="shared" ca="1" si="47"/>
        <v>8.6810105669378718E-2</v>
      </c>
      <c r="AE165">
        <f t="shared" ca="1" si="48"/>
        <v>0.15878262814025745</v>
      </c>
      <c r="AG165">
        <f t="shared" ca="1" si="49"/>
        <v>3.4363514318397695E-2</v>
      </c>
      <c r="AI165">
        <f t="shared" ca="1" si="50"/>
        <v>8.4780668855903976E-2</v>
      </c>
      <c r="AK165">
        <f t="shared" ca="1" si="51"/>
        <v>46.3515367411634</v>
      </c>
      <c r="AL165" s="6">
        <f t="shared" si="52"/>
        <v>3.0000000000000001E-5</v>
      </c>
      <c r="AM165" s="6">
        <f t="shared" ca="1" si="53"/>
        <v>128779.94078883996</v>
      </c>
      <c r="AN165" s="6">
        <f t="shared" ca="1" si="54"/>
        <v>4.2957334457796236E-3</v>
      </c>
    </row>
    <row r="166" spans="1:40" x14ac:dyDescent="0.25">
      <c r="A166">
        <f t="shared" si="55"/>
        <v>127</v>
      </c>
      <c r="B166">
        <f t="shared" si="35"/>
        <v>5.2740948519378819</v>
      </c>
      <c r="C166">
        <f t="shared" ca="1" si="56"/>
        <v>0.37975702614990925</v>
      </c>
      <c r="D166">
        <f t="shared" si="36"/>
        <v>2500</v>
      </c>
      <c r="E166">
        <f t="shared" ca="1" si="40"/>
        <v>1510.0399161995078</v>
      </c>
      <c r="F166">
        <f t="shared" si="37"/>
        <v>550</v>
      </c>
      <c r="G166">
        <f t="shared" si="38"/>
        <v>5.2192977958184277E-7</v>
      </c>
      <c r="H166">
        <f t="shared" ca="1" si="41"/>
        <v>7.8813480062179348E-4</v>
      </c>
      <c r="I166">
        <f t="shared" ca="1" si="39"/>
        <v>6.5692700053373312E-2</v>
      </c>
      <c r="J166">
        <f t="shared" ca="1" si="57"/>
        <v>4.4796185975943946E-2</v>
      </c>
      <c r="K166">
        <f t="shared" ca="1" si="58"/>
        <v>1.9403014145653215E-3</v>
      </c>
      <c r="L166">
        <f t="shared" ca="1" si="59"/>
        <v>3.1443055595271982E-2</v>
      </c>
      <c r="M166">
        <f t="shared" ca="1" si="42"/>
        <v>7.8179542985781253E-2</v>
      </c>
      <c r="Q166">
        <f t="shared" si="60"/>
        <v>127</v>
      </c>
      <c r="R166" s="26">
        <f t="shared" si="68"/>
        <v>4.6206465201067637</v>
      </c>
      <c r="S166">
        <f t="shared" ca="1" si="61"/>
        <v>0.26221912557985338</v>
      </c>
      <c r="T166" s="23">
        <f t="shared" ca="1" si="62"/>
        <v>2499.9999990087358</v>
      </c>
      <c r="U166">
        <f t="shared" ca="1" si="43"/>
        <v>1611.7154792140782</v>
      </c>
      <c r="V166">
        <f t="shared" si="44"/>
        <v>550</v>
      </c>
      <c r="W166">
        <f t="shared" si="63"/>
        <v>5.2192977958184277E-7</v>
      </c>
      <c r="X166">
        <f t="shared" ca="1" si="45"/>
        <v>8.4120230481484794E-4</v>
      </c>
      <c r="Y166">
        <f t="shared" ca="1" si="64"/>
        <v>5.3817891896476067E-2</v>
      </c>
      <c r="Z166" s="6">
        <f t="shared" ca="1" si="46"/>
        <v>-1.9355754455500571E-4</v>
      </c>
      <c r="AA166">
        <f t="shared" ca="1" si="65"/>
        <v>5.3285197339466163E-2</v>
      </c>
      <c r="AB166">
        <f t="shared" ca="1" si="66"/>
        <v>1.0429312778087532E-2</v>
      </c>
      <c r="AC166">
        <f t="shared" ca="1" si="67"/>
        <v>2.2954044231749772E-2</v>
      </c>
      <c r="AD166">
        <f t="shared" ca="1" si="47"/>
        <v>8.6668554349303456E-2</v>
      </c>
      <c r="AE166">
        <f t="shared" ca="1" si="48"/>
        <v>0.15852371945207952</v>
      </c>
      <c r="AG166">
        <f t="shared" ca="1" si="49"/>
        <v>3.430748166219616E-2</v>
      </c>
      <c r="AI166">
        <f t="shared" ca="1" si="50"/>
        <v>8.491913678909517E-2</v>
      </c>
      <c r="AK166">
        <f t="shared" ca="1" si="51"/>
        <v>46.427240336903942</v>
      </c>
      <c r="AL166" s="6">
        <f t="shared" si="52"/>
        <v>3.0000000000000001E-5</v>
      </c>
      <c r="AM166" s="6">
        <f t="shared" ca="1" si="53"/>
        <v>128779.94078883999</v>
      </c>
      <c r="AN166" s="6">
        <f t="shared" ca="1" si="54"/>
        <v>4.2957334457796236E-3</v>
      </c>
    </row>
    <row r="167" spans="1:40" x14ac:dyDescent="0.25">
      <c r="A167">
        <f t="shared" si="55"/>
        <v>128</v>
      </c>
      <c r="B167">
        <f t="shared" ref="B167:B230" si="69">$B$33*A167/$B$36</f>
        <v>5.3156231578586528</v>
      </c>
      <c r="C167">
        <f t="shared" ca="1" si="56"/>
        <v>0.3824851326944872</v>
      </c>
      <c r="D167">
        <f t="shared" ref="D167:D230" si="70">$B$26</f>
        <v>2500</v>
      </c>
      <c r="E167">
        <f t="shared" ca="1" si="40"/>
        <v>1507.4028507020241</v>
      </c>
      <c r="F167">
        <f t="shared" ref="F167:F230" si="71">$B$27</f>
        <v>550</v>
      </c>
      <c r="G167">
        <f t="shared" ref="G167:G230" si="72">$B$24*EXP(-$B$25/F167)</f>
        <v>5.2192977958184277E-7</v>
      </c>
      <c r="H167">
        <f t="shared" ca="1" si="41"/>
        <v>7.8675843760794893E-4</v>
      </c>
      <c r="I167">
        <f t="shared" ref="I167:I230" ca="1" si="73">H167*$B$32/$B$9</f>
        <v>6.5577977289498768E-2</v>
      </c>
      <c r="J167">
        <f t="shared" ca="1" si="57"/>
        <v>4.4599152275788499E-2</v>
      </c>
      <c r="K167">
        <f t="shared" ca="1" si="58"/>
        <v>1.7432677144098713E-3</v>
      </c>
      <c r="L167">
        <f t="shared" ca="1" si="59"/>
        <v>3.1640089295427436E-2</v>
      </c>
      <c r="M167">
        <f t="shared" ca="1" si="42"/>
        <v>7.7982509285625806E-2</v>
      </c>
      <c r="Q167">
        <f t="shared" si="60"/>
        <v>128</v>
      </c>
      <c r="R167" s="26">
        <f t="shared" si="68"/>
        <v>4.6570295635721717</v>
      </c>
      <c r="S167">
        <f t="shared" ca="1" si="61"/>
        <v>0.26417718427993953</v>
      </c>
      <c r="T167" s="23">
        <f t="shared" ca="1" si="62"/>
        <v>2499.9999990016936</v>
      </c>
      <c r="U167">
        <f t="shared" ca="1" si="43"/>
        <v>1610.1930311491362</v>
      </c>
      <c r="V167">
        <f t="shared" si="44"/>
        <v>550</v>
      </c>
      <c r="W167">
        <f t="shared" si="63"/>
        <v>5.2192977958184277E-7</v>
      </c>
      <c r="X167">
        <f t="shared" ca="1" si="45"/>
        <v>8.4040769383188793E-4</v>
      </c>
      <c r="Y167">
        <f t="shared" ca="1" si="64"/>
        <v>5.3767054793753065E-2</v>
      </c>
      <c r="Z167" s="6">
        <f t="shared" ca="1" si="46"/>
        <v>-1.9324171450882459E-4</v>
      </c>
      <c r="AA167">
        <f t="shared" ca="1" si="65"/>
        <v>5.314377927367752E-2</v>
      </c>
      <c r="AB167">
        <f t="shared" ca="1" si="66"/>
        <v>1.0287894712298892E-2</v>
      </c>
      <c r="AC167">
        <f t="shared" ca="1" si="67"/>
        <v>2.3095462297538411E-2</v>
      </c>
      <c r="AD167">
        <f t="shared" ca="1" si="47"/>
        <v>8.6527136283514813E-2</v>
      </c>
      <c r="AE167">
        <f t="shared" ca="1" si="48"/>
        <v>0.1582650544966501</v>
      </c>
      <c r="AG167">
        <f t="shared" ca="1" si="49"/>
        <v>3.4251501754295179E-2</v>
      </c>
      <c r="AI167">
        <f t="shared" ca="1" si="50"/>
        <v>8.5057926775554515E-2</v>
      </c>
      <c r="AK167">
        <f t="shared" ca="1" si="51"/>
        <v>46.503120006554632</v>
      </c>
      <c r="AL167" s="6">
        <f t="shared" si="52"/>
        <v>3.0000000000000001E-5</v>
      </c>
      <c r="AM167" s="6">
        <f t="shared" ca="1" si="53"/>
        <v>128779.94078883994</v>
      </c>
      <c r="AN167" s="6">
        <f t="shared" ca="1" si="54"/>
        <v>4.2957334457796236E-3</v>
      </c>
    </row>
    <row r="168" spans="1:40" x14ac:dyDescent="0.25">
      <c r="A168">
        <f t="shared" si="55"/>
        <v>129</v>
      </c>
      <c r="B168">
        <f t="shared" si="69"/>
        <v>5.3571514637794238</v>
      </c>
      <c r="C168">
        <f t="shared" ca="1" si="56"/>
        <v>0.38520847499703087</v>
      </c>
      <c r="D168">
        <f t="shared" si="70"/>
        <v>2500</v>
      </c>
      <c r="E168">
        <f t="shared" ref="E168:E197" ca="1" si="74">D168*$B$9*(1-C168)/($B$9+$B$10-$B$9*C168)</f>
        <v>1504.75634059443</v>
      </c>
      <c r="F168">
        <f t="shared" si="71"/>
        <v>550</v>
      </c>
      <c r="G168">
        <f t="shared" si="72"/>
        <v>5.2192977958184277E-7</v>
      </c>
      <c r="H168">
        <f t="shared" ref="H168:H231" ca="1" si="75">G168*E168</f>
        <v>7.8537714517083117E-4</v>
      </c>
      <c r="I168">
        <f t="shared" ca="1" si="73"/>
        <v>6.5462843647784208E-2</v>
      </c>
      <c r="J168">
        <f t="shared" ca="1" si="57"/>
        <v>4.4402462666386512E-2</v>
      </c>
      <c r="K168">
        <f t="shared" ca="1" si="58"/>
        <v>1.5465781050078807E-3</v>
      </c>
      <c r="L168">
        <f t="shared" ca="1" si="59"/>
        <v>3.1836778904829423E-2</v>
      </c>
      <c r="M168">
        <f t="shared" ref="M168:M231" ca="1" si="76">J168+K168+L168</f>
        <v>7.7785819676223805E-2</v>
      </c>
      <c r="Q168">
        <f t="shared" si="60"/>
        <v>129</v>
      </c>
      <c r="R168" s="26">
        <f t="shared" si="68"/>
        <v>4.6934126070375788</v>
      </c>
      <c r="S168">
        <f t="shared" ca="1" si="61"/>
        <v>0.26613339337150754</v>
      </c>
      <c r="T168" s="23">
        <f t="shared" ca="1" si="62"/>
        <v>2499.9999989946627</v>
      </c>
      <c r="U168">
        <f t="shared" ref="U168:U197" ca="1" si="77">T168*$B$9*(1-S168)/($B$9+$B$10-$B$9*S168)</f>
        <v>1608.6668009560995</v>
      </c>
      <c r="V168">
        <f t="shared" ref="V168:V231" si="78">$R$27</f>
        <v>550</v>
      </c>
      <c r="W168">
        <f t="shared" si="63"/>
        <v>5.2192977958184277E-7</v>
      </c>
      <c r="X168">
        <f t="shared" ref="X168:X231" ca="1" si="79">W168*U168</f>
        <v>8.3961110884364512E-4</v>
      </c>
      <c r="Y168">
        <f t="shared" ca="1" si="64"/>
        <v>5.3716091399408777E-2</v>
      </c>
      <c r="Z168" s="6">
        <f t="shared" ref="Z168:Z231" ca="1" si="80">-32*AN168*AK168*AE168^2/PI()^2/$R$31^5</f>
        <v>-1.9292618279994036E-4</v>
      </c>
      <c r="AA168">
        <f t="shared" ca="1" si="65"/>
        <v>5.3002494793291138E-2</v>
      </c>
      <c r="AB168">
        <f t="shared" ca="1" si="66"/>
        <v>1.014661023191251E-2</v>
      </c>
      <c r="AC168">
        <f t="shared" ca="1" si="67"/>
        <v>2.3236746777924793E-2</v>
      </c>
      <c r="AD168">
        <f t="shared" ref="AD168:AD231" ca="1" si="81">AA168+AB168+AC168</f>
        <v>8.6385851803128452E-2</v>
      </c>
      <c r="AE168">
        <f t="shared" ref="AE168:AE231" ca="1" si="82">8.314*AD168*V168/T168</f>
        <v>0.1580066338796062</v>
      </c>
      <c r="AG168">
        <f t="shared" ref="AG168:AG231" ca="1" si="83">AE168/$R$32</f>
        <v>3.4195574725765884E-2</v>
      </c>
      <c r="AI168">
        <f t="shared" ref="AI168:AI231" ca="1" si="84">(AA168*$B$5+AB168*$B$6+AC168*$B$7)/AD168/1000</f>
        <v>8.5197039428105692E-2</v>
      </c>
      <c r="AK168">
        <f t="shared" ref="AK168:AK231" ca="1" si="85">AD168*1000*AI168/AE168</f>
        <v>46.579176085160277</v>
      </c>
      <c r="AL168" s="6">
        <f t="shared" ref="AL168:AL231" si="86">$R$34</f>
        <v>3.0000000000000001E-5</v>
      </c>
      <c r="AM168" s="6">
        <f t="shared" ref="AM168:AM231" ca="1" si="87">$R$31*AG168*AK168/AL168</f>
        <v>128779.94078883996</v>
      </c>
      <c r="AN168" s="6">
        <f t="shared" ref="AN168:AN231" ca="1" si="88">0.0014+0.125*AM168^-0.32</f>
        <v>4.2957334457796236E-3</v>
      </c>
    </row>
    <row r="169" spans="1:40" x14ac:dyDescent="0.25">
      <c r="A169">
        <f t="shared" ref="A169:A213" si="89">A168+1</f>
        <v>130</v>
      </c>
      <c r="B169">
        <f t="shared" si="69"/>
        <v>5.3986797697001938</v>
      </c>
      <c r="C169">
        <f t="shared" ref="C169:C232" ca="1" si="90">C168+(B169-B168)*I168</f>
        <v>0.38792703599447959</v>
      </c>
      <c r="D169">
        <f t="shared" si="70"/>
        <v>2500</v>
      </c>
      <c r="E169">
        <f t="shared" ca="1" si="74"/>
        <v>1502.1003639765004</v>
      </c>
      <c r="F169">
        <f t="shared" si="71"/>
        <v>550</v>
      </c>
      <c r="G169">
        <f t="shared" si="72"/>
        <v>5.2192977958184277E-7</v>
      </c>
      <c r="H169">
        <f t="shared" ca="1" si="75"/>
        <v>7.8399091188006064E-4</v>
      </c>
      <c r="I169">
        <f t="shared" ca="1" si="73"/>
        <v>6.5347298175483348E-2</v>
      </c>
      <c r="J169">
        <f t="shared" ref="J169:J222" ca="1" si="91">$B$9*(1-C169)</f>
        <v>4.4206118380093806E-2</v>
      </c>
      <c r="K169">
        <f t="shared" ref="K169:K232" ca="1" si="92">$B$10-$B$9*C169</f>
        <v>1.3502338187151783E-3</v>
      </c>
      <c r="L169">
        <f t="shared" ref="L169:L232" ca="1" si="93">$B$11+$B$9*C169</f>
        <v>3.2033123191122129E-2</v>
      </c>
      <c r="M169">
        <f t="shared" ca="1" si="76"/>
        <v>7.7589475389931106E-2</v>
      </c>
      <c r="Q169">
        <f t="shared" ref="Q169:Q213" si="94">Q168+1</f>
        <v>130</v>
      </c>
      <c r="R169" s="26">
        <f t="shared" si="68"/>
        <v>4.7297956505029868</v>
      </c>
      <c r="S169">
        <f t="shared" ref="S169:S232" ca="1" si="95">S168+(R169-R168)*Y168</f>
        <v>0.26808774825968407</v>
      </c>
      <c r="T169" s="23">
        <f t="shared" ref="T169:T232" ca="1" si="96">T168+(R169-R168)*Z168/1000</f>
        <v>2499.9999989876437</v>
      </c>
      <c r="U169">
        <f t="shared" ca="1" si="77"/>
        <v>1607.1367801815368</v>
      </c>
      <c r="V169">
        <f t="shared" si="78"/>
        <v>550</v>
      </c>
      <c r="W169">
        <f t="shared" ref="W169:W232" si="97">$R$24*EXP(-$R$25/V169)</f>
        <v>5.2192977958184277E-7</v>
      </c>
      <c r="X169">
        <f t="shared" ca="1" si="79"/>
        <v>8.3881254543802198E-4</v>
      </c>
      <c r="Y169">
        <f t="shared" ref="Y169:Y232" ca="1" si="98">X169*$R$32/$B$9</f>
        <v>5.3665001431168896E-2</v>
      </c>
      <c r="Z169" s="6">
        <f t="shared" ca="1" si="80"/>
        <v>-1.926109501694945E-4</v>
      </c>
      <c r="AA169">
        <f t="shared" ref="AA169:AA232" ca="1" si="99">$B$9*(1-S169)</f>
        <v>5.2861344230165357E-2</v>
      </c>
      <c r="AB169">
        <f t="shared" ref="AB169:AB232" ca="1" si="100">$B$10-$B$9*S169</f>
        <v>1.0005459668786729E-2</v>
      </c>
      <c r="AC169">
        <f t="shared" ref="AC169:AC232" ca="1" si="101">$B$11+$B$9*S169</f>
        <v>2.3377897341050575E-2</v>
      </c>
      <c r="AD169">
        <f t="shared" ca="1" si="81"/>
        <v>8.624470124000265E-2</v>
      </c>
      <c r="AE169">
        <f t="shared" ca="1" si="82"/>
        <v>0.15774845820794312</v>
      </c>
      <c r="AG169">
        <f t="shared" ca="1" si="83"/>
        <v>3.4139700707973335E-2</v>
      </c>
      <c r="AI169">
        <f t="shared" ca="1" si="84"/>
        <v>8.5336475357722569E-2</v>
      </c>
      <c r="AK169">
        <f t="shared" ca="1" si="85"/>
        <v>46.655408906754325</v>
      </c>
      <c r="AL169" s="6">
        <f t="shared" si="86"/>
        <v>3.0000000000000001E-5</v>
      </c>
      <c r="AM169" s="6">
        <f t="shared" ca="1" si="87"/>
        <v>128779.94078884</v>
      </c>
      <c r="AN169" s="6">
        <f t="shared" ca="1" si="88"/>
        <v>4.2957334457796236E-3</v>
      </c>
    </row>
    <row r="170" spans="1:40" x14ac:dyDescent="0.25">
      <c r="A170">
        <f t="shared" si="89"/>
        <v>131</v>
      </c>
      <c r="B170">
        <f t="shared" si="69"/>
        <v>5.4402080756209648</v>
      </c>
      <c r="C170">
        <f t="shared" ca="1" si="90"/>
        <v>0.39064079858420692</v>
      </c>
      <c r="D170">
        <f t="shared" si="70"/>
        <v>2500</v>
      </c>
      <c r="E170">
        <f t="shared" ca="1" si="74"/>
        <v>1499.4348991977783</v>
      </c>
      <c r="F170">
        <f t="shared" si="71"/>
        <v>550</v>
      </c>
      <c r="G170">
        <f t="shared" si="72"/>
        <v>5.2192977958184277E-7</v>
      </c>
      <c r="H170">
        <f t="shared" ca="1" si="75"/>
        <v>7.8259972643561905E-4</v>
      </c>
      <c r="I170">
        <f t="shared" ca="1" si="73"/>
        <v>6.5231339930715809E-2</v>
      </c>
      <c r="J170">
        <f t="shared" ca="1" si="91"/>
        <v>4.4010120652123792E-2</v>
      </c>
      <c r="K170">
        <f t="shared" ca="1" si="92"/>
        <v>1.1542360907451608E-3</v>
      </c>
      <c r="L170">
        <f t="shared" ca="1" si="93"/>
        <v>3.2229120919092143E-2</v>
      </c>
      <c r="M170">
        <f t="shared" ca="1" si="76"/>
        <v>7.7393477661961085E-2</v>
      </c>
      <c r="Q170">
        <f t="shared" si="94"/>
        <v>131</v>
      </c>
      <c r="R170" s="26">
        <f t="shared" si="68"/>
        <v>4.7661786939683939</v>
      </c>
      <c r="S170">
        <f t="shared" ca="1" si="95"/>
        <v>0.27004024433932544</v>
      </c>
      <c r="T170" s="23">
        <f t="shared" ca="1" si="96"/>
        <v>2499.9999989806361</v>
      </c>
      <c r="U170">
        <f t="shared" ca="1" si="77"/>
        <v>1605.6029603837453</v>
      </c>
      <c r="V170">
        <f t="shared" si="78"/>
        <v>550</v>
      </c>
      <c r="W170">
        <f t="shared" si="97"/>
        <v>5.2192977958184277E-7</v>
      </c>
      <c r="X170">
        <f t="shared" ca="1" si="79"/>
        <v>8.3801199920904238E-4</v>
      </c>
      <c r="Y170">
        <f t="shared" ca="1" si="98"/>
        <v>5.3613784607150751E-2</v>
      </c>
      <c r="Z170" s="6">
        <f t="shared" ca="1" si="80"/>
        <v>-1.9229601736028547E-4</v>
      </c>
      <c r="AA170">
        <f t="shared" ca="1" si="99"/>
        <v>5.2720327916900261E-2</v>
      </c>
      <c r="AB170">
        <f t="shared" ca="1" si="100"/>
        <v>9.864443355521637E-3</v>
      </c>
      <c r="AC170">
        <f t="shared" ca="1" si="101"/>
        <v>2.3518913654315667E-2</v>
      </c>
      <c r="AD170">
        <f t="shared" ca="1" si="81"/>
        <v>8.6103684926737561E-2</v>
      </c>
      <c r="AE170">
        <f t="shared" ca="1" si="82"/>
        <v>0.15749052809001318</v>
      </c>
      <c r="AG170">
        <f t="shared" ca="1" si="83"/>
        <v>3.4083879832576297E-2</v>
      </c>
      <c r="AI170">
        <f t="shared" ca="1" si="84"/>
        <v>8.5476235173486806E-2</v>
      </c>
      <c r="AK170">
        <f t="shared" ca="1" si="85"/>
        <v>46.731818804335653</v>
      </c>
      <c r="AL170" s="6">
        <f t="shared" si="86"/>
        <v>3.0000000000000001E-5</v>
      </c>
      <c r="AM170" s="6">
        <f t="shared" ca="1" si="87"/>
        <v>128779.94078883999</v>
      </c>
      <c r="AN170" s="6">
        <f t="shared" ca="1" si="88"/>
        <v>4.2957334457796236E-3</v>
      </c>
    </row>
    <row r="171" spans="1:40" x14ac:dyDescent="0.25">
      <c r="A171">
        <f t="shared" si="89"/>
        <v>132</v>
      </c>
      <c r="B171">
        <f t="shared" si="69"/>
        <v>5.4817363815417357</v>
      </c>
      <c r="C171">
        <f t="shared" ca="1" si="90"/>
        <v>0.3933497456244715</v>
      </c>
      <c r="D171">
        <f t="shared" si="70"/>
        <v>2500</v>
      </c>
      <c r="E171">
        <f t="shared" ca="1" si="74"/>
        <v>1496.7599248636179</v>
      </c>
      <c r="F171">
        <f t="shared" si="71"/>
        <v>550</v>
      </c>
      <c r="G171">
        <f t="shared" si="72"/>
        <v>5.2192977958184277E-7</v>
      </c>
      <c r="H171">
        <f t="shared" ca="1" si="75"/>
        <v>7.8120357767100365E-4</v>
      </c>
      <c r="I171">
        <f t="shared" ca="1" si="73"/>
        <v>6.511496798272999E-2</v>
      </c>
      <c r="J171">
        <f t="shared" ca="1" si="91"/>
        <v>4.3814470720514885E-2</v>
      </c>
      <c r="K171">
        <f t="shared" ca="1" si="92"/>
        <v>9.5858615913625364E-4</v>
      </c>
      <c r="L171">
        <f t="shared" ca="1" si="93"/>
        <v>3.242477085070105E-2</v>
      </c>
      <c r="M171">
        <f t="shared" ca="1" si="76"/>
        <v>7.7197827730352192E-2</v>
      </c>
      <c r="Q171">
        <f t="shared" si="94"/>
        <v>132</v>
      </c>
      <c r="R171" s="26">
        <f t="shared" si="68"/>
        <v>4.8025617374338019</v>
      </c>
      <c r="S171">
        <f t="shared" ca="1" si="95"/>
        <v>0.27199087699503244</v>
      </c>
      <c r="T171" s="23">
        <f t="shared" ca="1" si="96"/>
        <v>2499.9999989736398</v>
      </c>
      <c r="U171">
        <f t="shared" ca="1" si="77"/>
        <v>1604.0653331331966</v>
      </c>
      <c r="V171">
        <f t="shared" si="78"/>
        <v>550</v>
      </c>
      <c r="W171">
        <f t="shared" si="97"/>
        <v>5.2192977958184277E-7</v>
      </c>
      <c r="X171">
        <f t="shared" ca="1" si="79"/>
        <v>8.3720946575708448E-4</v>
      </c>
      <c r="Y171">
        <f t="shared" ca="1" si="98"/>
        <v>5.3562440645878222E-2</v>
      </c>
      <c r="Z171" s="6">
        <f t="shared" ca="1" si="80"/>
        <v>-1.9198138511676601E-4</v>
      </c>
      <c r="AA171">
        <f t="shared" ca="1" si="99"/>
        <v>5.2579446186836652E-2</v>
      </c>
      <c r="AB171">
        <f t="shared" ca="1" si="100"/>
        <v>9.7235616254580243E-3</v>
      </c>
      <c r="AC171">
        <f t="shared" ca="1" si="101"/>
        <v>2.3659795384379279E-2</v>
      </c>
      <c r="AD171">
        <f t="shared" ca="1" si="81"/>
        <v>8.5962803196673959E-2</v>
      </c>
      <c r="AE171">
        <f t="shared" ca="1" si="82"/>
        <v>0.15723284413552344</v>
      </c>
      <c r="AG171">
        <f t="shared" ca="1" si="83"/>
        <v>3.4028112231526714E-2</v>
      </c>
      <c r="AI171">
        <f t="shared" ca="1" si="84"/>
        <v>8.5616319482545611E-2</v>
      </c>
      <c r="AK171">
        <f t="shared" ca="1" si="85"/>
        <v>46.808406109845571</v>
      </c>
      <c r="AL171" s="6">
        <f t="shared" si="86"/>
        <v>3.0000000000000001E-5</v>
      </c>
      <c r="AM171" s="6">
        <f t="shared" ca="1" si="87"/>
        <v>128779.94078883999</v>
      </c>
      <c r="AN171" s="6">
        <f t="shared" ca="1" si="88"/>
        <v>4.2957334457796236E-3</v>
      </c>
    </row>
    <row r="172" spans="1:40" x14ac:dyDescent="0.25">
      <c r="A172">
        <f t="shared" si="89"/>
        <v>133</v>
      </c>
      <c r="B172">
        <f t="shared" si="69"/>
        <v>5.5232646874625058</v>
      </c>
      <c r="C172">
        <f t="shared" ca="1" si="90"/>
        <v>0.39605385993487946</v>
      </c>
      <c r="D172">
        <f t="shared" si="70"/>
        <v>2500</v>
      </c>
      <c r="E172">
        <f t="shared" ca="1" si="74"/>
        <v>1494.0754198413047</v>
      </c>
      <c r="F172">
        <f t="shared" si="71"/>
        <v>550</v>
      </c>
      <c r="G172">
        <f t="shared" si="72"/>
        <v>5.2192977958184277E-7</v>
      </c>
      <c r="H172">
        <f t="shared" ca="1" si="75"/>
        <v>7.7980245455642138E-4</v>
      </c>
      <c r="I172">
        <f t="shared" ca="1" si="73"/>
        <v>6.4998181412169356E-2</v>
      </c>
      <c r="J172">
        <f t="shared" ca="1" si="91"/>
        <v>4.3619169826097128E-2</v>
      </c>
      <c r="K172">
        <f t="shared" ca="1" si="92"/>
        <v>7.632852647185065E-4</v>
      </c>
      <c r="L172">
        <f t="shared" ca="1" si="93"/>
        <v>3.26200717451188E-2</v>
      </c>
      <c r="M172">
        <f t="shared" ca="1" si="76"/>
        <v>7.7002526835934434E-2</v>
      </c>
      <c r="Q172">
        <f t="shared" si="94"/>
        <v>133</v>
      </c>
      <c r="R172" s="26">
        <f t="shared" si="68"/>
        <v>4.838944780899209</v>
      </c>
      <c r="S172">
        <f t="shared" ca="1" si="95"/>
        <v>0.27393964160116474</v>
      </c>
      <c r="T172" s="23">
        <f t="shared" ca="1" si="96"/>
        <v>2499.9999989666549</v>
      </c>
      <c r="U172">
        <f t="shared" ca="1" si="77"/>
        <v>1602.5238900129968</v>
      </c>
      <c r="V172">
        <f t="shared" si="78"/>
        <v>550</v>
      </c>
      <c r="W172">
        <f t="shared" si="97"/>
        <v>5.2192977958184277E-7</v>
      </c>
      <c r="X172">
        <f t="shared" ca="1" si="79"/>
        <v>8.3640494068912068E-4</v>
      </c>
      <c r="Y172">
        <f t="shared" ca="1" si="98"/>
        <v>5.3510969266297052E-2</v>
      </c>
      <c r="Z172" s="6">
        <f t="shared" ca="1" si="80"/>
        <v>-1.9166705418504021E-4</v>
      </c>
      <c r="AA172">
        <f t="shared" ca="1" si="99"/>
        <v>5.2438699374054959E-2</v>
      </c>
      <c r="AB172">
        <f t="shared" ca="1" si="100"/>
        <v>9.582814812676331E-3</v>
      </c>
      <c r="AC172">
        <f t="shared" ca="1" si="101"/>
        <v>2.3800542197160972E-2</v>
      </c>
      <c r="AD172">
        <f t="shared" ca="1" si="81"/>
        <v>8.5822056383892259E-2</v>
      </c>
      <c r="AE172">
        <f t="shared" ca="1" si="82"/>
        <v>0.15697540695553355</v>
      </c>
      <c r="AG172">
        <f t="shared" ca="1" si="83"/>
        <v>3.3972398037069272E-2</v>
      </c>
      <c r="AI172">
        <f t="shared" ca="1" si="84"/>
        <v>8.5756728890068606E-2</v>
      </c>
      <c r="AK172">
        <f t="shared" ca="1" si="85"/>
        <v>46.88517115414421</v>
      </c>
      <c r="AL172" s="6">
        <f t="shared" si="86"/>
        <v>3.0000000000000001E-5</v>
      </c>
      <c r="AM172" s="6">
        <f t="shared" ca="1" si="87"/>
        <v>128779.94078883997</v>
      </c>
      <c r="AN172" s="6">
        <f t="shared" ca="1" si="88"/>
        <v>4.2957334457796236E-3</v>
      </c>
    </row>
    <row r="173" spans="1:40" x14ac:dyDescent="0.25">
      <c r="A173">
        <f t="shared" si="89"/>
        <v>134</v>
      </c>
      <c r="B173">
        <f t="shared" si="69"/>
        <v>5.5647929933832767</v>
      </c>
      <c r="C173">
        <f t="shared" ca="1" si="90"/>
        <v>0.39875312429685777</v>
      </c>
      <c r="D173">
        <f t="shared" si="70"/>
        <v>2500</v>
      </c>
      <c r="E173">
        <f t="shared" ca="1" si="74"/>
        <v>1491.3813632662495</v>
      </c>
      <c r="F173">
        <f t="shared" si="71"/>
        <v>550</v>
      </c>
      <c r="G173">
        <f t="shared" si="72"/>
        <v>5.2192977958184277E-7</v>
      </c>
      <c r="H173">
        <f t="shared" ca="1" si="75"/>
        <v>7.783963462020218E-4</v>
      </c>
      <c r="I173">
        <f t="shared" ca="1" si="73"/>
        <v>6.4880979311341888E-2</v>
      </c>
      <c r="J173">
        <f t="shared" ca="1" si="91"/>
        <v>4.3424219212458023E-2</v>
      </c>
      <c r="K173">
        <f t="shared" ca="1" si="92"/>
        <v>5.683346510794024E-4</v>
      </c>
      <c r="L173">
        <f t="shared" ca="1" si="93"/>
        <v>3.2815022358757905E-2</v>
      </c>
      <c r="M173">
        <f t="shared" ca="1" si="76"/>
        <v>7.6807576222295337E-2</v>
      </c>
      <c r="Q173">
        <f t="shared" si="94"/>
        <v>134</v>
      </c>
      <c r="R173" s="26">
        <f t="shared" si="68"/>
        <v>4.875327824364617</v>
      </c>
      <c r="S173">
        <f t="shared" ca="1" si="95"/>
        <v>0.27588653352185655</v>
      </c>
      <c r="T173" s="23">
        <f t="shared" ca="1" si="96"/>
        <v>2499.9999989596813</v>
      </c>
      <c r="U173">
        <f t="shared" ca="1" si="77"/>
        <v>1600.9786226193469</v>
      </c>
      <c r="V173">
        <f t="shared" si="78"/>
        <v>550</v>
      </c>
      <c r="W173">
        <f t="shared" si="97"/>
        <v>5.2192977958184277E-7</v>
      </c>
      <c r="X173">
        <f t="shared" ca="1" si="79"/>
        <v>8.3559841961895797E-4</v>
      </c>
      <c r="Y173">
        <f t="shared" ca="1" si="98"/>
        <v>5.3459370187790248E-2</v>
      </c>
      <c r="Z173" s="6">
        <f t="shared" ca="1" si="80"/>
        <v>-1.9135302531286206E-4</v>
      </c>
      <c r="AA173">
        <f t="shared" ca="1" si="99"/>
        <v>5.2298087813374139E-2</v>
      </c>
      <c r="AB173">
        <f t="shared" ca="1" si="100"/>
        <v>9.4422032519955144E-3</v>
      </c>
      <c r="AC173">
        <f t="shared" ca="1" si="101"/>
        <v>2.3941153757841789E-2</v>
      </c>
      <c r="AD173">
        <f t="shared" ca="1" si="81"/>
        <v>8.5681444823211439E-2</v>
      </c>
      <c r="AE173">
        <f t="shared" ca="1" si="82"/>
        <v>0.15671821716245435</v>
      </c>
      <c r="AG173">
        <f t="shared" ca="1" si="83"/>
        <v>3.3916737381741058E-2</v>
      </c>
      <c r="AI173">
        <f t="shared" ca="1" si="84"/>
        <v>8.5897463999204476E-2</v>
      </c>
      <c r="AK173">
        <f t="shared" ca="1" si="85"/>
        <v>46.962114266986774</v>
      </c>
      <c r="AL173" s="6">
        <f t="shared" si="86"/>
        <v>3.0000000000000001E-5</v>
      </c>
      <c r="AM173" s="6">
        <f t="shared" ca="1" si="87"/>
        <v>128779.94078883996</v>
      </c>
      <c r="AN173" s="6">
        <f t="shared" ca="1" si="88"/>
        <v>4.2957334457796236E-3</v>
      </c>
    </row>
    <row r="174" spans="1:40" x14ac:dyDescent="0.25">
      <c r="A174">
        <f t="shared" si="89"/>
        <v>135</v>
      </c>
      <c r="B174">
        <f t="shared" si="69"/>
        <v>5.6063212993040477</v>
      </c>
      <c r="C174">
        <f t="shared" ca="1" si="90"/>
        <v>0.40144752145413837</v>
      </c>
      <c r="D174">
        <f t="shared" si="70"/>
        <v>2500</v>
      </c>
      <c r="E174">
        <f t="shared" ca="1" si="74"/>
        <v>1488.6777345482576</v>
      </c>
      <c r="F174">
        <f t="shared" si="71"/>
        <v>550</v>
      </c>
      <c r="G174">
        <f t="shared" si="72"/>
        <v>5.2192977958184277E-7</v>
      </c>
      <c r="H174">
        <f t="shared" ca="1" si="75"/>
        <v>7.7698524186116912E-4</v>
      </c>
      <c r="I174">
        <f t="shared" ca="1" si="73"/>
        <v>6.4763360784492796E-2</v>
      </c>
      <c r="J174">
        <f t="shared" ca="1" si="91"/>
        <v>4.3229620125907524E-2</v>
      </c>
      <c r="K174">
        <f t="shared" ca="1" si="92"/>
        <v>3.7373556452889589E-4</v>
      </c>
      <c r="L174">
        <f t="shared" ca="1" si="93"/>
        <v>3.3009621445308411E-2</v>
      </c>
      <c r="M174">
        <f t="shared" ca="1" si="76"/>
        <v>7.6612977135744831E-2</v>
      </c>
      <c r="Q174">
        <f t="shared" si="94"/>
        <v>135</v>
      </c>
      <c r="R174" s="26">
        <f t="shared" si="68"/>
        <v>4.911710867830025</v>
      </c>
      <c r="S174">
        <f t="shared" ca="1" si="95"/>
        <v>0.27783154811103228</v>
      </c>
      <c r="T174" s="23">
        <f t="shared" ca="1" si="96"/>
        <v>2499.9999989527191</v>
      </c>
      <c r="U174">
        <f t="shared" ca="1" si="77"/>
        <v>1599.4295225620067</v>
      </c>
      <c r="V174">
        <f t="shared" si="78"/>
        <v>550</v>
      </c>
      <c r="W174">
        <f t="shared" si="97"/>
        <v>5.2192977958184277E-7</v>
      </c>
      <c r="X174">
        <f t="shared" ca="1" si="79"/>
        <v>8.3478989816748012E-4</v>
      </c>
      <c r="Y174">
        <f t="shared" ca="1" si="98"/>
        <v>5.3407643130193569E-2</v>
      </c>
      <c r="Z174" s="6">
        <f t="shared" ca="1" si="80"/>
        <v>-1.9103929924963207E-4</v>
      </c>
      <c r="AA174">
        <f t="shared" ca="1" si="99"/>
        <v>5.2157611840350546E-2</v>
      </c>
      <c r="AB174">
        <f t="shared" ca="1" si="100"/>
        <v>9.3017272789719177E-3</v>
      </c>
      <c r="AC174">
        <f t="shared" ca="1" si="101"/>
        <v>2.4081629730865386E-2</v>
      </c>
      <c r="AD174">
        <f t="shared" ca="1" si="81"/>
        <v>8.5540968850187846E-2</v>
      </c>
      <c r="AE174">
        <f t="shared" ca="1" si="82"/>
        <v>0.15646127537004517</v>
      </c>
      <c r="AG174">
        <f t="shared" ca="1" si="83"/>
        <v>3.3861130398371013E-2</v>
      </c>
      <c r="AI174">
        <f t="shared" ca="1" si="84"/>
        <v>8.6038525411037209E-2</v>
      </c>
      <c r="AK174">
        <f t="shared" ca="1" si="85"/>
        <v>47.039235776999696</v>
      </c>
      <c r="AL174" s="6">
        <f t="shared" si="86"/>
        <v>3.0000000000000001E-5</v>
      </c>
      <c r="AM174" s="6">
        <f t="shared" ca="1" si="87"/>
        <v>128779.94078883999</v>
      </c>
      <c r="AN174" s="6">
        <f t="shared" ca="1" si="88"/>
        <v>4.2957334457796236E-3</v>
      </c>
    </row>
    <row r="175" spans="1:40" x14ac:dyDescent="0.25">
      <c r="A175">
        <f t="shared" si="89"/>
        <v>136</v>
      </c>
      <c r="B175">
        <f t="shared" si="69"/>
        <v>5.6478496052248177</v>
      </c>
      <c r="C175">
        <f t="shared" ca="1" si="90"/>
        <v>0.40413703411325397</v>
      </c>
      <c r="D175">
        <f t="shared" si="70"/>
        <v>2500</v>
      </c>
      <c r="E175">
        <f t="shared" ca="1" si="74"/>
        <v>1485.9645133778697</v>
      </c>
      <c r="F175">
        <f t="shared" si="71"/>
        <v>550</v>
      </c>
      <c r="G175">
        <f t="shared" si="72"/>
        <v>5.2192977958184277E-7</v>
      </c>
      <c r="H175">
        <f t="shared" ca="1" si="75"/>
        <v>7.7556913093375184E-4</v>
      </c>
      <c r="I175">
        <f t="shared" ca="1" si="73"/>
        <v>6.4645324948080368E-2</v>
      </c>
      <c r="J175">
        <f t="shared" ca="1" si="91"/>
        <v>4.3035373815442236E-2</v>
      </c>
      <c r="K175">
        <f t="shared" ca="1" si="92"/>
        <v>1.7948925406360838E-4</v>
      </c>
      <c r="L175">
        <f t="shared" ca="1" si="93"/>
        <v>3.3203867755773699E-2</v>
      </c>
      <c r="M175">
        <f t="shared" ca="1" si="76"/>
        <v>7.6418730825279543E-2</v>
      </c>
      <c r="Q175">
        <f t="shared" si="94"/>
        <v>136</v>
      </c>
      <c r="R175" s="26">
        <f t="shared" si="68"/>
        <v>4.9480939112954321</v>
      </c>
      <c r="S175">
        <f t="shared" ca="1" si="95"/>
        <v>0.27977468071242306</v>
      </c>
      <c r="T175" s="23">
        <f t="shared" ca="1" si="96"/>
        <v>2499.9999989457683</v>
      </c>
      <c r="U175">
        <f t="shared" ca="1" si="77"/>
        <v>1597.8765814647695</v>
      </c>
      <c r="V175">
        <f t="shared" si="78"/>
        <v>550</v>
      </c>
      <c r="W175">
        <f t="shared" si="97"/>
        <v>5.2192977958184277E-7</v>
      </c>
      <c r="X175">
        <f t="shared" ca="1" si="79"/>
        <v>8.3397937196289559E-4</v>
      </c>
      <c r="Y175">
        <f t="shared" ca="1" si="98"/>
        <v>5.3355787813811388E-2</v>
      </c>
      <c r="Z175" s="6">
        <f t="shared" ca="1" si="80"/>
        <v>-1.9072587674639471E-4</v>
      </c>
      <c r="AA175">
        <f t="shared" ca="1" si="99"/>
        <v>5.2017271791276715E-2</v>
      </c>
      <c r="AB175">
        <f t="shared" ca="1" si="100"/>
        <v>9.1613872298980867E-3</v>
      </c>
      <c r="AC175">
        <f t="shared" ca="1" si="101"/>
        <v>2.4221969779939217E-2</v>
      </c>
      <c r="AD175">
        <f t="shared" ca="1" si="81"/>
        <v>8.5400628801114015E-2</v>
      </c>
      <c r="AE175">
        <f t="shared" ca="1" si="82"/>
        <v>0.15620458219341193</v>
      </c>
      <c r="AG175">
        <f t="shared" ca="1" si="83"/>
        <v>3.3805577220079493E-2</v>
      </c>
      <c r="AI175">
        <f t="shared" ca="1" si="84"/>
        <v>8.6179913724541854E-2</v>
      </c>
      <c r="AK175">
        <f t="shared" ca="1" si="85"/>
        <v>47.116536011656358</v>
      </c>
      <c r="AL175" s="6">
        <f t="shared" si="86"/>
        <v>3.0000000000000001E-5</v>
      </c>
      <c r="AM175" s="6">
        <f t="shared" ca="1" si="87"/>
        <v>128779.94078883994</v>
      </c>
      <c r="AN175" s="6">
        <f t="shared" ca="1" si="88"/>
        <v>4.2957334457796236E-3</v>
      </c>
    </row>
    <row r="176" spans="1:40" x14ac:dyDescent="0.25">
      <c r="A176">
        <f t="shared" si="89"/>
        <v>137</v>
      </c>
      <c r="B176">
        <f t="shared" si="69"/>
        <v>5.6893779111455887</v>
      </c>
      <c r="C176">
        <f t="shared" ca="1" si="90"/>
        <v>0.40682164494404549</v>
      </c>
      <c r="D176">
        <f t="shared" si="70"/>
        <v>2500</v>
      </c>
      <c r="E176">
        <f t="shared" ca="1" si="74"/>
        <v>1483.2416797327803</v>
      </c>
      <c r="F176">
        <f t="shared" si="71"/>
        <v>550</v>
      </c>
      <c r="G176">
        <f t="shared" si="72"/>
        <v>5.2192977958184277E-7</v>
      </c>
      <c r="H176">
        <f t="shared" ca="1" si="75"/>
        <v>7.7414800296953228E-4</v>
      </c>
      <c r="I176">
        <f t="shared" ca="1" si="73"/>
        <v>6.4526870931055261E-2</v>
      </c>
      <c r="J176">
        <f t="shared" ca="1" si="91"/>
        <v>4.2841481532708801E-2</v>
      </c>
      <c r="K176">
        <f t="shared" ca="1" si="92"/>
        <v>-1.4403028669830037E-5</v>
      </c>
      <c r="L176">
        <f t="shared" ca="1" si="93"/>
        <v>3.3397760038507134E-2</v>
      </c>
      <c r="M176">
        <f t="shared" ca="1" si="76"/>
        <v>7.6224838542546108E-2</v>
      </c>
      <c r="Q176">
        <f t="shared" si="94"/>
        <v>137</v>
      </c>
      <c r="R176" s="26">
        <f t="shared" ref="R176:R239" si="102">$R$33*Q176/$R$36</f>
        <v>4.9844769547608401</v>
      </c>
      <c r="S176">
        <f t="shared" ca="1" si="95"/>
        <v>0.28171592665958406</v>
      </c>
      <c r="T176" s="23">
        <f t="shared" ca="1" si="96"/>
        <v>2499.9999989388293</v>
      </c>
      <c r="U176">
        <f t="shared" ca="1" si="77"/>
        <v>1596.3197909659375</v>
      </c>
      <c r="V176">
        <f t="shared" si="78"/>
        <v>550</v>
      </c>
      <c r="W176">
        <f t="shared" si="97"/>
        <v>5.2192977958184277E-7</v>
      </c>
      <c r="X176">
        <f t="shared" ca="1" si="79"/>
        <v>8.331668366409851E-4</v>
      </c>
      <c r="Y176">
        <f t="shared" ca="1" si="98"/>
        <v>5.3303803959432544E-2</v>
      </c>
      <c r="Z176" s="6">
        <f t="shared" ca="1" si="80"/>
        <v>-1.9041275855583646E-4</v>
      </c>
      <c r="AA176">
        <f t="shared" ca="1" si="99"/>
        <v>5.1877068003180128E-2</v>
      </c>
      <c r="AB176">
        <f t="shared" ca="1" si="100"/>
        <v>9.0211834418015037E-3</v>
      </c>
      <c r="AC176">
        <f t="shared" ca="1" si="101"/>
        <v>2.43621735680358E-2</v>
      </c>
      <c r="AD176">
        <f t="shared" ca="1" si="81"/>
        <v>8.5260425013017435E-2</v>
      </c>
      <c r="AE176">
        <f t="shared" ca="1" si="82"/>
        <v>0.15594813824900497</v>
      </c>
      <c r="AG176">
        <f t="shared" ca="1" si="83"/>
        <v>3.3750077980277828E-2</v>
      </c>
      <c r="AI176">
        <f t="shared" ca="1" si="84"/>
        <v>8.6321629536539893E-2</v>
      </c>
      <c r="AK176">
        <f t="shared" ca="1" si="85"/>
        <v>47.194015297252776</v>
      </c>
      <c r="AL176" s="6">
        <f t="shared" si="86"/>
        <v>3.0000000000000001E-5</v>
      </c>
      <c r="AM176" s="6">
        <f t="shared" ca="1" si="87"/>
        <v>128779.94078883999</v>
      </c>
      <c r="AN176" s="6">
        <f t="shared" ca="1" si="88"/>
        <v>4.2957334457796236E-3</v>
      </c>
    </row>
    <row r="177" spans="1:40" x14ac:dyDescent="0.25">
      <c r="A177">
        <f t="shared" si="89"/>
        <v>138</v>
      </c>
      <c r="B177">
        <f t="shared" si="69"/>
        <v>5.7309062170663605</v>
      </c>
      <c r="C177">
        <f t="shared" ca="1" si="90"/>
        <v>0.40950133658018051</v>
      </c>
      <c r="D177">
        <f t="shared" si="70"/>
        <v>2500</v>
      </c>
      <c r="E177">
        <f t="shared" ca="1" si="74"/>
        <v>1480.5092138843327</v>
      </c>
      <c r="F177">
        <f t="shared" si="71"/>
        <v>550</v>
      </c>
      <c r="G177">
        <f t="shared" si="72"/>
        <v>5.2192977958184277E-7</v>
      </c>
      <c r="H177">
        <f t="shared" ca="1" si="75"/>
        <v>7.7272184767153711E-4</v>
      </c>
      <c r="I177">
        <f t="shared" ca="1" si="73"/>
        <v>6.440799787514298E-2</v>
      </c>
      <c r="J177">
        <f t="shared" ca="1" si="91"/>
        <v>4.2647944531966409E-2</v>
      </c>
      <c r="K177">
        <f t="shared" ca="1" si="92"/>
        <v>-2.0794002941221593E-4</v>
      </c>
      <c r="L177">
        <f t="shared" ca="1" si="93"/>
        <v>3.3591297039249519E-2</v>
      </c>
      <c r="M177">
        <f t="shared" ca="1" si="76"/>
        <v>7.6031301541803709E-2</v>
      </c>
      <c r="Q177">
        <f t="shared" si="94"/>
        <v>138</v>
      </c>
      <c r="R177" s="26">
        <f t="shared" si="102"/>
        <v>5.0208599982262472</v>
      </c>
      <c r="S177">
        <f t="shared" ca="1" si="95"/>
        <v>0.28365528127591161</v>
      </c>
      <c r="T177" s="23">
        <f t="shared" ca="1" si="96"/>
        <v>2499.9999989319017</v>
      </c>
      <c r="U177">
        <f t="shared" ca="1" si="77"/>
        <v>1594.7591427188022</v>
      </c>
      <c r="V177">
        <f t="shared" si="78"/>
        <v>550</v>
      </c>
      <c r="W177">
        <f t="shared" si="97"/>
        <v>5.2192977958184277E-7</v>
      </c>
      <c r="X177">
        <f t="shared" ca="1" si="79"/>
        <v>8.3235228784535298E-4</v>
      </c>
      <c r="Y177">
        <f t="shared" ca="1" si="98"/>
        <v>5.3251691288346385E-2</v>
      </c>
      <c r="Z177" s="6">
        <f t="shared" ca="1" si="80"/>
        <v>-1.9009994543228164E-4</v>
      </c>
      <c r="AA177">
        <f t="shared" ca="1" si="99"/>
        <v>5.1737000813821994E-2</v>
      </c>
      <c r="AB177">
        <f t="shared" ca="1" si="100"/>
        <v>8.8811162524433697E-3</v>
      </c>
      <c r="AC177">
        <f t="shared" ca="1" si="101"/>
        <v>2.4502240757393934E-2</v>
      </c>
      <c r="AD177">
        <f t="shared" ca="1" si="81"/>
        <v>8.5120357823659301E-2</v>
      </c>
      <c r="AE177">
        <f t="shared" ca="1" si="82"/>
        <v>0.15569194415461649</v>
      </c>
      <c r="AG177">
        <f t="shared" ca="1" si="83"/>
        <v>3.3694632812667734E-2</v>
      </c>
      <c r="AI177">
        <f t="shared" ca="1" si="84"/>
        <v>8.6463673441654162E-2</v>
      </c>
      <c r="AK177">
        <f t="shared" ca="1" si="85"/>
        <v>47.271673958882872</v>
      </c>
      <c r="AL177" s="6">
        <f t="shared" si="86"/>
        <v>3.0000000000000001E-5</v>
      </c>
      <c r="AM177" s="6">
        <f t="shared" ca="1" si="87"/>
        <v>128779.94078883997</v>
      </c>
      <c r="AN177" s="6">
        <f t="shared" ca="1" si="88"/>
        <v>4.2957334457796236E-3</v>
      </c>
    </row>
    <row r="178" spans="1:40" x14ac:dyDescent="0.25">
      <c r="A178">
        <f t="shared" si="89"/>
        <v>139</v>
      </c>
      <c r="B178">
        <f t="shared" si="69"/>
        <v>5.7724345229871314</v>
      </c>
      <c r="C178">
        <f t="shared" ca="1" si="90"/>
        <v>0.41217609161968383</v>
      </c>
      <c r="D178">
        <f t="shared" si="70"/>
        <v>2500</v>
      </c>
      <c r="E178">
        <f t="shared" ca="1" si="74"/>
        <v>1477.7670964040847</v>
      </c>
      <c r="F178">
        <f t="shared" si="71"/>
        <v>550</v>
      </c>
      <c r="G178">
        <f t="shared" si="72"/>
        <v>5.2192977958184277E-7</v>
      </c>
      <c r="H178">
        <f t="shared" ca="1" si="75"/>
        <v>7.7129065489948371E-4</v>
      </c>
      <c r="I178">
        <f t="shared" ca="1" si="73"/>
        <v>6.4288704935129573E-2</v>
      </c>
      <c r="J178">
        <f t="shared" ca="1" si="91"/>
        <v>4.2454764070048522E-2</v>
      </c>
      <c r="K178">
        <f t="shared" ca="1" si="92"/>
        <v>-4.0112049133010294E-4</v>
      </c>
      <c r="L178">
        <f t="shared" ca="1" si="93"/>
        <v>3.3784477501167406E-2</v>
      </c>
      <c r="M178">
        <f t="shared" ca="1" si="76"/>
        <v>7.5838121079885829E-2</v>
      </c>
      <c r="Q178">
        <f t="shared" si="94"/>
        <v>139</v>
      </c>
      <c r="R178" s="26">
        <f t="shared" si="102"/>
        <v>5.0572430416916552</v>
      </c>
      <c r="S178">
        <f t="shared" ca="1" si="95"/>
        <v>0.28559273987466199</v>
      </c>
      <c r="T178" s="23">
        <f t="shared" ca="1" si="96"/>
        <v>2499.9999989249854</v>
      </c>
      <c r="U178">
        <f t="shared" ca="1" si="77"/>
        <v>1593.1946283921332</v>
      </c>
      <c r="V178">
        <f t="shared" si="78"/>
        <v>550</v>
      </c>
      <c r="W178">
        <f t="shared" si="97"/>
        <v>5.2192977958184277E-7</v>
      </c>
      <c r="X178">
        <f t="shared" ca="1" si="79"/>
        <v>8.3153572122768196E-4</v>
      </c>
      <c r="Y178">
        <f t="shared" ca="1" si="98"/>
        <v>5.319944952235911E-2</v>
      </c>
      <c r="Z178" s="6">
        <f t="shared" ca="1" si="80"/>
        <v>-1.8978743813169059E-4</v>
      </c>
      <c r="AA178">
        <f t="shared" ca="1" si="99"/>
        <v>5.1597070561695844E-2</v>
      </c>
      <c r="AB178">
        <f t="shared" ca="1" si="100"/>
        <v>8.7411860003172234E-3</v>
      </c>
      <c r="AC178">
        <f t="shared" ca="1" si="101"/>
        <v>2.464217100952008E-2</v>
      </c>
      <c r="AD178">
        <f t="shared" ca="1" si="81"/>
        <v>8.4980427571533151E-2</v>
      </c>
      <c r="AE178">
        <f t="shared" ca="1" si="82"/>
        <v>0.15543600052937825</v>
      </c>
      <c r="AG178">
        <f t="shared" ca="1" si="83"/>
        <v>3.3639241851240849E-2</v>
      </c>
      <c r="AI178">
        <f t="shared" ca="1" si="84"/>
        <v>8.6606046032263448E-2</v>
      </c>
      <c r="AK178">
        <f t="shared" ca="1" si="85"/>
        <v>47.349512320413723</v>
      </c>
      <c r="AL178" s="6">
        <f t="shared" si="86"/>
        <v>3.0000000000000001E-5</v>
      </c>
      <c r="AM178" s="6">
        <f t="shared" ca="1" si="87"/>
        <v>128779.94078883996</v>
      </c>
      <c r="AN178" s="6">
        <f t="shared" ca="1" si="88"/>
        <v>4.2957334457796236E-3</v>
      </c>
    </row>
    <row r="179" spans="1:40" x14ac:dyDescent="0.25">
      <c r="A179">
        <f t="shared" si="89"/>
        <v>140</v>
      </c>
      <c r="B179">
        <f t="shared" si="69"/>
        <v>5.8139628289079015</v>
      </c>
      <c r="C179">
        <f t="shared" ca="1" si="90"/>
        <v>0.41484589262547999</v>
      </c>
      <c r="D179">
        <f t="shared" si="70"/>
        <v>2500</v>
      </c>
      <c r="E179">
        <f t="shared" ca="1" si="74"/>
        <v>1475.0153081704532</v>
      </c>
      <c r="F179">
        <f t="shared" si="71"/>
        <v>550</v>
      </c>
      <c r="G179">
        <f t="shared" si="72"/>
        <v>5.2192977958184277E-7</v>
      </c>
      <c r="H179">
        <f t="shared" ca="1" si="75"/>
        <v>7.6985441467324848E-4</v>
      </c>
      <c r="I179">
        <f t="shared" ca="1" si="73"/>
        <v>6.4168991279150642E-2</v>
      </c>
      <c r="J179">
        <f t="shared" ca="1" si="91"/>
        <v>4.226194140632366E-2</v>
      </c>
      <c r="K179">
        <f t="shared" ca="1" si="92"/>
        <v>-5.9394315505496842E-4</v>
      </c>
      <c r="L179">
        <f t="shared" ca="1" si="93"/>
        <v>3.3977300164892275E-2</v>
      </c>
      <c r="M179">
        <f t="shared" ca="1" si="76"/>
        <v>7.5645298416160967E-2</v>
      </c>
      <c r="Q179">
        <f t="shared" si="94"/>
        <v>140</v>
      </c>
      <c r="R179" s="26">
        <f t="shared" si="102"/>
        <v>5.0936260851570623</v>
      </c>
      <c r="S179">
        <f t="shared" ca="1" si="95"/>
        <v>0.28752829775896971</v>
      </c>
      <c r="T179" s="23">
        <f t="shared" ca="1" si="96"/>
        <v>2499.9999989180806</v>
      </c>
      <c r="U179">
        <f t="shared" ca="1" si="77"/>
        <v>1591.6262396706688</v>
      </c>
      <c r="V179">
        <f t="shared" si="78"/>
        <v>550</v>
      </c>
      <c r="W179">
        <f t="shared" si="97"/>
        <v>5.2192977958184277E-7</v>
      </c>
      <c r="X179">
        <f t="shared" ca="1" si="79"/>
        <v>8.3071713244798945E-4</v>
      </c>
      <c r="Y179">
        <f t="shared" ca="1" si="98"/>
        <v>5.3147078383810151E-2</v>
      </c>
      <c r="Z179" s="6">
        <f t="shared" ca="1" si="80"/>
        <v>-1.8947523741165632E-4</v>
      </c>
      <c r="AA179">
        <f t="shared" ca="1" si="99"/>
        <v>5.1457277586026272E-2</v>
      </c>
      <c r="AB179">
        <f t="shared" ca="1" si="100"/>
        <v>8.6013930246476439E-3</v>
      </c>
      <c r="AC179">
        <f t="shared" ca="1" si="101"/>
        <v>2.478196398518966E-2</v>
      </c>
      <c r="AD179">
        <f t="shared" ca="1" si="81"/>
        <v>8.4840634595863579E-2</v>
      </c>
      <c r="AE179">
        <f t="shared" ca="1" si="82"/>
        <v>0.1551803079937592</v>
      </c>
      <c r="AG179">
        <f t="shared" ca="1" si="83"/>
        <v>3.358390523027819E-2</v>
      </c>
      <c r="AI179">
        <f t="shared" ca="1" si="84"/>
        <v>8.6748747898456435E-2</v>
      </c>
      <c r="AK179">
        <f t="shared" ca="1" si="85"/>
        <v>47.427530704460366</v>
      </c>
      <c r="AL179" s="6">
        <f t="shared" si="86"/>
        <v>3.0000000000000001E-5</v>
      </c>
      <c r="AM179" s="6">
        <f t="shared" ca="1" si="87"/>
        <v>128779.94078884</v>
      </c>
      <c r="AN179" s="6">
        <f t="shared" ca="1" si="88"/>
        <v>4.2957334457796236E-3</v>
      </c>
    </row>
    <row r="180" spans="1:40" x14ac:dyDescent="0.25">
      <c r="A180">
        <f t="shared" si="89"/>
        <v>141</v>
      </c>
      <c r="B180">
        <f t="shared" si="69"/>
        <v>5.8554911348286725</v>
      </c>
      <c r="C180">
        <f t="shared" ca="1" si="90"/>
        <v>0.41751072212594786</v>
      </c>
      <c r="D180">
        <f t="shared" si="70"/>
        <v>2500</v>
      </c>
      <c r="E180">
        <f t="shared" ca="1" si="74"/>
        <v>1472.2538303754329</v>
      </c>
      <c r="F180">
        <f t="shared" si="71"/>
        <v>550</v>
      </c>
      <c r="G180">
        <f t="shared" si="72"/>
        <v>5.2192977958184277E-7</v>
      </c>
      <c r="H180">
        <f t="shared" ca="1" si="75"/>
        <v>7.6841311717637344E-4</v>
      </c>
      <c r="I180">
        <f t="shared" ca="1" si="73"/>
        <v>6.4048856088983683E-2</v>
      </c>
      <c r="J180">
        <f t="shared" ca="1" si="91"/>
        <v>4.2069477802655346E-2</v>
      </c>
      <c r="K180">
        <f t="shared" ca="1" si="92"/>
        <v>-7.864067587232855E-4</v>
      </c>
      <c r="L180">
        <f t="shared" ca="1" si="93"/>
        <v>3.4169763768560589E-2</v>
      </c>
      <c r="M180">
        <f t="shared" ca="1" si="76"/>
        <v>7.5452834812492653E-2</v>
      </c>
      <c r="Q180">
        <f t="shared" si="94"/>
        <v>141</v>
      </c>
      <c r="R180" s="26">
        <f t="shared" si="102"/>
        <v>5.1300091286224703</v>
      </c>
      <c r="S180">
        <f t="shared" ca="1" si="95"/>
        <v>0.28946195022186733</v>
      </c>
      <c r="T180" s="23">
        <f t="shared" ca="1" si="96"/>
        <v>2499.999998911187</v>
      </c>
      <c r="U180">
        <f t="shared" ca="1" si="77"/>
        <v>1590.0539682556168</v>
      </c>
      <c r="V180">
        <f t="shared" si="78"/>
        <v>550</v>
      </c>
      <c r="W180">
        <f t="shared" si="97"/>
        <v>5.2192977958184277E-7</v>
      </c>
      <c r="X180">
        <f t="shared" ca="1" si="79"/>
        <v>8.2989651717488852E-4</v>
      </c>
      <c r="Y180">
        <f t="shared" ca="1" si="98"/>
        <v>5.3094577595588874E-2</v>
      </c>
      <c r="Z180" s="6">
        <f t="shared" ca="1" si="80"/>
        <v>-1.8916334403140078E-4</v>
      </c>
      <c r="AA180">
        <f t="shared" ca="1" si="99"/>
        <v>5.1317622226767431E-2</v>
      </c>
      <c r="AB180">
        <f t="shared" ca="1" si="100"/>
        <v>8.461737665388807E-3</v>
      </c>
      <c r="AC180">
        <f t="shared" ca="1" si="101"/>
        <v>2.4921619344448497E-2</v>
      </c>
      <c r="AD180">
        <f t="shared" ca="1" si="81"/>
        <v>8.4700979236604745E-2</v>
      </c>
      <c r="AE180">
        <f t="shared" ca="1" si="82"/>
        <v>0.15492486716956269</v>
      </c>
      <c r="AG180">
        <f t="shared" ca="1" si="83"/>
        <v>3.3528623084349563E-2</v>
      </c>
      <c r="AI180">
        <f t="shared" ca="1" si="84"/>
        <v>8.6891779627985444E-2</v>
      </c>
      <c r="AK180">
        <f t="shared" ca="1" si="85"/>
        <v>47.505729432360475</v>
      </c>
      <c r="AL180" s="6">
        <f t="shared" si="86"/>
        <v>3.0000000000000001E-5</v>
      </c>
      <c r="AM180" s="6">
        <f t="shared" ca="1" si="87"/>
        <v>128779.94078884</v>
      </c>
      <c r="AN180" s="6">
        <f t="shared" ca="1" si="88"/>
        <v>4.2957334457796236E-3</v>
      </c>
    </row>
    <row r="181" spans="1:40" x14ac:dyDescent="0.25">
      <c r="A181">
        <f t="shared" si="89"/>
        <v>142</v>
      </c>
      <c r="B181">
        <f t="shared" si="69"/>
        <v>5.8970194407494434</v>
      </c>
      <c r="C181">
        <f t="shared" ca="1" si="90"/>
        <v>0.42017056261548663</v>
      </c>
      <c r="D181">
        <f t="shared" si="70"/>
        <v>2500</v>
      </c>
      <c r="E181">
        <f t="shared" ca="1" si="74"/>
        <v>1469.482644531389</v>
      </c>
      <c r="F181">
        <f t="shared" si="71"/>
        <v>550</v>
      </c>
      <c r="G181">
        <f t="shared" si="72"/>
        <v>5.2192977958184277E-7</v>
      </c>
      <c r="H181">
        <f t="shared" ca="1" si="75"/>
        <v>7.6696675275961127E-4</v>
      </c>
      <c r="I181">
        <f t="shared" ca="1" si="73"/>
        <v>6.3928298560343585E-2</v>
      </c>
      <c r="J181">
        <f t="shared" ca="1" si="91"/>
        <v>4.1877374523361252E-2</v>
      </c>
      <c r="K181">
        <f t="shared" ca="1" si="92"/>
        <v>-9.7851003801737932E-4</v>
      </c>
      <c r="L181">
        <f t="shared" ca="1" si="93"/>
        <v>3.4361867047854683E-2</v>
      </c>
      <c r="M181">
        <f t="shared" ca="1" si="76"/>
        <v>7.5260731533198552E-2</v>
      </c>
      <c r="Q181">
        <f t="shared" si="94"/>
        <v>142</v>
      </c>
      <c r="R181" s="26">
        <f t="shared" si="102"/>
        <v>5.1663921720878774</v>
      </c>
      <c r="S181">
        <f t="shared" ca="1" si="95"/>
        <v>0.29139369254630504</v>
      </c>
      <c r="T181" s="23">
        <f t="shared" ca="1" si="96"/>
        <v>2499.9999989043049</v>
      </c>
      <c r="U181">
        <f t="shared" ca="1" si="77"/>
        <v>1588.4778058651525</v>
      </c>
      <c r="V181">
        <f t="shared" si="78"/>
        <v>550</v>
      </c>
      <c r="W181">
        <f t="shared" si="97"/>
        <v>5.2192977958184277E-7</v>
      </c>
      <c r="X181">
        <f t="shared" ca="1" si="79"/>
        <v>8.2907387108584825E-4</v>
      </c>
      <c r="Y181">
        <f t="shared" ca="1" si="98"/>
        <v>5.3041946881151193E-2</v>
      </c>
      <c r="Z181" s="6">
        <f t="shared" ca="1" si="80"/>
        <v>-1.8885175875177267E-4</v>
      </c>
      <c r="AA181">
        <f t="shared" ca="1" si="99"/>
        <v>5.1178104824601701E-2</v>
      </c>
      <c r="AB181">
        <f t="shared" ca="1" si="100"/>
        <v>8.3222202632230735E-3</v>
      </c>
      <c r="AC181">
        <f t="shared" ca="1" si="101"/>
        <v>2.506113674661423E-2</v>
      </c>
      <c r="AD181">
        <f t="shared" ca="1" si="81"/>
        <v>8.4561461834439008E-2</v>
      </c>
      <c r="AE181">
        <f t="shared" ca="1" si="82"/>
        <v>0.15466967867992404</v>
      </c>
      <c r="AG181">
        <f t="shared" ca="1" si="83"/>
        <v>3.3473395548313051E-2</v>
      </c>
      <c r="AI181">
        <f t="shared" ca="1" si="84"/>
        <v>8.7035141806219657E-2</v>
      </c>
      <c r="AK181">
        <f t="shared" ca="1" si="85"/>
        <v>47.584108824148785</v>
      </c>
      <c r="AL181" s="6">
        <f t="shared" si="86"/>
        <v>3.0000000000000001E-5</v>
      </c>
      <c r="AM181" s="6">
        <f t="shared" ca="1" si="87"/>
        <v>128779.94078883999</v>
      </c>
      <c r="AN181" s="6">
        <f t="shared" ca="1" si="88"/>
        <v>4.2957334457796236E-3</v>
      </c>
    </row>
    <row r="182" spans="1:40" x14ac:dyDescent="0.25">
      <c r="A182">
        <f t="shared" si="89"/>
        <v>143</v>
      </c>
      <c r="B182">
        <f t="shared" si="69"/>
        <v>5.9385477466702135</v>
      </c>
      <c r="C182">
        <f t="shared" ca="1" si="90"/>
        <v>0.42282539655509488</v>
      </c>
      <c r="D182">
        <f t="shared" si="70"/>
        <v>2500</v>
      </c>
      <c r="E182">
        <f t="shared" ca="1" si="74"/>
        <v>1466.701732477929</v>
      </c>
      <c r="F182">
        <f t="shared" si="71"/>
        <v>550</v>
      </c>
      <c r="G182">
        <f t="shared" si="72"/>
        <v>5.2192977958184277E-7</v>
      </c>
      <c r="H182">
        <f t="shared" ca="1" si="75"/>
        <v>7.6551531194451235E-4</v>
      </c>
      <c r="I182">
        <f t="shared" ca="1" si="73"/>
        <v>6.3807317903181518E-2</v>
      </c>
      <c r="J182">
        <f t="shared" ca="1" si="91"/>
        <v>4.1685632835171349E-2</v>
      </c>
      <c r="K182">
        <f t="shared" ca="1" si="92"/>
        <v>-1.170251726207279E-3</v>
      </c>
      <c r="L182">
        <f t="shared" ca="1" si="93"/>
        <v>3.4553608736044586E-2</v>
      </c>
      <c r="M182">
        <f t="shared" ca="1" si="76"/>
        <v>7.5068989845008649E-2</v>
      </c>
      <c r="Q182">
        <f t="shared" si="94"/>
        <v>143</v>
      </c>
      <c r="R182" s="26">
        <f t="shared" si="102"/>
        <v>5.2027752155532854</v>
      </c>
      <c r="S182">
        <f t="shared" ca="1" si="95"/>
        <v>0.29332352000517181</v>
      </c>
      <c r="T182" s="23">
        <f t="shared" ca="1" si="96"/>
        <v>2499.9999988974341</v>
      </c>
      <c r="U182">
        <f t="shared" ca="1" si="77"/>
        <v>1586.8977442349303</v>
      </c>
      <c r="V182">
        <f t="shared" si="78"/>
        <v>550</v>
      </c>
      <c r="W182">
        <f t="shared" si="97"/>
        <v>5.2192977958184277E-7</v>
      </c>
      <c r="X182">
        <f t="shared" ca="1" si="79"/>
        <v>8.2824918986746071E-4</v>
      </c>
      <c r="Y182">
        <f t="shared" ca="1" si="98"/>
        <v>5.2989185964536722E-2</v>
      </c>
      <c r="Z182" s="6">
        <f t="shared" ca="1" si="80"/>
        <v>-1.8854048233524337E-4</v>
      </c>
      <c r="AA182">
        <f t="shared" ca="1" si="99"/>
        <v>5.1038725720938087E-2</v>
      </c>
      <c r="AB182">
        <f t="shared" ca="1" si="100"/>
        <v>8.1828411595594591E-3</v>
      </c>
      <c r="AC182">
        <f t="shared" ca="1" si="101"/>
        <v>2.5200515850277844E-2</v>
      </c>
      <c r="AD182">
        <f t="shared" ca="1" si="81"/>
        <v>8.4422082730775394E-2</v>
      </c>
      <c r="AE182">
        <f t="shared" ca="1" si="82"/>
        <v>0.15441474314930762</v>
      </c>
      <c r="AG182">
        <f t="shared" ca="1" si="83"/>
        <v>3.3418222757314361E-2</v>
      </c>
      <c r="AI182">
        <f t="shared" ca="1" si="84"/>
        <v>8.7178835016097841E-2</v>
      </c>
      <c r="AK182">
        <f t="shared" ca="1" si="85"/>
        <v>47.662669198531333</v>
      </c>
      <c r="AL182" s="6">
        <f t="shared" si="86"/>
        <v>3.0000000000000001E-5</v>
      </c>
      <c r="AM182" s="6">
        <f t="shared" ca="1" si="87"/>
        <v>128779.94078884</v>
      </c>
      <c r="AN182" s="6">
        <f t="shared" ca="1" si="88"/>
        <v>4.2957334457796236E-3</v>
      </c>
    </row>
    <row r="183" spans="1:40" x14ac:dyDescent="0.25">
      <c r="A183">
        <f t="shared" si="89"/>
        <v>144</v>
      </c>
      <c r="B183">
        <f t="shared" si="69"/>
        <v>5.9800760525909844</v>
      </c>
      <c r="C183">
        <f t="shared" ca="1" si="90"/>
        <v>0.4254752063729621</v>
      </c>
      <c r="D183">
        <f t="shared" si="70"/>
        <v>2500</v>
      </c>
      <c r="E183">
        <f t="shared" ca="1" si="74"/>
        <v>1463.9110763888461</v>
      </c>
      <c r="F183">
        <f t="shared" si="71"/>
        <v>550</v>
      </c>
      <c r="G183">
        <f t="shared" si="72"/>
        <v>5.2192977958184277E-7</v>
      </c>
      <c r="H183">
        <f t="shared" ca="1" si="75"/>
        <v>7.6405878542704867E-4</v>
      </c>
      <c r="I183">
        <f t="shared" ca="1" si="73"/>
        <v>6.3685913341987116E-2</v>
      </c>
      <c r="J183">
        <f t="shared" ca="1" si="91"/>
        <v>4.1494254007185219E-2</v>
      </c>
      <c r="K183">
        <f t="shared" ca="1" si="92"/>
        <v>-1.361630554193409E-3</v>
      </c>
      <c r="L183">
        <f t="shared" ca="1" si="93"/>
        <v>3.4744987564030716E-2</v>
      </c>
      <c r="M183">
        <f t="shared" ca="1" si="76"/>
        <v>7.4877611017022533E-2</v>
      </c>
      <c r="Q183">
        <f t="shared" si="94"/>
        <v>144</v>
      </c>
      <c r="R183" s="26">
        <f t="shared" si="102"/>
        <v>5.2391582590186934</v>
      </c>
      <c r="S183">
        <f t="shared" ca="1" si="95"/>
        <v>0.29525142786131614</v>
      </c>
      <c r="T183" s="23">
        <f t="shared" ca="1" si="96"/>
        <v>2499.9999988905743</v>
      </c>
      <c r="U183">
        <f t="shared" ca="1" si="77"/>
        <v>1585.3137751185984</v>
      </c>
      <c r="V183">
        <f t="shared" si="78"/>
        <v>550</v>
      </c>
      <c r="W183">
        <f t="shared" si="97"/>
        <v>5.2192977958184277E-7</v>
      </c>
      <c r="X183">
        <f t="shared" ca="1" si="79"/>
        <v>8.2742246921570911E-4</v>
      </c>
      <c r="Y183">
        <f t="shared" ca="1" si="98"/>
        <v>5.2936294570385886E-2</v>
      </c>
      <c r="Z183" s="6">
        <f t="shared" ca="1" si="80"/>
        <v>-1.882295155459037E-4</v>
      </c>
      <c r="AA183">
        <f t="shared" ca="1" si="99"/>
        <v>5.0899485257910777E-2</v>
      </c>
      <c r="AB183">
        <f t="shared" ca="1" si="100"/>
        <v>8.0436006965321459E-3</v>
      </c>
      <c r="AC183">
        <f t="shared" ca="1" si="101"/>
        <v>2.5339756313305158E-2</v>
      </c>
      <c r="AD183">
        <f t="shared" ca="1" si="81"/>
        <v>8.428284226774807E-2</v>
      </c>
      <c r="AE183">
        <f t="shared" ca="1" si="82"/>
        <v>0.15416006120350428</v>
      </c>
      <c r="AG183">
        <f t="shared" ca="1" si="83"/>
        <v>3.3363104846786264E-2</v>
      </c>
      <c r="AI183">
        <f t="shared" ca="1" si="84"/>
        <v>8.7322859838080719E-2</v>
      </c>
      <c r="AK183">
        <f t="shared" ca="1" si="85"/>
        <v>47.741410872859262</v>
      </c>
      <c r="AL183" s="6">
        <f t="shared" si="86"/>
        <v>3.0000000000000001E-5</v>
      </c>
      <c r="AM183" s="6">
        <f t="shared" ca="1" si="87"/>
        <v>128779.94078883994</v>
      </c>
      <c r="AN183" s="6">
        <f t="shared" ca="1" si="88"/>
        <v>4.2957334457796236E-3</v>
      </c>
    </row>
    <row r="184" spans="1:40" x14ac:dyDescent="0.25">
      <c r="A184">
        <f t="shared" si="89"/>
        <v>145</v>
      </c>
      <c r="B184">
        <f t="shared" si="69"/>
        <v>6.0216043585117554</v>
      </c>
      <c r="C184">
        <f t="shared" ca="1" si="90"/>
        <v>0.42811997446507183</v>
      </c>
      <c r="D184">
        <f t="shared" si="70"/>
        <v>2500</v>
      </c>
      <c r="E184">
        <f t="shared" ca="1" si="74"/>
        <v>1461.1106587791407</v>
      </c>
      <c r="F184">
        <f t="shared" si="71"/>
        <v>550</v>
      </c>
      <c r="G184">
        <f t="shared" si="72"/>
        <v>5.2192977958184277E-7</v>
      </c>
      <c r="H184">
        <f t="shared" ca="1" si="75"/>
        <v>7.6259716408127803E-4</v>
      </c>
      <c r="I184">
        <f t="shared" ca="1" si="73"/>
        <v>6.3564084116093822E-2</v>
      </c>
      <c r="J184">
        <f t="shared" ca="1" si="91"/>
        <v>4.1303239310828452E-2</v>
      </c>
      <c r="K184">
        <f t="shared" ca="1" si="92"/>
        <v>-1.5526452505501692E-3</v>
      </c>
      <c r="L184">
        <f t="shared" ca="1" si="93"/>
        <v>3.4936002260387476E-2</v>
      </c>
      <c r="M184">
        <f t="shared" ca="1" si="76"/>
        <v>7.4686596320665766E-2</v>
      </c>
      <c r="Q184">
        <f t="shared" si="94"/>
        <v>145</v>
      </c>
      <c r="R184" s="26">
        <f t="shared" si="102"/>
        <v>5.2755413024841005</v>
      </c>
      <c r="S184">
        <f t="shared" ca="1" si="95"/>
        <v>0.29717741136756809</v>
      </c>
      <c r="T184" s="23">
        <f t="shared" ca="1" si="96"/>
        <v>2499.9999988837258</v>
      </c>
      <c r="U184">
        <f t="shared" ca="1" si="77"/>
        <v>1583.7258902883138</v>
      </c>
      <c r="V184">
        <f t="shared" si="78"/>
        <v>550</v>
      </c>
      <c r="W184">
        <f t="shared" si="97"/>
        <v>5.2192977958184277E-7</v>
      </c>
      <c r="X184">
        <f t="shared" ca="1" si="79"/>
        <v>8.2659370483623737E-4</v>
      </c>
      <c r="Y184">
        <f t="shared" ca="1" si="98"/>
        <v>5.2883272423957177E-2</v>
      </c>
      <c r="Z184" s="6">
        <f t="shared" ca="1" si="80"/>
        <v>-1.8791885914946077E-4</v>
      </c>
      <c r="AA184">
        <f t="shared" ca="1" si="99"/>
        <v>5.0760383778377507E-2</v>
      </c>
      <c r="AB184">
        <f t="shared" ca="1" si="100"/>
        <v>7.9044992169988761E-3</v>
      </c>
      <c r="AC184">
        <f t="shared" ca="1" si="101"/>
        <v>2.5478857792838427E-2</v>
      </c>
      <c r="AD184">
        <f t="shared" ca="1" si="81"/>
        <v>8.4143740788214808E-2</v>
      </c>
      <c r="AE184">
        <f t="shared" ca="1" si="82"/>
        <v>0.15390563346962832</v>
      </c>
      <c r="AG184">
        <f t="shared" ca="1" si="83"/>
        <v>3.3308041952447971E-2</v>
      </c>
      <c r="AI184">
        <f t="shared" ca="1" si="84"/>
        <v>8.7467216850102877E-2</v>
      </c>
      <c r="AK184">
        <f t="shared" ca="1" si="85"/>
        <v>47.820334163102714</v>
      </c>
      <c r="AL184" s="6">
        <f t="shared" si="86"/>
        <v>3.0000000000000001E-5</v>
      </c>
      <c r="AM184" s="6">
        <f t="shared" ca="1" si="87"/>
        <v>128779.94078884002</v>
      </c>
      <c r="AN184" s="6">
        <f t="shared" ca="1" si="88"/>
        <v>4.2957334457796236E-3</v>
      </c>
    </row>
    <row r="185" spans="1:40" x14ac:dyDescent="0.25">
      <c r="A185">
        <f t="shared" si="89"/>
        <v>146</v>
      </c>
      <c r="B185">
        <f t="shared" si="69"/>
        <v>6.0631326644325263</v>
      </c>
      <c r="C185">
        <f t="shared" ca="1" si="90"/>
        <v>0.43075968319581859</v>
      </c>
      <c r="D185">
        <f t="shared" si="70"/>
        <v>2500</v>
      </c>
      <c r="E185">
        <f t="shared" ca="1" si="74"/>
        <v>1458.3004625121173</v>
      </c>
      <c r="F185">
        <f t="shared" si="71"/>
        <v>550</v>
      </c>
      <c r="G185">
        <f t="shared" si="72"/>
        <v>5.2192977958184277E-7</v>
      </c>
      <c r="H185">
        <f t="shared" ca="1" si="75"/>
        <v>7.6113043896304869E-4</v>
      </c>
      <c r="I185">
        <f t="shared" ca="1" si="73"/>
        <v>6.3441829479987694E-2</v>
      </c>
      <c r="J185">
        <f t="shared" ca="1" si="91"/>
        <v>4.1112590019808139E-2</v>
      </c>
      <c r="K185">
        <f t="shared" ca="1" si="92"/>
        <v>-1.7432945415704892E-3</v>
      </c>
      <c r="L185">
        <f t="shared" ca="1" si="93"/>
        <v>3.5126651551407796E-2</v>
      </c>
      <c r="M185">
        <f t="shared" ca="1" si="76"/>
        <v>7.4495947029645446E-2</v>
      </c>
      <c r="Q185">
        <f t="shared" si="94"/>
        <v>146</v>
      </c>
      <c r="R185" s="26">
        <f t="shared" si="102"/>
        <v>5.3119243459495076</v>
      </c>
      <c r="S185">
        <f t="shared" ca="1" si="95"/>
        <v>0.29910146576676189</v>
      </c>
      <c r="T185" s="23">
        <f t="shared" ca="1" si="96"/>
        <v>2499.9999988768886</v>
      </c>
      <c r="U185">
        <f t="shared" ca="1" si="77"/>
        <v>1582.1340815352708</v>
      </c>
      <c r="V185">
        <f t="shared" si="78"/>
        <v>550</v>
      </c>
      <c r="W185">
        <f t="shared" si="97"/>
        <v>5.2192977958184277E-7</v>
      </c>
      <c r="X185">
        <f t="shared" ca="1" si="79"/>
        <v>8.257628924446251E-4</v>
      </c>
      <c r="Y185">
        <f t="shared" ca="1" si="98"/>
        <v>5.2830119251144746E-2</v>
      </c>
      <c r="Z185" s="6">
        <f t="shared" ca="1" si="80"/>
        <v>-1.8760851391323328E-4</v>
      </c>
      <c r="AA185">
        <f t="shared" ca="1" si="99"/>
        <v>5.0621421625917956E-2</v>
      </c>
      <c r="AB185">
        <f t="shared" ca="1" si="100"/>
        <v>7.7655370645393282E-3</v>
      </c>
      <c r="AC185">
        <f t="shared" ca="1" si="101"/>
        <v>2.5617819945297975E-2</v>
      </c>
      <c r="AD185">
        <f t="shared" ca="1" si="81"/>
        <v>8.4004778635755256E-2</v>
      </c>
      <c r="AE185">
        <f t="shared" ca="1" si="82"/>
        <v>0.15365146057611431</v>
      </c>
      <c r="AG185">
        <f t="shared" ca="1" si="83"/>
        <v>3.32530342103044E-2</v>
      </c>
      <c r="AI185">
        <f t="shared" ca="1" si="84"/>
        <v>8.7611906627524203E-2</v>
      </c>
      <c r="AK185">
        <f t="shared" ca="1" si="85"/>
        <v>47.899439383824124</v>
      </c>
      <c r="AL185" s="6">
        <f t="shared" si="86"/>
        <v>3.0000000000000001E-5</v>
      </c>
      <c r="AM185" s="6">
        <f t="shared" ca="1" si="87"/>
        <v>128779.94078883996</v>
      </c>
      <c r="AN185" s="6">
        <f t="shared" ca="1" si="88"/>
        <v>4.2957334457796236E-3</v>
      </c>
    </row>
    <row r="186" spans="1:40" x14ac:dyDescent="0.25">
      <c r="A186">
        <f t="shared" si="89"/>
        <v>147</v>
      </c>
      <c r="B186">
        <f t="shared" si="69"/>
        <v>6.1046609703532964</v>
      </c>
      <c r="C186">
        <f t="shared" ca="1" si="90"/>
        <v>0.43339431489863683</v>
      </c>
      <c r="D186">
        <f t="shared" si="70"/>
        <v>2500</v>
      </c>
      <c r="E186">
        <f t="shared" ca="1" si="74"/>
        <v>1455.4804708065526</v>
      </c>
      <c r="F186">
        <f t="shared" si="71"/>
        <v>550</v>
      </c>
      <c r="G186">
        <f t="shared" si="72"/>
        <v>5.2192977958184277E-7</v>
      </c>
      <c r="H186">
        <f t="shared" ca="1" si="75"/>
        <v>7.5965860131374074E-4</v>
      </c>
      <c r="I186">
        <f t="shared" ca="1" si="73"/>
        <v>6.331914870361928E-2</v>
      </c>
      <c r="J186">
        <f t="shared" ca="1" si="91"/>
        <v>4.0922307410067388E-2</v>
      </c>
      <c r="K186">
        <f t="shared" ca="1" si="92"/>
        <v>-1.9335771513112471E-3</v>
      </c>
      <c r="L186">
        <f t="shared" ca="1" si="93"/>
        <v>3.5316934161148554E-2</v>
      </c>
      <c r="M186">
        <f t="shared" ca="1" si="76"/>
        <v>7.4305664419904688E-2</v>
      </c>
      <c r="Q186">
        <f t="shared" si="94"/>
        <v>147</v>
      </c>
      <c r="R186" s="26">
        <f t="shared" si="102"/>
        <v>5.3483073894149156</v>
      </c>
      <c r="S186">
        <f t="shared" ca="1" si="95"/>
        <v>0.30102358629175896</v>
      </c>
      <c r="T186" s="23">
        <f t="shared" ca="1" si="96"/>
        <v>2499.9999988700629</v>
      </c>
      <c r="U186">
        <f t="shared" ca="1" si="77"/>
        <v>1580.5383406702292</v>
      </c>
      <c r="V186">
        <f t="shared" si="78"/>
        <v>550</v>
      </c>
      <c r="W186">
        <f t="shared" si="97"/>
        <v>5.2192977958184277E-7</v>
      </c>
      <c r="X186">
        <f t="shared" ca="1" si="79"/>
        <v>8.2493002776666427E-4</v>
      </c>
      <c r="Y186">
        <f t="shared" ca="1" si="98"/>
        <v>5.2776834778496096E-2</v>
      </c>
      <c r="Z186" s="6">
        <f t="shared" ca="1" si="80"/>
        <v>-1.8729848060614914E-4</v>
      </c>
      <c r="AA186">
        <f t="shared" ca="1" si="99"/>
        <v>5.0482599144832087E-2</v>
      </c>
      <c r="AB186">
        <f t="shared" ca="1" si="100"/>
        <v>7.6267145834534589E-3</v>
      </c>
      <c r="AC186">
        <f t="shared" ca="1" si="101"/>
        <v>2.5756642426383845E-2</v>
      </c>
      <c r="AD186">
        <f t="shared" ca="1" si="81"/>
        <v>8.3865956154669394E-2</v>
      </c>
      <c r="AE186">
        <f t="shared" ca="1" si="82"/>
        <v>0.15339754315271451</v>
      </c>
      <c r="AG186">
        <f t="shared" ca="1" si="83"/>
        <v>3.3198081756645667E-2</v>
      </c>
      <c r="AI186">
        <f t="shared" ca="1" si="84"/>
        <v>8.7756929743080955E-2</v>
      </c>
      <c r="AK186">
        <f t="shared" ca="1" si="85"/>
        <v>47.978726848151545</v>
      </c>
      <c r="AL186" s="6">
        <f t="shared" si="86"/>
        <v>3.0000000000000001E-5</v>
      </c>
      <c r="AM186" s="6">
        <f t="shared" ca="1" si="87"/>
        <v>128779.94078883996</v>
      </c>
      <c r="AN186" s="6">
        <f t="shared" ca="1" si="88"/>
        <v>4.2957334457796236E-3</v>
      </c>
    </row>
    <row r="187" spans="1:40" x14ac:dyDescent="0.25">
      <c r="A187">
        <f t="shared" si="89"/>
        <v>148</v>
      </c>
      <c r="B187">
        <f t="shared" si="69"/>
        <v>6.1461892762740673</v>
      </c>
      <c r="C187">
        <f t="shared" ca="1" si="90"/>
        <v>0.4360238518766435</v>
      </c>
      <c r="D187">
        <f t="shared" si="70"/>
        <v>2500</v>
      </c>
      <c r="E187">
        <f t="shared" ca="1" si="74"/>
        <v>1452.6506672439457</v>
      </c>
      <c r="F187">
        <f t="shared" si="71"/>
        <v>550</v>
      </c>
      <c r="G187">
        <f t="shared" si="72"/>
        <v>5.2192977958184277E-7</v>
      </c>
      <c r="H187">
        <f t="shared" ca="1" si="75"/>
        <v>7.5818164256404941E-4</v>
      </c>
      <c r="I187">
        <f t="shared" ca="1" si="73"/>
        <v>6.3196041072718909E-2</v>
      </c>
      <c r="J187">
        <f t="shared" ca="1" si="91"/>
        <v>4.0732392759738945E-2</v>
      </c>
      <c r="K187">
        <f t="shared" ca="1" si="92"/>
        <v>-2.1234918016396834E-3</v>
      </c>
      <c r="L187">
        <f t="shared" ca="1" si="93"/>
        <v>3.550684881147699E-2</v>
      </c>
      <c r="M187">
        <f t="shared" ca="1" si="76"/>
        <v>7.4115749769576245E-2</v>
      </c>
      <c r="Q187">
        <f t="shared" si="94"/>
        <v>148</v>
      </c>
      <c r="R187" s="26">
        <f t="shared" si="102"/>
        <v>5.3846904328803236</v>
      </c>
      <c r="S187">
        <f t="shared" ca="1" si="95"/>
        <v>0.30294376816547164</v>
      </c>
      <c r="T187" s="23">
        <f t="shared" ca="1" si="96"/>
        <v>2499.9999988632485</v>
      </c>
      <c r="U187">
        <f t="shared" ca="1" si="77"/>
        <v>1578.9386595240494</v>
      </c>
      <c r="V187">
        <f t="shared" si="78"/>
        <v>550</v>
      </c>
      <c r="W187">
        <f t="shared" si="97"/>
        <v>5.2192977958184277E-7</v>
      </c>
      <c r="X187">
        <f t="shared" ca="1" si="79"/>
        <v>8.2409510653863734E-4</v>
      </c>
      <c r="Y187">
        <f t="shared" ca="1" si="98"/>
        <v>5.2723418733229888E-2</v>
      </c>
      <c r="Z187" s="6">
        <f t="shared" ca="1" si="80"/>
        <v>-1.8698875999874093E-4</v>
      </c>
      <c r="AA187">
        <f t="shared" ca="1" si="99"/>
        <v>5.0343916680138406E-2</v>
      </c>
      <c r="AB187">
        <f t="shared" ca="1" si="100"/>
        <v>7.4880321187597784E-3</v>
      </c>
      <c r="AC187">
        <f t="shared" ca="1" si="101"/>
        <v>2.5895324891077525E-2</v>
      </c>
      <c r="AD187">
        <f t="shared" ca="1" si="81"/>
        <v>8.3727273689975706E-2</v>
      </c>
      <c r="AE187">
        <f t="shared" ca="1" si="82"/>
        <v>0.15314388183049538</v>
      </c>
      <c r="AG187">
        <f t="shared" ca="1" si="83"/>
        <v>3.3143184728046282E-2</v>
      </c>
      <c r="AI187">
        <f t="shared" ca="1" si="84"/>
        <v>8.7902286766836271E-2</v>
      </c>
      <c r="AK187">
        <f t="shared" ca="1" si="85"/>
        <v>48.058196867751576</v>
      </c>
      <c r="AL187" s="6">
        <f t="shared" si="86"/>
        <v>3.0000000000000001E-5</v>
      </c>
      <c r="AM187" s="6">
        <f t="shared" ca="1" si="87"/>
        <v>128779.94078883999</v>
      </c>
      <c r="AN187" s="6">
        <f t="shared" ca="1" si="88"/>
        <v>4.2957334457796236E-3</v>
      </c>
    </row>
    <row r="188" spans="1:40" x14ac:dyDescent="0.25">
      <c r="A188">
        <f t="shared" si="89"/>
        <v>149</v>
      </c>
      <c r="B188">
        <f t="shared" si="69"/>
        <v>6.1877175821948383</v>
      </c>
      <c r="C188">
        <f t="shared" ca="1" si="90"/>
        <v>0.43864827640329296</v>
      </c>
      <c r="D188">
        <f t="shared" si="70"/>
        <v>2500</v>
      </c>
      <c r="E188">
        <f t="shared" ca="1" si="74"/>
        <v>1449.8110357758389</v>
      </c>
      <c r="F188">
        <f t="shared" si="71"/>
        <v>550</v>
      </c>
      <c r="G188">
        <f t="shared" si="72"/>
        <v>5.2192977958184277E-7</v>
      </c>
      <c r="H188">
        <f t="shared" ca="1" si="75"/>
        <v>7.5669955433780678E-4</v>
      </c>
      <c r="I188">
        <f t="shared" ca="1" si="73"/>
        <v>6.3072505889115324E-2</v>
      </c>
      <c r="J188">
        <f t="shared" ca="1" si="91"/>
        <v>4.0542847349097931E-2</v>
      </c>
      <c r="K188">
        <f t="shared" ca="1" si="92"/>
        <v>-2.3130372122806969E-3</v>
      </c>
      <c r="L188">
        <f t="shared" ca="1" si="93"/>
        <v>3.5696394222118004E-2</v>
      </c>
      <c r="M188">
        <f t="shared" ca="1" si="76"/>
        <v>7.3926204358935238E-2</v>
      </c>
      <c r="Q188">
        <f t="shared" si="94"/>
        <v>149</v>
      </c>
      <c r="R188" s="26">
        <f t="shared" si="102"/>
        <v>5.4210734763457307</v>
      </c>
      <c r="S188">
        <f t="shared" ca="1" si="95"/>
        <v>0.30486200660088758</v>
      </c>
      <c r="T188" s="23">
        <f t="shared" ca="1" si="96"/>
        <v>2499.9999988564455</v>
      </c>
      <c r="U188">
        <f t="shared" ca="1" si="77"/>
        <v>1577.3350299482358</v>
      </c>
      <c r="V188">
        <f t="shared" si="78"/>
        <v>550</v>
      </c>
      <c r="W188">
        <f t="shared" si="97"/>
        <v>5.2192977958184277E-7</v>
      </c>
      <c r="X188">
        <f t="shared" ca="1" si="79"/>
        <v>8.2325812450760214E-4</v>
      </c>
      <c r="Y188">
        <f t="shared" ca="1" si="98"/>
        <v>5.2669870843254168E-2</v>
      </c>
      <c r="Z188" s="6">
        <f t="shared" ca="1" si="80"/>
        <v>-1.8667935286314192E-4</v>
      </c>
      <c r="AA188">
        <f t="shared" ca="1" si="99"/>
        <v>5.0205374577572216E-2</v>
      </c>
      <c r="AB188">
        <f t="shared" ca="1" si="100"/>
        <v>7.3494900161935918E-3</v>
      </c>
      <c r="AC188">
        <f t="shared" ca="1" si="101"/>
        <v>2.6033866993643712E-2</v>
      </c>
      <c r="AD188">
        <f t="shared" ca="1" si="81"/>
        <v>8.3588731587409523E-2</v>
      </c>
      <c r="AE188">
        <f t="shared" ca="1" si="82"/>
        <v>0.15289047724183444</v>
      </c>
      <c r="AG188">
        <f t="shared" ca="1" si="83"/>
        <v>3.3088343261364513E-2</v>
      </c>
      <c r="AI188">
        <f t="shared" ca="1" si="84"/>
        <v>8.804797826613027E-2</v>
      </c>
      <c r="AK188">
        <f t="shared" ca="1" si="85"/>
        <v>48.137849752802076</v>
      </c>
      <c r="AL188" s="6">
        <f t="shared" si="86"/>
        <v>3.0000000000000001E-5</v>
      </c>
      <c r="AM188" s="6">
        <f t="shared" ca="1" si="87"/>
        <v>128779.94078884002</v>
      </c>
      <c r="AN188" s="6">
        <f t="shared" ca="1" si="88"/>
        <v>4.2957334457796236E-3</v>
      </c>
    </row>
    <row r="189" spans="1:40" x14ac:dyDescent="0.25">
      <c r="A189">
        <f t="shared" si="89"/>
        <v>150</v>
      </c>
      <c r="B189">
        <f t="shared" si="69"/>
        <v>6.2292458881156083</v>
      </c>
      <c r="C189">
        <f t="shared" ca="1" si="90"/>
        <v>0.44126757072304573</v>
      </c>
      <c r="D189">
        <f t="shared" si="70"/>
        <v>2500</v>
      </c>
      <c r="E189">
        <f t="shared" ca="1" si="74"/>
        <v>1446.9615607312139</v>
      </c>
      <c r="F189">
        <f t="shared" si="71"/>
        <v>550</v>
      </c>
      <c r="G189">
        <f t="shared" si="72"/>
        <v>5.2192977958184277E-7</v>
      </c>
      <c r="H189">
        <f t="shared" ca="1" si="75"/>
        <v>7.5521232845584163E-4</v>
      </c>
      <c r="I189">
        <f t="shared" ca="1" si="73"/>
        <v>6.2948542471057314E-2</v>
      </c>
      <c r="J189">
        <f t="shared" ca="1" si="91"/>
        <v>4.0353672460513482E-2</v>
      </c>
      <c r="K189">
        <f t="shared" ca="1" si="92"/>
        <v>-2.5022121008651463E-3</v>
      </c>
      <c r="L189">
        <f t="shared" ca="1" si="93"/>
        <v>3.5885569110702453E-2</v>
      </c>
      <c r="M189">
        <f t="shared" ca="1" si="76"/>
        <v>7.3737029470350796E-2</v>
      </c>
      <c r="Q189">
        <f t="shared" si="94"/>
        <v>150</v>
      </c>
      <c r="R189" s="26">
        <f t="shared" si="102"/>
        <v>5.4574565198111387</v>
      </c>
      <c r="S189">
        <f t="shared" ca="1" si="95"/>
        <v>0.30677829680109514</v>
      </c>
      <c r="T189" s="23">
        <f t="shared" ca="1" si="96"/>
        <v>2499.9999988496534</v>
      </c>
      <c r="U189">
        <f t="shared" ca="1" si="77"/>
        <v>1575.7274438154805</v>
      </c>
      <c r="V189">
        <f t="shared" si="78"/>
        <v>550</v>
      </c>
      <c r="W189">
        <f t="shared" si="97"/>
        <v>5.2192977958184277E-7</v>
      </c>
      <c r="X189">
        <f t="shared" ca="1" si="79"/>
        <v>8.2241907743167426E-4</v>
      </c>
      <c r="Y189">
        <f t="shared" ca="1" si="98"/>
        <v>5.2616190837184433E-2</v>
      </c>
      <c r="Z189" s="6">
        <f t="shared" ca="1" si="80"/>
        <v>-1.8637025997308201E-4</v>
      </c>
      <c r="AA189">
        <f t="shared" ca="1" si="99"/>
        <v>5.0066973183583795E-2</v>
      </c>
      <c r="AB189">
        <f t="shared" ca="1" si="100"/>
        <v>7.2110886222051702E-3</v>
      </c>
      <c r="AC189">
        <f t="shared" ca="1" si="101"/>
        <v>2.6172268387632133E-2</v>
      </c>
      <c r="AD189">
        <f t="shared" ca="1" si="81"/>
        <v>8.3450330193421102E-2</v>
      </c>
      <c r="AE189">
        <f t="shared" ca="1" si="82"/>
        <v>0.15263733002041702</v>
      </c>
      <c r="AG189">
        <f t="shared" ca="1" si="83"/>
        <v>3.3033557493741643E-2</v>
      </c>
      <c r="AI189">
        <f t="shared" ca="1" si="84"/>
        <v>8.8194004805529816E-2</v>
      </c>
      <c r="AK189">
        <f t="shared" ca="1" si="85"/>
        <v>48.217685811964664</v>
      </c>
      <c r="AL189" s="6">
        <f t="shared" si="86"/>
        <v>3.0000000000000001E-5</v>
      </c>
      <c r="AM189" s="6">
        <f t="shared" ca="1" si="87"/>
        <v>128779.94078883996</v>
      </c>
      <c r="AN189" s="6">
        <f t="shared" ca="1" si="88"/>
        <v>4.2957334457796236E-3</v>
      </c>
    </row>
    <row r="190" spans="1:40" x14ac:dyDescent="0.25">
      <c r="A190">
        <f t="shared" si="89"/>
        <v>151</v>
      </c>
      <c r="B190">
        <f t="shared" si="69"/>
        <v>6.2707741940363793</v>
      </c>
      <c r="C190">
        <f t="shared" ca="1" si="90"/>
        <v>0.44388171705205043</v>
      </c>
      <c r="D190">
        <f t="shared" si="70"/>
        <v>2500</v>
      </c>
      <c r="E190">
        <f t="shared" ca="1" si="74"/>
        <v>1444.1022268239649</v>
      </c>
      <c r="F190">
        <f t="shared" si="71"/>
        <v>550</v>
      </c>
      <c r="G190">
        <f t="shared" si="72"/>
        <v>5.2192977958184277E-7</v>
      </c>
      <c r="H190">
        <f t="shared" ca="1" si="75"/>
        <v>7.5371995693988033E-4</v>
      </c>
      <c r="I190">
        <f t="shared" ca="1" si="73"/>
        <v>6.2824150153538913E-2</v>
      </c>
      <c r="J190">
        <f t="shared" ca="1" si="91"/>
        <v>4.0164869378399526E-2</v>
      </c>
      <c r="K190">
        <f t="shared" ca="1" si="92"/>
        <v>-2.6910151829791021E-3</v>
      </c>
      <c r="L190">
        <f t="shared" ca="1" si="93"/>
        <v>3.6074372192816409E-2</v>
      </c>
      <c r="M190">
        <f t="shared" ca="1" si="76"/>
        <v>7.3548226388236826E-2</v>
      </c>
      <c r="Q190">
        <f t="shared" si="94"/>
        <v>151</v>
      </c>
      <c r="R190" s="26">
        <f t="shared" si="102"/>
        <v>5.4938395632765458</v>
      </c>
      <c r="S190">
        <f t="shared" ca="1" si="95"/>
        <v>0.30869263395930857</v>
      </c>
      <c r="T190" s="23">
        <f t="shared" ca="1" si="96"/>
        <v>2499.9999988428726</v>
      </c>
      <c r="U190">
        <f t="shared" ca="1" si="77"/>
        <v>1574.1158930202189</v>
      </c>
      <c r="V190">
        <f t="shared" si="78"/>
        <v>550</v>
      </c>
      <c r="W190">
        <f t="shared" si="97"/>
        <v>5.2192977958184277E-7</v>
      </c>
      <c r="X190">
        <f t="shared" ca="1" si="79"/>
        <v>8.215779610803184E-4</v>
      </c>
      <c r="Y190">
        <f t="shared" ca="1" si="98"/>
        <v>5.2562378444362241E-2</v>
      </c>
      <c r="Z190" s="6">
        <f t="shared" ca="1" si="80"/>
        <v>-1.8606148210388406E-4</v>
      </c>
      <c r="AA190">
        <f t="shared" ca="1" si="99"/>
        <v>4.9928712845336558E-2</v>
      </c>
      <c r="AB190">
        <f t="shared" ca="1" si="100"/>
        <v>7.0728282839579264E-3</v>
      </c>
      <c r="AC190">
        <f t="shared" ca="1" si="101"/>
        <v>2.6310528725879377E-2</v>
      </c>
      <c r="AD190">
        <f t="shared" ca="1" si="81"/>
        <v>8.3312069855173865E-2</v>
      </c>
      <c r="AE190">
        <f t="shared" ca="1" si="82"/>
        <v>0.1523844408012327</v>
      </c>
      <c r="AG190">
        <f t="shared" ca="1" si="83"/>
        <v>3.2978827562601239E-2</v>
      </c>
      <c r="AI190">
        <f t="shared" ca="1" si="84"/>
        <v>8.8340366946777632E-2</v>
      </c>
      <c r="AK190">
        <f t="shared" ca="1" si="85"/>
        <v>48.297705352357035</v>
      </c>
      <c r="AL190" s="6">
        <f t="shared" si="86"/>
        <v>3.0000000000000001E-5</v>
      </c>
      <c r="AM190" s="6">
        <f t="shared" ca="1" si="87"/>
        <v>128779.94078883996</v>
      </c>
      <c r="AN190" s="6">
        <f t="shared" ca="1" si="88"/>
        <v>4.2957334457796236E-3</v>
      </c>
    </row>
    <row r="191" spans="1:40" x14ac:dyDescent="0.25">
      <c r="A191">
        <f t="shared" si="89"/>
        <v>152</v>
      </c>
      <c r="B191">
        <f t="shared" si="69"/>
        <v>6.3123024999571502</v>
      </c>
      <c r="C191">
        <f t="shared" ca="1" si="90"/>
        <v>0.44649069757883902</v>
      </c>
      <c r="D191">
        <f t="shared" si="70"/>
        <v>2500</v>
      </c>
      <c r="E191">
        <f t="shared" ca="1" si="74"/>
        <v>1441.2330191604428</v>
      </c>
      <c r="F191">
        <f t="shared" si="71"/>
        <v>550</v>
      </c>
      <c r="G191">
        <f t="shared" si="72"/>
        <v>5.2192977958184277E-7</v>
      </c>
      <c r="H191">
        <f t="shared" ca="1" si="75"/>
        <v>7.5222243201648366E-4</v>
      </c>
      <c r="I191">
        <f t="shared" ca="1" si="73"/>
        <v>6.2699328288627565E-2</v>
      </c>
      <c r="J191">
        <f t="shared" ca="1" si="91"/>
        <v>3.9976439389164557E-2</v>
      </c>
      <c r="K191">
        <f t="shared" ca="1" si="92"/>
        <v>-2.8794451722140707E-3</v>
      </c>
      <c r="L191">
        <f t="shared" ca="1" si="93"/>
        <v>3.6262802182051378E-2</v>
      </c>
      <c r="M191">
        <f t="shared" ca="1" si="76"/>
        <v>7.3359796399001864E-2</v>
      </c>
      <c r="Q191">
        <f t="shared" si="94"/>
        <v>152</v>
      </c>
      <c r="R191" s="26">
        <f t="shared" si="102"/>
        <v>5.5302226067419529</v>
      </c>
      <c r="S191">
        <f t="shared" ca="1" si="95"/>
        <v>0.310605013258895</v>
      </c>
      <c r="T191" s="23">
        <f t="shared" ca="1" si="96"/>
        <v>2499.9999988361033</v>
      </c>
      <c r="U191">
        <f t="shared" ca="1" si="77"/>
        <v>1572.5003694791853</v>
      </c>
      <c r="V191">
        <f t="shared" si="78"/>
        <v>550</v>
      </c>
      <c r="W191">
        <f t="shared" si="97"/>
        <v>5.2192977958184277E-7</v>
      </c>
      <c r="X191">
        <f t="shared" ca="1" si="79"/>
        <v>8.2073477123463751E-4</v>
      </c>
      <c r="Y191">
        <f t="shared" ca="1" si="98"/>
        <v>5.2508433394873759E-2</v>
      </c>
      <c r="Z191" s="6">
        <f t="shared" ca="1" si="80"/>
        <v>-1.8575302003245896E-4</v>
      </c>
      <c r="AA191">
        <f t="shared" ca="1" si="99"/>
        <v>4.9790593910705103E-2</v>
      </c>
      <c r="AB191">
        <f t="shared" ca="1" si="100"/>
        <v>6.9347093493264712E-3</v>
      </c>
      <c r="AC191">
        <f t="shared" ca="1" si="101"/>
        <v>2.6448647660510832E-2</v>
      </c>
      <c r="AD191">
        <f t="shared" ca="1" si="81"/>
        <v>8.3173950920542403E-2</v>
      </c>
      <c r="AE191">
        <f t="shared" ca="1" si="82"/>
        <v>0.15213181022057198</v>
      </c>
      <c r="AG191">
        <f t="shared" ca="1" si="83"/>
        <v>3.2924153605648397E-2</v>
      </c>
      <c r="AI191">
        <f t="shared" ca="1" si="84"/>
        <v>8.8487065248741156E-2</v>
      </c>
      <c r="AK191">
        <f t="shared" ca="1" si="85"/>
        <v>48.377908679524801</v>
      </c>
      <c r="AL191" s="6">
        <f t="shared" si="86"/>
        <v>3.0000000000000001E-5</v>
      </c>
      <c r="AM191" s="6">
        <f t="shared" ca="1" si="87"/>
        <v>128779.94078883996</v>
      </c>
      <c r="AN191" s="6">
        <f t="shared" ca="1" si="88"/>
        <v>4.2957334457796236E-3</v>
      </c>
    </row>
    <row r="192" spans="1:40" x14ac:dyDescent="0.25">
      <c r="A192">
        <f t="shared" si="89"/>
        <v>153</v>
      </c>
      <c r="B192">
        <f t="shared" si="69"/>
        <v>6.3538308058779203</v>
      </c>
      <c r="C192">
        <f t="shared" ca="1" si="90"/>
        <v>0.44909449446503596</v>
      </c>
      <c r="D192">
        <f t="shared" si="70"/>
        <v>2500</v>
      </c>
      <c r="E192">
        <f t="shared" ca="1" si="74"/>
        <v>1438.3539232470791</v>
      </c>
      <c r="F192">
        <f t="shared" si="71"/>
        <v>550</v>
      </c>
      <c r="G192">
        <f t="shared" si="72"/>
        <v>5.2192977958184277E-7</v>
      </c>
      <c r="H192">
        <f t="shared" ca="1" si="75"/>
        <v>7.5071974612102679E-4</v>
      </c>
      <c r="I192">
        <f t="shared" ca="1" si="73"/>
        <v>6.2574076245795793E-2</v>
      </c>
      <c r="J192">
        <f t="shared" ca="1" si="91"/>
        <v>3.9788383781160439E-2</v>
      </c>
      <c r="K192">
        <f t="shared" ca="1" si="92"/>
        <v>-3.0675007802181894E-3</v>
      </c>
      <c r="L192">
        <f t="shared" ca="1" si="93"/>
        <v>3.6450857790055496E-2</v>
      </c>
      <c r="M192">
        <f t="shared" ca="1" si="76"/>
        <v>7.3171740790997752E-2</v>
      </c>
      <c r="Q192">
        <f t="shared" si="94"/>
        <v>153</v>
      </c>
      <c r="R192" s="26">
        <f t="shared" si="102"/>
        <v>5.5666056502073618</v>
      </c>
      <c r="S192">
        <f t="shared" ca="1" si="95"/>
        <v>0.3125154298734012</v>
      </c>
      <c r="T192" s="23">
        <f t="shared" ca="1" si="96"/>
        <v>2499.9999988293448</v>
      </c>
      <c r="U192">
        <f t="shared" ca="1" si="77"/>
        <v>1570.880865131978</v>
      </c>
      <c r="V192">
        <f t="shared" si="78"/>
        <v>550</v>
      </c>
      <c r="W192">
        <f t="shared" si="97"/>
        <v>5.2192977958184277E-7</v>
      </c>
      <c r="X192">
        <f t="shared" ca="1" si="79"/>
        <v>8.1988950368766772E-4</v>
      </c>
      <c r="Y192">
        <f t="shared" ca="1" si="98"/>
        <v>5.2454355419568596E-2</v>
      </c>
      <c r="Z192" s="6">
        <f t="shared" ca="1" si="80"/>
        <v>-1.8544487453730195E-4</v>
      </c>
      <c r="AA192">
        <f t="shared" ca="1" si="99"/>
        <v>4.9652616728273306E-2</v>
      </c>
      <c r="AB192">
        <f t="shared" ca="1" si="100"/>
        <v>6.7967321668946784E-3</v>
      </c>
      <c r="AC192">
        <f t="shared" ca="1" si="101"/>
        <v>2.6586624842942625E-2</v>
      </c>
      <c r="AD192">
        <f t="shared" ca="1" si="81"/>
        <v>8.3035973738110613E-2</v>
      </c>
      <c r="AE192">
        <f t="shared" ca="1" si="82"/>
        <v>0.15187943891602274</v>
      </c>
      <c r="AG192">
        <f t="shared" ca="1" si="83"/>
        <v>3.2869535760868991E-2</v>
      </c>
      <c r="AI192">
        <f t="shared" ca="1" si="84"/>
        <v>8.8634100267360752E-2</v>
      </c>
      <c r="AK192">
        <f t="shared" ca="1" si="85"/>
        <v>48.458296097413324</v>
      </c>
      <c r="AL192" s="6">
        <f t="shared" si="86"/>
        <v>3.0000000000000001E-5</v>
      </c>
      <c r="AM192" s="6">
        <f t="shared" ca="1" si="87"/>
        <v>128779.94078883997</v>
      </c>
      <c r="AN192" s="6">
        <f t="shared" ca="1" si="88"/>
        <v>4.2957334457796236E-3</v>
      </c>
    </row>
    <row r="193" spans="1:40" x14ac:dyDescent="0.25">
      <c r="A193">
        <f t="shared" si="89"/>
        <v>154</v>
      </c>
      <c r="B193">
        <f t="shared" si="69"/>
        <v>6.3953591117986912</v>
      </c>
      <c r="C193">
        <f t="shared" ca="1" si="90"/>
        <v>0.45169308984608103</v>
      </c>
      <c r="D193">
        <f t="shared" si="70"/>
        <v>2500</v>
      </c>
      <c r="E193">
        <f t="shared" ca="1" si="74"/>
        <v>1435.464924998078</v>
      </c>
      <c r="F193">
        <f t="shared" si="71"/>
        <v>550</v>
      </c>
      <c r="G193">
        <f t="shared" si="72"/>
        <v>5.2192977958184277E-7</v>
      </c>
      <c r="H193">
        <f t="shared" ca="1" si="75"/>
        <v>7.4921189190171335E-4</v>
      </c>
      <c r="I193">
        <f t="shared" ca="1" si="73"/>
        <v>6.2448393412255873E-2</v>
      </c>
      <c r="J193">
        <f t="shared" ca="1" si="91"/>
        <v>3.9600703844630179E-2</v>
      </c>
      <c r="K193">
        <f t="shared" ca="1" si="92"/>
        <v>-3.2551807167484487E-3</v>
      </c>
      <c r="L193">
        <f t="shared" ca="1" si="93"/>
        <v>3.6638537726585756E-2</v>
      </c>
      <c r="M193">
        <f t="shared" ca="1" si="76"/>
        <v>7.2984060854467486E-2</v>
      </c>
      <c r="Q193">
        <f t="shared" si="94"/>
        <v>154</v>
      </c>
      <c r="R193" s="26">
        <f t="shared" si="102"/>
        <v>5.6029886936727689</v>
      </c>
      <c r="S193">
        <f t="shared" ca="1" si="95"/>
        <v>0.31442387896658125</v>
      </c>
      <c r="T193" s="23">
        <f t="shared" ca="1" si="96"/>
        <v>2499.9999988225977</v>
      </c>
      <c r="U193">
        <f t="shared" ca="1" si="77"/>
        <v>1569.2573719416287</v>
      </c>
      <c r="V193">
        <f t="shared" si="78"/>
        <v>550</v>
      </c>
      <c r="W193">
        <f t="shared" si="97"/>
        <v>5.2192977958184277E-7</v>
      </c>
      <c r="X193">
        <f t="shared" ca="1" si="79"/>
        <v>8.1904215424467614E-4</v>
      </c>
      <c r="Y193">
        <f t="shared" ca="1" si="98"/>
        <v>5.2400144250078877E-2</v>
      </c>
      <c r="Z193" s="6">
        <f t="shared" ca="1" si="80"/>
        <v>-1.851370463984875E-4</v>
      </c>
      <c r="AA193">
        <f t="shared" ca="1" si="99"/>
        <v>4.9514781647332307E-2</v>
      </c>
      <c r="AB193">
        <f t="shared" ca="1" si="100"/>
        <v>6.6588970859536752E-3</v>
      </c>
      <c r="AC193">
        <f t="shared" ca="1" si="101"/>
        <v>2.6724459923883628E-2</v>
      </c>
      <c r="AD193">
        <f t="shared" ca="1" si="81"/>
        <v>8.2898138657169607E-2</v>
      </c>
      <c r="AE193">
        <f t="shared" ca="1" si="82"/>
        <v>0.15162732752646635</v>
      </c>
      <c r="AG193">
        <f t="shared" ca="1" si="83"/>
        <v>3.2814974166528843E-2</v>
      </c>
      <c r="AI193">
        <f t="shared" ca="1" si="84"/>
        <v>8.8781472555597638E-2</v>
      </c>
      <c r="AK193">
        <f t="shared" ca="1" si="85"/>
        <v>48.538867908339178</v>
      </c>
      <c r="AL193" s="6">
        <f t="shared" si="86"/>
        <v>3.0000000000000001E-5</v>
      </c>
      <c r="AM193" s="6">
        <f t="shared" ca="1" si="87"/>
        <v>128779.94078884002</v>
      </c>
      <c r="AN193" s="6">
        <f t="shared" ca="1" si="88"/>
        <v>4.2957334457796236E-3</v>
      </c>
    </row>
    <row r="194" spans="1:40" x14ac:dyDescent="0.25">
      <c r="A194">
        <f t="shared" si="89"/>
        <v>155</v>
      </c>
      <c r="B194">
        <f t="shared" si="69"/>
        <v>6.4368874177194622</v>
      </c>
      <c r="C194">
        <f t="shared" ca="1" si="90"/>
        <v>0.45428646583196586</v>
      </c>
      <c r="D194">
        <f t="shared" si="70"/>
        <v>2500</v>
      </c>
      <c r="E194">
        <f t="shared" ca="1" si="74"/>
        <v>1432.566010743187</v>
      </c>
      <c r="F194">
        <f t="shared" si="71"/>
        <v>550</v>
      </c>
      <c r="G194">
        <f t="shared" si="72"/>
        <v>5.2192977958184277E-7</v>
      </c>
      <c r="H194">
        <f t="shared" ca="1" si="75"/>
        <v>7.4769886222363134E-4</v>
      </c>
      <c r="I194">
        <f t="shared" ca="1" si="73"/>
        <v>6.232227919329781E-2</v>
      </c>
      <c r="J194">
        <f t="shared" ca="1" si="91"/>
        <v>3.941340087165475E-2</v>
      </c>
      <c r="K194">
        <f t="shared" ca="1" si="92"/>
        <v>-3.4424836897238784E-3</v>
      </c>
      <c r="L194">
        <f t="shared" ca="1" si="93"/>
        <v>3.6825840699561185E-2</v>
      </c>
      <c r="M194">
        <f t="shared" ca="1" si="76"/>
        <v>7.2796757881492064E-2</v>
      </c>
      <c r="Q194">
        <f t="shared" si="94"/>
        <v>155</v>
      </c>
      <c r="R194" s="26">
        <f t="shared" si="102"/>
        <v>5.639371737138176</v>
      </c>
      <c r="S194">
        <f t="shared" ca="1" si="95"/>
        <v>0.31633035569242546</v>
      </c>
      <c r="T194" s="23">
        <f t="shared" ca="1" si="96"/>
        <v>2499.999998815862</v>
      </c>
      <c r="U194">
        <f t="shared" ca="1" si="77"/>
        <v>1567.6298818951764</v>
      </c>
      <c r="V194">
        <f t="shared" si="78"/>
        <v>550</v>
      </c>
      <c r="W194">
        <f t="shared" si="97"/>
        <v>5.2192977958184277E-7</v>
      </c>
      <c r="X194">
        <f t="shared" ca="1" si="79"/>
        <v>8.1819271872345957E-4</v>
      </c>
      <c r="Y194">
        <f t="shared" ca="1" si="98"/>
        <v>5.2345799618838333E-2</v>
      </c>
      <c r="Z194" s="6">
        <f t="shared" ca="1" si="80"/>
        <v>-1.8482953639766488E-4</v>
      </c>
      <c r="AA194">
        <f t="shared" ca="1" si="99"/>
        <v>4.9377089017878399E-2</v>
      </c>
      <c r="AB194">
        <f t="shared" ca="1" si="100"/>
        <v>6.5212044564997747E-3</v>
      </c>
      <c r="AC194">
        <f t="shared" ca="1" si="101"/>
        <v>2.6862152553337529E-2</v>
      </c>
      <c r="AD194">
        <f t="shared" ca="1" si="81"/>
        <v>8.2760446027715706E-2</v>
      </c>
      <c r="AE194">
        <f t="shared" ca="1" si="82"/>
        <v>0.15137547669207405</v>
      </c>
      <c r="AG194">
        <f t="shared" ca="1" si="83"/>
        <v>3.2760468961172899E-2</v>
      </c>
      <c r="AI194">
        <f t="shared" ca="1" si="84"/>
        <v>8.8929182663381179E-2</v>
      </c>
      <c r="AK194">
        <f t="shared" ca="1" si="85"/>
        <v>48.619624412961379</v>
      </c>
      <c r="AL194" s="6">
        <f t="shared" si="86"/>
        <v>3.0000000000000001E-5</v>
      </c>
      <c r="AM194" s="6">
        <f t="shared" ca="1" si="87"/>
        <v>128779.94078883996</v>
      </c>
      <c r="AN194" s="6">
        <f t="shared" ca="1" si="88"/>
        <v>4.2957334457796236E-3</v>
      </c>
    </row>
    <row r="195" spans="1:40" x14ac:dyDescent="0.25">
      <c r="A195">
        <f t="shared" si="89"/>
        <v>156</v>
      </c>
      <c r="B195">
        <f t="shared" si="69"/>
        <v>6.478415723640234</v>
      </c>
      <c r="C195">
        <f t="shared" ca="1" si="90"/>
        <v>0.45687460450798489</v>
      </c>
      <c r="D195">
        <f t="shared" si="70"/>
        <v>2500</v>
      </c>
      <c r="E195">
        <f t="shared" ca="1" si="74"/>
        <v>1429.6571672355383</v>
      </c>
      <c r="F195">
        <f t="shared" si="71"/>
        <v>550</v>
      </c>
      <c r="G195">
        <f t="shared" si="72"/>
        <v>5.2192977958184277E-7</v>
      </c>
      <c r="H195">
        <f t="shared" ca="1" si="75"/>
        <v>7.4618065017284627E-4</v>
      </c>
      <c r="I195">
        <f t="shared" ca="1" si="73"/>
        <v>6.2195733012630545E-2</v>
      </c>
      <c r="J195">
        <f t="shared" ca="1" si="91"/>
        <v>3.9226476156098831E-2</v>
      </c>
      <c r="K195">
        <f t="shared" ca="1" si="92"/>
        <v>-3.6294084052797965E-3</v>
      </c>
      <c r="L195">
        <f t="shared" ca="1" si="93"/>
        <v>3.7012765415117103E-2</v>
      </c>
      <c r="M195">
        <f t="shared" ca="1" si="76"/>
        <v>7.2609833165936138E-2</v>
      </c>
      <c r="Q195">
        <f t="shared" si="94"/>
        <v>156</v>
      </c>
      <c r="R195" s="26">
        <f t="shared" si="102"/>
        <v>5.675754780603584</v>
      </c>
      <c r="S195">
        <f t="shared" ca="1" si="95"/>
        <v>0.31823485519518918</v>
      </c>
      <c r="T195" s="23">
        <f t="shared" ca="1" si="96"/>
        <v>2499.9999988091372</v>
      </c>
      <c r="U195">
        <f t="shared" ca="1" si="77"/>
        <v>1565.9983870042515</v>
      </c>
      <c r="V195">
        <f t="shared" si="78"/>
        <v>550</v>
      </c>
      <c r="W195">
        <f t="shared" si="97"/>
        <v>5.2192977958184277E-7</v>
      </c>
      <c r="X195">
        <f t="shared" ca="1" si="79"/>
        <v>8.1734119295465027E-4</v>
      </c>
      <c r="Y195">
        <f t="shared" ca="1" si="98"/>
        <v>5.2291321259101874E-2</v>
      </c>
      <c r="Z195" s="6">
        <f t="shared" ca="1" si="80"/>
        <v>-1.8452234531805397E-4</v>
      </c>
      <c r="AA195">
        <f t="shared" ca="1" si="99"/>
        <v>4.9239539190611005E-2</v>
      </c>
      <c r="AB195">
        <f t="shared" ca="1" si="100"/>
        <v>6.383654629232377E-3</v>
      </c>
      <c r="AC195">
        <f t="shared" ca="1" si="101"/>
        <v>2.6999702380604926E-2</v>
      </c>
      <c r="AD195">
        <f t="shared" ca="1" si="81"/>
        <v>8.2622896200448312E-2</v>
      </c>
      <c r="AE195">
        <f t="shared" ca="1" si="82"/>
        <v>0.15112388705430313</v>
      </c>
      <c r="AG195">
        <f t="shared" ca="1" si="83"/>
        <v>3.2706020283624473E-2</v>
      </c>
      <c r="AI195">
        <f t="shared" ca="1" si="84"/>
        <v>8.9077231137555987E-2</v>
      </c>
      <c r="AK195">
        <f t="shared" ca="1" si="85"/>
        <v>48.700565910252408</v>
      </c>
      <c r="AL195" s="6">
        <f t="shared" si="86"/>
        <v>3.0000000000000001E-5</v>
      </c>
      <c r="AM195" s="6">
        <f t="shared" ca="1" si="87"/>
        <v>128779.94078883999</v>
      </c>
      <c r="AN195" s="6">
        <f t="shared" ca="1" si="88"/>
        <v>4.2957334457796236E-3</v>
      </c>
    </row>
    <row r="196" spans="1:40" x14ac:dyDescent="0.25">
      <c r="A196">
        <f t="shared" si="89"/>
        <v>157</v>
      </c>
      <c r="B196">
        <f t="shared" si="69"/>
        <v>6.5199440295610041</v>
      </c>
      <c r="C196">
        <f t="shared" ca="1" si="90"/>
        <v>0.45945748793549995</v>
      </c>
      <c r="D196">
        <f t="shared" si="70"/>
        <v>2500</v>
      </c>
      <c r="E196">
        <f t="shared" ca="1" si="74"/>
        <v>1426.7383816595648</v>
      </c>
      <c r="F196">
        <f t="shared" si="71"/>
        <v>550</v>
      </c>
      <c r="G196">
        <f t="shared" si="72"/>
        <v>5.2192977958184277E-7</v>
      </c>
      <c r="H196">
        <f t="shared" ca="1" si="75"/>
        <v>7.4465724906053166E-4</v>
      </c>
      <c r="I196">
        <f t="shared" ca="1" si="73"/>
        <v>6.2068754312726286E-2</v>
      </c>
      <c r="J196">
        <f t="shared" ca="1" si="91"/>
        <v>3.903993099355562E-2</v>
      </c>
      <c r="K196">
        <f t="shared" ca="1" si="92"/>
        <v>-3.8159535678230008E-3</v>
      </c>
      <c r="L196">
        <f t="shared" ca="1" si="93"/>
        <v>3.7199310577660308E-2</v>
      </c>
      <c r="M196">
        <f t="shared" ca="1" si="76"/>
        <v>7.2423288003392927E-2</v>
      </c>
      <c r="Q196">
        <f t="shared" si="94"/>
        <v>157</v>
      </c>
      <c r="R196" s="26">
        <f t="shared" si="102"/>
        <v>5.712137824068992</v>
      </c>
      <c r="S196">
        <f t="shared" ca="1" si="95"/>
        <v>0.32013737260942271</v>
      </c>
      <c r="T196" s="23">
        <f t="shared" ca="1" si="96"/>
        <v>2499.9999988024238</v>
      </c>
      <c r="U196">
        <f t="shared" ca="1" si="77"/>
        <v>1564.3628793056596</v>
      </c>
      <c r="V196">
        <f t="shared" si="78"/>
        <v>550</v>
      </c>
      <c r="W196">
        <f t="shared" si="97"/>
        <v>5.2192977958184277E-7</v>
      </c>
      <c r="X196">
        <f t="shared" ca="1" si="79"/>
        <v>8.164875727820198E-4</v>
      </c>
      <c r="Y196">
        <f t="shared" ca="1" si="98"/>
        <v>5.2236708904965033E-2</v>
      </c>
      <c r="Z196" s="6">
        <f t="shared" ca="1" si="80"/>
        <v>-1.8421547394443979E-4</v>
      </c>
      <c r="AA196">
        <f t="shared" ca="1" si="99"/>
        <v>4.910213251693045E-2</v>
      </c>
      <c r="AB196">
        <f t="shared" ca="1" si="100"/>
        <v>6.2462479555518216E-3</v>
      </c>
      <c r="AC196">
        <f t="shared" ca="1" si="101"/>
        <v>2.7137109054285482E-2</v>
      </c>
      <c r="AD196">
        <f t="shared" ca="1" si="81"/>
        <v>8.248548952676775E-2</v>
      </c>
      <c r="AE196">
        <f t="shared" ca="1" si="82"/>
        <v>0.15087255925589294</v>
      </c>
      <c r="AG196">
        <f t="shared" ca="1" si="83"/>
        <v>3.2651628272984297E-2</v>
      </c>
      <c r="AI196">
        <f t="shared" ca="1" si="84"/>
        <v>8.9225618521828157E-2</v>
      </c>
      <c r="AK196">
        <f t="shared" ca="1" si="85"/>
        <v>48.781692697468863</v>
      </c>
      <c r="AL196" s="6">
        <f t="shared" si="86"/>
        <v>3.0000000000000001E-5</v>
      </c>
      <c r="AM196" s="6">
        <f t="shared" ca="1" si="87"/>
        <v>128779.94078883999</v>
      </c>
      <c r="AN196" s="6">
        <f t="shared" ca="1" si="88"/>
        <v>4.2957334457796236E-3</v>
      </c>
    </row>
    <row r="197" spans="1:40" x14ac:dyDescent="0.25">
      <c r="A197">
        <f t="shared" si="89"/>
        <v>158</v>
      </c>
      <c r="B197">
        <f t="shared" si="69"/>
        <v>6.561472335481775</v>
      </c>
      <c r="C197">
        <f t="shared" ca="1" si="90"/>
        <v>0.46203509815272004</v>
      </c>
      <c r="D197">
        <f t="shared" si="70"/>
        <v>2500</v>
      </c>
      <c r="E197">
        <f t="shared" ca="1" si="74"/>
        <v>1423.8096416389878</v>
      </c>
      <c r="F197">
        <f t="shared" si="71"/>
        <v>550</v>
      </c>
      <c r="G197">
        <f t="shared" si="72"/>
        <v>5.2192977958184277E-7</v>
      </c>
      <c r="H197">
        <f t="shared" ca="1" si="75"/>
        <v>7.4312865242713946E-4</v>
      </c>
      <c r="I197">
        <f t="shared" ca="1" si="73"/>
        <v>6.1941342555168054E-2</v>
      </c>
      <c r="J197">
        <f t="shared" ca="1" si="91"/>
        <v>3.8853766681290487E-2</v>
      </c>
      <c r="K197">
        <f t="shared" ca="1" si="92"/>
        <v>-4.0021178800881407E-3</v>
      </c>
      <c r="L197">
        <f t="shared" ca="1" si="93"/>
        <v>3.7385474889925448E-2</v>
      </c>
      <c r="M197">
        <f t="shared" ca="1" si="76"/>
        <v>7.2237123691127794E-2</v>
      </c>
      <c r="Q197">
        <f t="shared" si="94"/>
        <v>158</v>
      </c>
      <c r="R197" s="26">
        <f t="shared" si="102"/>
        <v>5.7485208675343991</v>
      </c>
      <c r="S197">
        <f t="shared" ca="1" si="95"/>
        <v>0.32203790306000185</v>
      </c>
      <c r="T197" s="23">
        <f t="shared" ca="1" si="96"/>
        <v>2499.9999987957212</v>
      </c>
      <c r="U197">
        <f t="shared" ca="1" si="77"/>
        <v>1562.7233508619763</v>
      </c>
      <c r="V197">
        <f t="shared" si="78"/>
        <v>550</v>
      </c>
      <c r="W197">
        <f t="shared" si="97"/>
        <v>5.2192977958184277E-7</v>
      </c>
      <c r="X197">
        <f t="shared" ca="1" si="79"/>
        <v>8.1563185406279004E-4</v>
      </c>
      <c r="Y197">
        <f t="shared" ca="1" si="98"/>
        <v>5.2181962291383853E-2</v>
      </c>
      <c r="Z197" s="6">
        <f t="shared" ca="1" si="80"/>
        <v>-1.839089230631678E-4</v>
      </c>
      <c r="AA197">
        <f t="shared" ca="1" si="99"/>
        <v>4.8964869348935805E-2</v>
      </c>
      <c r="AB197">
        <f t="shared" ca="1" si="100"/>
        <v>6.1089847875571701E-3</v>
      </c>
      <c r="AC197">
        <f t="shared" ca="1" si="101"/>
        <v>2.7274372222280133E-2</v>
      </c>
      <c r="AD197">
        <f t="shared" ca="1" si="81"/>
        <v>8.2348226358773105E-2</v>
      </c>
      <c r="AE197">
        <f t="shared" ca="1" si="82"/>
        <v>0.15062149394086083</v>
      </c>
      <c r="AG197">
        <f t="shared" ca="1" si="83"/>
        <v>3.2597293068629712E-2</v>
      </c>
      <c r="AI197">
        <f t="shared" ca="1" si="84"/>
        <v>8.9374345356711377E-2</v>
      </c>
      <c r="AK197">
        <f t="shared" ca="1" si="85"/>
        <v>48.863005070121979</v>
      </c>
      <c r="AL197" s="6">
        <f t="shared" si="86"/>
        <v>3.0000000000000001E-5</v>
      </c>
      <c r="AM197" s="6">
        <f t="shared" ca="1" si="87"/>
        <v>128779.94078883999</v>
      </c>
      <c r="AN197" s="6">
        <f t="shared" ca="1" si="88"/>
        <v>4.2957334457796236E-3</v>
      </c>
    </row>
    <row r="198" spans="1:40" x14ac:dyDescent="0.25">
      <c r="A198">
        <f t="shared" si="89"/>
        <v>159</v>
      </c>
      <c r="B198">
        <f t="shared" si="69"/>
        <v>6.6030006414025459</v>
      </c>
      <c r="C198">
        <f t="shared" ca="1" si="90"/>
        <v>0.46460741717549431</v>
      </c>
      <c r="D198">
        <f t="shared" si="70"/>
        <v>2500</v>
      </c>
      <c r="E198">
        <f ca="1">D198*$B$9*(1-C198)/($B$9+$B$10-$B$9*C198)</f>
        <v>1420.8709352448761</v>
      </c>
      <c r="F198">
        <f t="shared" si="71"/>
        <v>550</v>
      </c>
      <c r="G198">
        <f t="shared" si="72"/>
        <v>5.2192977958184277E-7</v>
      </c>
      <c r="H198">
        <f t="shared" ca="1" si="75"/>
        <v>7.4159485404660496E-4</v>
      </c>
      <c r="I198">
        <f t="shared" ca="1" si="73"/>
        <v>6.1813497221000213E-2</v>
      </c>
      <c r="J198">
        <f t="shared" ca="1" si="91"/>
        <v>3.86679845181837E-2</v>
      </c>
      <c r="K198">
        <f t="shared" ca="1" si="92"/>
        <v>-4.1879000431949212E-3</v>
      </c>
      <c r="L198">
        <f t="shared" ca="1" si="93"/>
        <v>3.7571257053032228E-2</v>
      </c>
      <c r="M198">
        <f t="shared" ca="1" si="76"/>
        <v>7.2051341528021007E-2</v>
      </c>
      <c r="Q198">
        <f t="shared" si="94"/>
        <v>159</v>
      </c>
      <c r="R198" s="26">
        <f t="shared" si="102"/>
        <v>5.7849039109998071</v>
      </c>
      <c r="S198">
        <f t="shared" ca="1" si="95"/>
        <v>0.32393644166215957</v>
      </c>
      <c r="T198" s="23">
        <f t="shared" ca="1" si="96"/>
        <v>2499.9999987890301</v>
      </c>
      <c r="U198">
        <f ca="1">T198*$B$9*(1-S198)/($B$9+$B$10-$B$9*S198)</f>
        <v>1561.0797937621442</v>
      </c>
      <c r="V198">
        <f t="shared" si="78"/>
        <v>550</v>
      </c>
      <c r="W198">
        <f t="shared" si="97"/>
        <v>5.2192977958184277E-7</v>
      </c>
      <c r="X198">
        <f t="shared" ca="1" si="79"/>
        <v>8.1477403266794451E-4</v>
      </c>
      <c r="Y198">
        <f t="shared" ca="1" si="98"/>
        <v>5.2127081154194808E-2</v>
      </c>
      <c r="Z198" s="6">
        <f t="shared" ca="1" si="80"/>
        <v>-1.8360269346213897E-4</v>
      </c>
      <c r="AA198">
        <f t="shared" ca="1" si="99"/>
        <v>4.8827750039422559E-2</v>
      </c>
      <c r="AB198">
        <f t="shared" ca="1" si="100"/>
        <v>5.9718654780439272E-3</v>
      </c>
      <c r="AC198">
        <f t="shared" ca="1" si="101"/>
        <v>2.7411491531793376E-2</v>
      </c>
      <c r="AD198">
        <f t="shared" ca="1" si="81"/>
        <v>8.2211107049259852E-2</v>
      </c>
      <c r="AE198">
        <f t="shared" ca="1" si="82"/>
        <v>0.15037069175449796</v>
      </c>
      <c r="AG198">
        <f t="shared" ca="1" si="83"/>
        <v>3.2543014810213725E-2</v>
      </c>
      <c r="AI198">
        <f t="shared" ca="1" si="84"/>
        <v>8.9523412179472545E-2</v>
      </c>
      <c r="AK198">
        <f t="shared" ca="1" si="85"/>
        <v>48.944503321947913</v>
      </c>
      <c r="AL198" s="6">
        <f t="shared" si="86"/>
        <v>3.0000000000000001E-5</v>
      </c>
      <c r="AM198" s="6">
        <f t="shared" ca="1" si="87"/>
        <v>128779.94078883999</v>
      </c>
      <c r="AN198" s="6">
        <f t="shared" ca="1" si="88"/>
        <v>4.2957334457796236E-3</v>
      </c>
    </row>
    <row r="199" spans="1:40" x14ac:dyDescent="0.25">
      <c r="A199">
        <f t="shared" si="89"/>
        <v>160</v>
      </c>
      <c r="B199">
        <f t="shared" si="69"/>
        <v>6.644528947323316</v>
      </c>
      <c r="C199">
        <f t="shared" ca="1" si="90"/>
        <v>0.46717442699812067</v>
      </c>
      <c r="D199">
        <f t="shared" si="70"/>
        <v>2500</v>
      </c>
      <c r="E199">
        <f t="shared" ref="E199:E239" ca="1" si="103">D199*$B$9*(1-C199)/($B$9+$B$10-$B$9*C199)</f>
        <v>1417.9222510037823</v>
      </c>
      <c r="F199">
        <f t="shared" si="71"/>
        <v>550</v>
      </c>
      <c r="G199">
        <f t="shared" si="72"/>
        <v>5.2192977958184277E-7</v>
      </c>
      <c r="H199">
        <f t="shared" ca="1" si="75"/>
        <v>7.4005584793059443E-4</v>
      </c>
      <c r="I199">
        <f t="shared" ca="1" si="73"/>
        <v>6.1685217811082479E-2</v>
      </c>
      <c r="J199">
        <f t="shared" ca="1" si="91"/>
        <v>3.8482585804672065E-2</v>
      </c>
      <c r="K199">
        <f t="shared" ca="1" si="92"/>
        <v>-4.3732987567065701E-3</v>
      </c>
      <c r="L199">
        <f t="shared" ca="1" si="93"/>
        <v>3.7756655766543877E-2</v>
      </c>
      <c r="M199">
        <f t="shared" ca="1" si="76"/>
        <v>7.1865942814509365E-2</v>
      </c>
      <c r="Q199">
        <f t="shared" si="94"/>
        <v>160</v>
      </c>
      <c r="R199" s="26">
        <f t="shared" si="102"/>
        <v>5.8212869544652142</v>
      </c>
      <c r="S199">
        <f t="shared" ca="1" si="95"/>
        <v>0.32583298352151746</v>
      </c>
      <c r="T199" s="23">
        <f t="shared" ca="1" si="96"/>
        <v>2499.9999987823498</v>
      </c>
      <c r="U199">
        <f t="shared" ref="U199:U239" ca="1" si="104">T199*$B$9*(1-S199)/($B$9+$B$10-$B$9*S199)</f>
        <v>1559.4322001220787</v>
      </c>
      <c r="V199">
        <f t="shared" si="78"/>
        <v>550</v>
      </c>
      <c r="W199">
        <f t="shared" si="97"/>
        <v>5.2192977958184277E-7</v>
      </c>
      <c r="X199">
        <f t="shared" ca="1" si="79"/>
        <v>8.1391410448254469E-4</v>
      </c>
      <c r="Y199">
        <f t="shared" ca="1" si="98"/>
        <v>5.2072065230135064E-2</v>
      </c>
      <c r="Z199" s="6">
        <f t="shared" ca="1" si="80"/>
        <v>-1.8329678593080449E-4</v>
      </c>
      <c r="AA199">
        <f t="shared" ca="1" si="99"/>
        <v>4.8690774941880385E-2</v>
      </c>
      <c r="AB199">
        <f t="shared" ca="1" si="100"/>
        <v>5.8348903805017609E-3</v>
      </c>
      <c r="AC199">
        <f t="shared" ca="1" si="101"/>
        <v>2.7548466629335543E-2</v>
      </c>
      <c r="AD199">
        <f t="shared" ca="1" si="81"/>
        <v>8.2074131951717699E-2</v>
      </c>
      <c r="AE199">
        <f t="shared" ca="1" si="82"/>
        <v>0.15012015334336534</v>
      </c>
      <c r="AG199">
        <f t="shared" ca="1" si="83"/>
        <v>3.2488793637664173E-2</v>
      </c>
      <c r="AI199">
        <f t="shared" ca="1" si="84"/>
        <v>8.9672819524076602E-2</v>
      </c>
      <c r="AK199">
        <f t="shared" ca="1" si="85"/>
        <v>49.026187744877511</v>
      </c>
      <c r="AL199" s="6">
        <f t="shared" si="86"/>
        <v>3.0000000000000001E-5</v>
      </c>
      <c r="AM199" s="6">
        <f t="shared" ca="1" si="87"/>
        <v>128779.94078883997</v>
      </c>
      <c r="AN199" s="6">
        <f t="shared" ca="1" si="88"/>
        <v>4.2957334457796236E-3</v>
      </c>
    </row>
    <row r="200" spans="1:40" x14ac:dyDescent="0.25">
      <c r="A200">
        <f t="shared" si="89"/>
        <v>161</v>
      </c>
      <c r="B200">
        <f t="shared" si="69"/>
        <v>6.686057253244087</v>
      </c>
      <c r="C200">
        <f t="shared" ca="1" si="90"/>
        <v>0.46973610959416867</v>
      </c>
      <c r="D200">
        <f t="shared" si="70"/>
        <v>2500</v>
      </c>
      <c r="E200">
        <f t="shared" ca="1" si="103"/>
        <v>1414.9635779059399</v>
      </c>
      <c r="F200">
        <f t="shared" si="71"/>
        <v>550</v>
      </c>
      <c r="G200">
        <f t="shared" si="72"/>
        <v>5.2192977958184277E-7</v>
      </c>
      <c r="H200">
        <f t="shared" ca="1" si="75"/>
        <v>7.3851162833278279E-4</v>
      </c>
      <c r="I200">
        <f t="shared" ca="1" si="73"/>
        <v>6.1556503846446543E-2</v>
      </c>
      <c r="J200">
        <f t="shared" ca="1" si="91"/>
        <v>3.8297571842689414E-2</v>
      </c>
      <c r="K200">
        <f t="shared" ca="1" si="92"/>
        <v>-4.5583127186892142E-3</v>
      </c>
      <c r="L200">
        <f t="shared" ca="1" si="93"/>
        <v>3.7941669728526521E-2</v>
      </c>
      <c r="M200">
        <f t="shared" ca="1" si="76"/>
        <v>7.1680928852526721E-2</v>
      </c>
      <c r="Q200">
        <f t="shared" si="94"/>
        <v>161</v>
      </c>
      <c r="R200" s="26">
        <f t="shared" si="102"/>
        <v>5.8576699979306213</v>
      </c>
      <c r="S200">
        <f t="shared" ca="1" si="95"/>
        <v>0.32772752373411895</v>
      </c>
      <c r="T200" s="23">
        <f t="shared" ca="1" si="96"/>
        <v>2499.999998775681</v>
      </c>
      <c r="U200">
        <f t="shared" ca="1" si="104"/>
        <v>1557.7805620852803</v>
      </c>
      <c r="V200">
        <f t="shared" si="78"/>
        <v>550</v>
      </c>
      <c r="W200">
        <f t="shared" si="97"/>
        <v>5.2192977958184277E-7</v>
      </c>
      <c r="X200">
        <f t="shared" ca="1" si="79"/>
        <v>8.1305206540604948E-4</v>
      </c>
      <c r="Y200">
        <f t="shared" ca="1" si="98"/>
        <v>5.2016914256862862E-2</v>
      </c>
      <c r="Z200" s="6">
        <f t="shared" ca="1" si="80"/>
        <v>-1.8299120126016042E-4</v>
      </c>
      <c r="AA200">
        <f t="shared" ca="1" si="99"/>
        <v>4.8553944410490747E-2</v>
      </c>
      <c r="AB200">
        <f t="shared" ca="1" si="100"/>
        <v>5.6980598491121158E-3</v>
      </c>
      <c r="AC200">
        <f t="shared" ca="1" si="101"/>
        <v>2.7685297160725188E-2</v>
      </c>
      <c r="AD200">
        <f t="shared" ca="1" si="81"/>
        <v>8.193730142032804E-2</v>
      </c>
      <c r="AE200">
        <f t="shared" ca="1" si="82"/>
        <v>0.149869879355289</v>
      </c>
      <c r="AG200">
        <f t="shared" ca="1" si="83"/>
        <v>3.2434629691182652E-2</v>
      </c>
      <c r="AI200">
        <f t="shared" ca="1" si="84"/>
        <v>8.9822567921131385E-2</v>
      </c>
      <c r="AK200">
        <f t="shared" ca="1" si="85"/>
        <v>49.108058629006287</v>
      </c>
      <c r="AL200" s="6">
        <f t="shared" si="86"/>
        <v>3.0000000000000001E-5</v>
      </c>
      <c r="AM200" s="6">
        <f t="shared" ca="1" si="87"/>
        <v>128779.94078883999</v>
      </c>
      <c r="AN200" s="6">
        <f t="shared" ca="1" si="88"/>
        <v>4.2957334457796236E-3</v>
      </c>
    </row>
    <row r="201" spans="1:40" x14ac:dyDescent="0.25">
      <c r="A201">
        <f t="shared" si="89"/>
        <v>162</v>
      </c>
      <c r="B201">
        <f t="shared" si="69"/>
        <v>6.7275855591648579</v>
      </c>
      <c r="C201">
        <f t="shared" ca="1" si="90"/>
        <v>0.47229244691731703</v>
      </c>
      <c r="D201">
        <f t="shared" si="70"/>
        <v>2500</v>
      </c>
      <c r="E201">
        <f t="shared" ca="1" si="103"/>
        <v>1411.9949054135436</v>
      </c>
      <c r="F201">
        <f t="shared" si="71"/>
        <v>550</v>
      </c>
      <c r="G201">
        <f t="shared" si="72"/>
        <v>5.2192977958184277E-7</v>
      </c>
      <c r="H201">
        <f t="shared" ca="1" si="75"/>
        <v>7.3696218975317571E-4</v>
      </c>
      <c r="I201">
        <f t="shared" ca="1" si="73"/>
        <v>6.1427354868656268E-2</v>
      </c>
      <c r="J201">
        <f t="shared" ca="1" si="91"/>
        <v>3.8112943935606207E-2</v>
      </c>
      <c r="K201">
        <f t="shared" ca="1" si="92"/>
        <v>-4.7429406257724141E-3</v>
      </c>
      <c r="L201">
        <f t="shared" ca="1" si="93"/>
        <v>3.8126297635609721E-2</v>
      </c>
      <c r="M201">
        <f t="shared" ca="1" si="76"/>
        <v>7.1496300945443514E-2</v>
      </c>
      <c r="Q201">
        <f t="shared" si="94"/>
        <v>162</v>
      </c>
      <c r="R201" s="26">
        <f t="shared" si="102"/>
        <v>5.8940530413960301</v>
      </c>
      <c r="S201">
        <f t="shared" ca="1" si="95"/>
        <v>0.32962005738646283</v>
      </c>
      <c r="T201" s="23">
        <f t="shared" ca="1" si="96"/>
        <v>2499.999998769023</v>
      </c>
      <c r="U201">
        <f t="shared" ca="1" si="104"/>
        <v>1556.1248718234465</v>
      </c>
      <c r="V201">
        <f t="shared" si="78"/>
        <v>550</v>
      </c>
      <c r="W201">
        <f t="shared" si="97"/>
        <v>5.2192977958184277E-7</v>
      </c>
      <c r="X201">
        <f t="shared" ca="1" si="79"/>
        <v>8.1218791135263476E-4</v>
      </c>
      <c r="Y201">
        <f t="shared" ca="1" si="98"/>
        <v>5.1961627972978021E-2</v>
      </c>
      <c r="Z201" s="6">
        <f t="shared" ca="1" si="80"/>
        <v>-1.826859402427425E-4</v>
      </c>
      <c r="AA201">
        <f t="shared" ca="1" si="99"/>
        <v>4.8417258800124416E-2</v>
      </c>
      <c r="AB201">
        <f t="shared" ca="1" si="100"/>
        <v>5.5613742387457844E-3</v>
      </c>
      <c r="AC201">
        <f t="shared" ca="1" si="101"/>
        <v>2.7821982771091519E-2</v>
      </c>
      <c r="AD201">
        <f t="shared" ca="1" si="81"/>
        <v>8.1800615809961716E-2</v>
      </c>
      <c r="AE201">
        <f t="shared" ca="1" si="82"/>
        <v>0.14961987043935623</v>
      </c>
      <c r="AG201">
        <f t="shared" ca="1" si="83"/>
        <v>3.2380523111243738E-2</v>
      </c>
      <c r="AI201">
        <f t="shared" ca="1" si="84"/>
        <v>8.9972657897831473E-2</v>
      </c>
      <c r="AK201">
        <f t="shared" ca="1" si="85"/>
        <v>49.190116262563564</v>
      </c>
      <c r="AL201" s="6">
        <f t="shared" si="86"/>
        <v>3.0000000000000001E-5</v>
      </c>
      <c r="AM201" s="6">
        <f t="shared" ca="1" si="87"/>
        <v>128779.94078883999</v>
      </c>
      <c r="AN201" s="6">
        <f t="shared" ca="1" si="88"/>
        <v>4.2957334457796236E-3</v>
      </c>
    </row>
    <row r="202" spans="1:40" x14ac:dyDescent="0.25">
      <c r="A202">
        <f t="shared" si="89"/>
        <v>163</v>
      </c>
      <c r="B202">
        <f t="shared" si="69"/>
        <v>6.769113865085628</v>
      </c>
      <c r="C202">
        <f t="shared" ca="1" si="90"/>
        <v>0.47484342090220627</v>
      </c>
      <c r="D202">
        <f t="shared" si="70"/>
        <v>2500</v>
      </c>
      <c r="E202">
        <f t="shared" ca="1" si="103"/>
        <v>1409.0162234690897</v>
      </c>
      <c r="F202">
        <f t="shared" si="71"/>
        <v>550</v>
      </c>
      <c r="G202">
        <f t="shared" si="72"/>
        <v>5.2192977958184277E-7</v>
      </c>
      <c r="H202">
        <f t="shared" ca="1" si="75"/>
        <v>7.3540752694246253E-4</v>
      </c>
      <c r="I202">
        <f t="shared" ca="1" si="73"/>
        <v>6.1297770440170513E-2</v>
      </c>
      <c r="J202">
        <f t="shared" ca="1" si="91"/>
        <v>3.7928703388167923E-2</v>
      </c>
      <c r="K202">
        <f t="shared" ca="1" si="92"/>
        <v>-4.9271811732107054E-3</v>
      </c>
      <c r="L202">
        <f t="shared" ca="1" si="93"/>
        <v>3.8310538183048012E-2</v>
      </c>
      <c r="M202">
        <f t="shared" ca="1" si="76"/>
        <v>7.1312060398005223E-2</v>
      </c>
      <c r="Q202">
        <f t="shared" si="94"/>
        <v>163</v>
      </c>
      <c r="R202" s="26">
        <f t="shared" si="102"/>
        <v>5.9304360848614373</v>
      </c>
      <c r="S202">
        <f t="shared" ca="1" si="95"/>
        <v>0.33151057955553698</v>
      </c>
      <c r="T202" s="23">
        <f t="shared" ca="1" si="96"/>
        <v>2499.9999987623764</v>
      </c>
      <c r="U202">
        <f t="shared" ca="1" si="104"/>
        <v>1554.4651215370991</v>
      </c>
      <c r="V202">
        <f t="shared" si="78"/>
        <v>550</v>
      </c>
      <c r="W202">
        <f t="shared" si="97"/>
        <v>5.2192977958184277E-7</v>
      </c>
      <c r="X202">
        <f t="shared" ca="1" si="79"/>
        <v>8.1132163825152058E-4</v>
      </c>
      <c r="Y202">
        <f t="shared" ca="1" si="98"/>
        <v>5.1906206118042836E-2</v>
      </c>
      <c r="Z202" s="6">
        <f t="shared" ca="1" si="80"/>
        <v>-1.8238100367262038E-4</v>
      </c>
      <c r="AA202">
        <f t="shared" ca="1" si="99"/>
        <v>4.8280718466339093E-2</v>
      </c>
      <c r="AB202">
        <f t="shared" ca="1" si="100"/>
        <v>5.4248339049604646E-3</v>
      </c>
      <c r="AC202">
        <f t="shared" ca="1" si="101"/>
        <v>2.7958523104876839E-2</v>
      </c>
      <c r="AD202">
        <f t="shared" ca="1" si="81"/>
        <v>8.1664075476176393E-2</v>
      </c>
      <c r="AE202">
        <f t="shared" ca="1" si="82"/>
        <v>0.14937012724591031</v>
      </c>
      <c r="AG202">
        <f t="shared" ca="1" si="83"/>
        <v>3.2326474038593796E-2</v>
      </c>
      <c r="AI202">
        <f t="shared" ca="1" si="84"/>
        <v>9.0123089977902054E-2</v>
      </c>
      <c r="AK202">
        <f t="shared" ca="1" si="85"/>
        <v>49.272360931881963</v>
      </c>
      <c r="AL202" s="6">
        <f t="shared" si="86"/>
        <v>3.0000000000000001E-5</v>
      </c>
      <c r="AM202" s="6">
        <f t="shared" ca="1" si="87"/>
        <v>128779.94078883996</v>
      </c>
      <c r="AN202" s="6">
        <f t="shared" ca="1" si="88"/>
        <v>4.2957334457796236E-3</v>
      </c>
    </row>
    <row r="203" spans="1:40" x14ac:dyDescent="0.25">
      <c r="A203">
        <f t="shared" si="89"/>
        <v>164</v>
      </c>
      <c r="B203">
        <f t="shared" si="69"/>
        <v>6.8106421710063989</v>
      </c>
      <c r="C203">
        <f t="shared" ca="1" si="90"/>
        <v>0.47738901346530688</v>
      </c>
      <c r="D203">
        <f t="shared" si="70"/>
        <v>2500</v>
      </c>
      <c r="E203">
        <f t="shared" ca="1" si="103"/>
        <v>1406.0275225037897</v>
      </c>
      <c r="F203">
        <f t="shared" si="71"/>
        <v>550</v>
      </c>
      <c r="G203">
        <f t="shared" si="72"/>
        <v>5.2192977958184277E-7</v>
      </c>
      <c r="H203">
        <f t="shared" ca="1" si="75"/>
        <v>7.3384763490640743E-4</v>
      </c>
      <c r="I203">
        <f t="shared" ca="1" si="73"/>
        <v>6.1167750144709161E-2</v>
      </c>
      <c r="J203">
        <f t="shared" ca="1" si="91"/>
        <v>3.7744851506432302E-2</v>
      </c>
      <c r="K203">
        <f t="shared" ca="1" si="92"/>
        <v>-5.1110330549463193E-3</v>
      </c>
      <c r="L203">
        <f t="shared" ca="1" si="93"/>
        <v>3.8494390064783626E-2</v>
      </c>
      <c r="M203">
        <f t="shared" ca="1" si="76"/>
        <v>7.1128208516269609E-2</v>
      </c>
      <c r="Q203">
        <f t="shared" si="94"/>
        <v>164</v>
      </c>
      <c r="R203" s="26">
        <f t="shared" si="102"/>
        <v>5.9668191283268444</v>
      </c>
      <c r="S203">
        <f t="shared" ca="1" si="95"/>
        <v>0.33339908530885409</v>
      </c>
      <c r="T203" s="23">
        <f t="shared" ca="1" si="96"/>
        <v>2499.9999987557408</v>
      </c>
      <c r="U203">
        <f t="shared" ca="1" si="104"/>
        <v>1552.8013034562098</v>
      </c>
      <c r="V203">
        <f t="shared" si="78"/>
        <v>550</v>
      </c>
      <c r="W203">
        <f t="shared" si="97"/>
        <v>5.2192977958184277E-7</v>
      </c>
      <c r="X203">
        <f t="shared" ca="1" si="79"/>
        <v>8.1045324204729772E-4</v>
      </c>
      <c r="Y203">
        <f t="shared" ca="1" si="98"/>
        <v>5.1850648432602994E-2</v>
      </c>
      <c r="Z203" s="6">
        <f t="shared" ca="1" si="80"/>
        <v>-1.8207639234539219E-4</v>
      </c>
      <c r="AA203">
        <f t="shared" ca="1" si="99"/>
        <v>4.814432376537682E-2</v>
      </c>
      <c r="AB203">
        <f t="shared" ca="1" si="100"/>
        <v>5.2884392039981923E-3</v>
      </c>
      <c r="AC203">
        <f t="shared" ca="1" si="101"/>
        <v>2.8094917805839111E-2</v>
      </c>
      <c r="AD203">
        <f t="shared" ca="1" si="81"/>
        <v>8.152768077521412E-2</v>
      </c>
      <c r="AE203">
        <f t="shared" ca="1" si="82"/>
        <v>0.14912065042654654</v>
      </c>
      <c r="AG203">
        <f t="shared" ca="1" si="83"/>
        <v>3.2272482614250177E-2</v>
      </c>
      <c r="AI203">
        <f t="shared" ca="1" si="84"/>
        <v>9.0273864681541971E-2</v>
      </c>
      <c r="AK203">
        <f t="shared" ca="1" si="85"/>
        <v>49.354792921366112</v>
      </c>
      <c r="AL203" s="6">
        <f t="shared" si="86"/>
        <v>3.0000000000000001E-5</v>
      </c>
      <c r="AM203" s="6">
        <f t="shared" ca="1" si="87"/>
        <v>128779.94078883996</v>
      </c>
      <c r="AN203" s="6">
        <f t="shared" ca="1" si="88"/>
        <v>4.2957334457796236E-3</v>
      </c>
    </row>
    <row r="204" spans="1:40" x14ac:dyDescent="0.25">
      <c r="A204">
        <f t="shared" si="89"/>
        <v>165</v>
      </c>
      <c r="B204">
        <f t="shared" si="69"/>
        <v>6.8521704769271699</v>
      </c>
      <c r="C204">
        <f t="shared" ca="1" si="90"/>
        <v>0.47992920650580162</v>
      </c>
      <c r="D204">
        <f t="shared" si="70"/>
        <v>2500</v>
      </c>
      <c r="E204">
        <f t="shared" ca="1" si="103"/>
        <v>1403.0287934460553</v>
      </c>
      <c r="F204">
        <f t="shared" si="71"/>
        <v>550</v>
      </c>
      <c r="G204">
        <f t="shared" si="72"/>
        <v>5.2192977958184277E-7</v>
      </c>
      <c r="H204">
        <f t="shared" ca="1" si="75"/>
        <v>7.322825089102784E-4</v>
      </c>
      <c r="I204">
        <f t="shared" ca="1" si="73"/>
        <v>6.1037293587622318E-2</v>
      </c>
      <c r="J204">
        <f t="shared" ca="1" si="91"/>
        <v>3.7561389597705705E-2</v>
      </c>
      <c r="K204">
        <f t="shared" ca="1" si="92"/>
        <v>-5.294494963672923E-3</v>
      </c>
      <c r="L204">
        <f t="shared" ca="1" si="93"/>
        <v>3.867785197351023E-2</v>
      </c>
      <c r="M204">
        <f t="shared" ca="1" si="76"/>
        <v>7.0944746607543019E-2</v>
      </c>
      <c r="Q204">
        <f t="shared" si="94"/>
        <v>165</v>
      </c>
      <c r="R204" s="26">
        <f t="shared" si="102"/>
        <v>6.0032021717922524</v>
      </c>
      <c r="S204">
        <f t="shared" ca="1" si="95"/>
        <v>0.33528556970448709</v>
      </c>
      <c r="T204" s="23">
        <f t="shared" ca="1" si="96"/>
        <v>2499.9999987491165</v>
      </c>
      <c r="U204">
        <f t="shared" ca="1" si="104"/>
        <v>1551.1334098408361</v>
      </c>
      <c r="V204">
        <f t="shared" si="78"/>
        <v>550</v>
      </c>
      <c r="W204">
        <f t="shared" si="97"/>
        <v>5.2192977958184277E-7</v>
      </c>
      <c r="X204">
        <f t="shared" ca="1" si="79"/>
        <v>8.0958271870025978E-4</v>
      </c>
      <c r="Y204">
        <f t="shared" ca="1" si="98"/>
        <v>5.1794954658208783E-2</v>
      </c>
      <c r="Z204" s="6">
        <f t="shared" ca="1" si="80"/>
        <v>-1.8177210705817867E-4</v>
      </c>
      <c r="AA204">
        <f t="shared" ca="1" si="99"/>
        <v>4.8008075054161402E-2</v>
      </c>
      <c r="AB204">
        <f t="shared" ca="1" si="100"/>
        <v>5.1521904927827773E-3</v>
      </c>
      <c r="AC204">
        <f t="shared" ca="1" si="101"/>
        <v>2.8231166517054526E-2</v>
      </c>
      <c r="AD204">
        <f t="shared" ca="1" si="81"/>
        <v>8.1391432063998709E-2</v>
      </c>
      <c r="AE204">
        <f t="shared" ca="1" si="82"/>
        <v>0.14887144063410712</v>
      </c>
      <c r="AG204">
        <f t="shared" ca="1" si="83"/>
        <v>3.2218548979500085E-2</v>
      </c>
      <c r="AI204">
        <f t="shared" ca="1" si="84"/>
        <v>9.0424982525366404E-2</v>
      </c>
      <c r="AK204">
        <f t="shared" ca="1" si="85"/>
        <v>49.437412513461375</v>
      </c>
      <c r="AL204" s="6">
        <f t="shared" si="86"/>
        <v>3.0000000000000001E-5</v>
      </c>
      <c r="AM204" s="6">
        <f t="shared" ca="1" si="87"/>
        <v>128779.94078883999</v>
      </c>
      <c r="AN204" s="6">
        <f t="shared" ca="1" si="88"/>
        <v>4.2957334457796236E-3</v>
      </c>
    </row>
    <row r="205" spans="1:40" x14ac:dyDescent="0.25">
      <c r="A205">
        <f t="shared" si="89"/>
        <v>166</v>
      </c>
      <c r="B205">
        <f t="shared" si="69"/>
        <v>6.8936987828479399</v>
      </c>
      <c r="C205">
        <f t="shared" ca="1" si="90"/>
        <v>0.48246398190648426</v>
      </c>
      <c r="D205">
        <f t="shared" si="70"/>
        <v>2500</v>
      </c>
      <c r="E205">
        <f t="shared" ca="1" si="103"/>
        <v>1400.0200277300453</v>
      </c>
      <c r="F205">
        <f t="shared" si="71"/>
        <v>550</v>
      </c>
      <c r="G205">
        <f t="shared" si="72"/>
        <v>5.2192977958184277E-7</v>
      </c>
      <c r="H205">
        <f t="shared" ca="1" si="75"/>
        <v>7.3071214448330792E-4</v>
      </c>
      <c r="I205">
        <f t="shared" ca="1" si="73"/>
        <v>6.0906400396262078E-2</v>
      </c>
      <c r="J205">
        <f t="shared" ca="1" si="91"/>
        <v>3.7378318970478143E-2</v>
      </c>
      <c r="K205">
        <f t="shared" ca="1" si="92"/>
        <v>-5.4775655909004919E-3</v>
      </c>
      <c r="L205">
        <f t="shared" ca="1" si="93"/>
        <v>3.8860922600737799E-2</v>
      </c>
      <c r="M205">
        <f t="shared" ca="1" si="76"/>
        <v>7.076167598031545E-2</v>
      </c>
      <c r="Q205">
        <f t="shared" si="94"/>
        <v>166</v>
      </c>
      <c r="R205" s="26">
        <f t="shared" si="102"/>
        <v>6.0395852152576595</v>
      </c>
      <c r="S205">
        <f t="shared" ca="1" si="95"/>
        <v>0.3371700277911055</v>
      </c>
      <c r="T205" s="23">
        <f t="shared" ca="1" si="96"/>
        <v>2499.9999987425031</v>
      </c>
      <c r="U205">
        <f t="shared" ca="1" si="104"/>
        <v>1549.4614329817632</v>
      </c>
      <c r="V205">
        <f t="shared" si="78"/>
        <v>550</v>
      </c>
      <c r="W205">
        <f t="shared" si="97"/>
        <v>5.2192977958184277E-7</v>
      </c>
      <c r="X205">
        <f t="shared" ca="1" si="79"/>
        <v>8.0871006418673788E-4</v>
      </c>
      <c r="Y205">
        <f t="shared" ca="1" si="98"/>
        <v>5.1739124537436551E-2</v>
      </c>
      <c r="Z205" s="6">
        <f t="shared" ca="1" si="80"/>
        <v>-1.8146814860961708E-4</v>
      </c>
      <c r="AA205">
        <f t="shared" ca="1" si="99"/>
        <v>4.7871972690295798E-2</v>
      </c>
      <c r="AB205">
        <f t="shared" ca="1" si="100"/>
        <v>5.016088128917174E-3</v>
      </c>
      <c r="AC205">
        <f t="shared" ca="1" si="101"/>
        <v>2.836726888092013E-2</v>
      </c>
      <c r="AD205">
        <f t="shared" ca="1" si="81"/>
        <v>8.1255329700133105E-2</v>
      </c>
      <c r="AE205">
        <f t="shared" ca="1" si="82"/>
        <v>0.14862249852267642</v>
      </c>
      <c r="AG205">
        <f t="shared" ca="1" si="83"/>
        <v>3.216467327589953E-2</v>
      </c>
      <c r="AI205">
        <f t="shared" ca="1" si="84"/>
        <v>9.0576444022349156E-2</v>
      </c>
      <c r="AK205">
        <f t="shared" ca="1" si="85"/>
        <v>49.520219988622308</v>
      </c>
      <c r="AL205" s="6">
        <f t="shared" si="86"/>
        <v>3.0000000000000001E-5</v>
      </c>
      <c r="AM205" s="6">
        <f t="shared" ca="1" si="87"/>
        <v>128779.94078883999</v>
      </c>
      <c r="AN205" s="6">
        <f t="shared" ca="1" si="88"/>
        <v>4.2957334457796236E-3</v>
      </c>
    </row>
    <row r="206" spans="1:40" x14ac:dyDescent="0.25">
      <c r="A206">
        <f t="shared" si="89"/>
        <v>167</v>
      </c>
      <c r="B206">
        <f t="shared" si="69"/>
        <v>6.9352270887687109</v>
      </c>
      <c r="C206">
        <f t="shared" ca="1" si="90"/>
        <v>0.48499332153467317</v>
      </c>
      <c r="D206">
        <f t="shared" si="70"/>
        <v>2500</v>
      </c>
      <c r="E206">
        <f t="shared" ca="1" si="103"/>
        <v>1397.001217304286</v>
      </c>
      <c r="F206">
        <f t="shared" si="71"/>
        <v>550</v>
      </c>
      <c r="G206">
        <f t="shared" si="72"/>
        <v>5.2192977958184277E-7</v>
      </c>
      <c r="H206">
        <f t="shared" ca="1" si="75"/>
        <v>7.2913653742319201E-4</v>
      </c>
      <c r="I206">
        <f t="shared" ca="1" si="73"/>
        <v>6.077507022035751E-2</v>
      </c>
      <c r="J206">
        <f t="shared" ca="1" si="91"/>
        <v>3.7195640934357316E-2</v>
      </c>
      <c r="K206">
        <f t="shared" ca="1" si="92"/>
        <v>-5.6602436270213122E-3</v>
      </c>
      <c r="L206">
        <f t="shared" ca="1" si="93"/>
        <v>3.9043600636858619E-2</v>
      </c>
      <c r="M206">
        <f t="shared" ca="1" si="76"/>
        <v>7.0578997944194616E-2</v>
      </c>
      <c r="Q206">
        <f t="shared" si="94"/>
        <v>167</v>
      </c>
      <c r="R206" s="26">
        <f t="shared" si="102"/>
        <v>6.0759682587230683</v>
      </c>
      <c r="S206">
        <f t="shared" ca="1" si="95"/>
        <v>0.33905245460801325</v>
      </c>
      <c r="T206" s="23">
        <f t="shared" ca="1" si="96"/>
        <v>2499.9999987359006</v>
      </c>
      <c r="U206">
        <f t="shared" ca="1" si="104"/>
        <v>1547.7853652011484</v>
      </c>
      <c r="V206">
        <f t="shared" si="78"/>
        <v>550</v>
      </c>
      <c r="W206">
        <f t="shared" si="97"/>
        <v>5.2192977958184277E-7</v>
      </c>
      <c r="X206">
        <f t="shared" ca="1" si="79"/>
        <v>8.0783527449943741E-4</v>
      </c>
      <c r="Y206">
        <f t="shared" ca="1" si="98"/>
        <v>5.1683157813910217E-2</v>
      </c>
      <c r="Z206" s="6">
        <f t="shared" ca="1" si="80"/>
        <v>-1.8116451779985555E-4</v>
      </c>
      <c r="AA206">
        <f t="shared" ca="1" si="99"/>
        <v>4.7736017032059382E-2</v>
      </c>
      <c r="AB206">
        <f t="shared" ca="1" si="100"/>
        <v>4.8801324706807502E-3</v>
      </c>
      <c r="AC206">
        <f t="shared" ca="1" si="101"/>
        <v>2.8503224539156553E-2</v>
      </c>
      <c r="AD206">
        <f t="shared" ca="1" si="81"/>
        <v>8.1119374041896675E-2</v>
      </c>
      <c r="AE206">
        <f t="shared" ca="1" si="82"/>
        <v>0.14837382474757607</v>
      </c>
      <c r="AG206">
        <f t="shared" ca="1" si="83"/>
        <v>3.2110855645272315E-2</v>
      </c>
      <c r="AI206">
        <f t="shared" ca="1" si="84"/>
        <v>9.0728249681764281E-2</v>
      </c>
      <c r="AK206">
        <f t="shared" ca="1" si="85"/>
        <v>49.603215625280733</v>
      </c>
      <c r="AL206" s="6">
        <f t="shared" si="86"/>
        <v>3.0000000000000001E-5</v>
      </c>
      <c r="AM206" s="6">
        <f t="shared" ca="1" si="87"/>
        <v>128779.94078884</v>
      </c>
      <c r="AN206" s="6">
        <f t="shared" ca="1" si="88"/>
        <v>4.2957334457796236E-3</v>
      </c>
    </row>
    <row r="207" spans="1:40" x14ac:dyDescent="0.25">
      <c r="A207">
        <f t="shared" si="89"/>
        <v>168</v>
      </c>
      <c r="B207">
        <f t="shared" si="69"/>
        <v>6.9767553946894818</v>
      </c>
      <c r="C207">
        <f t="shared" ca="1" si="90"/>
        <v>0.48751720724314052</v>
      </c>
      <c r="D207">
        <f t="shared" si="70"/>
        <v>2500</v>
      </c>
      <c r="E207">
        <f t="shared" ca="1" si="103"/>
        <v>1393.9723546403543</v>
      </c>
      <c r="F207">
        <f t="shared" si="71"/>
        <v>550</v>
      </c>
      <c r="G207">
        <f t="shared" si="72"/>
        <v>5.2192977958184277E-7</v>
      </c>
      <c r="H207">
        <f t="shared" ca="1" si="75"/>
        <v>7.2755568380062253E-4</v>
      </c>
      <c r="I207">
        <f t="shared" ca="1" si="73"/>
        <v>6.0643302732392483E-2</v>
      </c>
      <c r="J207">
        <f t="shared" ca="1" si="91"/>
        <v>3.7013356800001514E-2</v>
      </c>
      <c r="K207">
        <f t="shared" ca="1" si="92"/>
        <v>-5.8425277613771143E-3</v>
      </c>
      <c r="L207">
        <f t="shared" ca="1" si="93"/>
        <v>3.9225884771214421E-2</v>
      </c>
      <c r="M207">
        <f t="shared" ca="1" si="76"/>
        <v>7.0396713809838821E-2</v>
      </c>
      <c r="Q207">
        <f t="shared" si="94"/>
        <v>168</v>
      </c>
      <c r="R207" s="26">
        <f t="shared" si="102"/>
        <v>6.1123513021884754</v>
      </c>
      <c r="S207">
        <f t="shared" ca="1" si="95"/>
        <v>0.34093284518518624</v>
      </c>
      <c r="T207" s="23">
        <f t="shared" ca="1" si="96"/>
        <v>2499.9999987293095</v>
      </c>
      <c r="U207">
        <f t="shared" ca="1" si="104"/>
        <v>1546.105198853176</v>
      </c>
      <c r="V207">
        <f t="shared" si="78"/>
        <v>550</v>
      </c>
      <c r="W207">
        <f t="shared" si="97"/>
        <v>5.2192977958184277E-7</v>
      </c>
      <c r="X207">
        <f t="shared" ca="1" si="79"/>
        <v>8.0695834564777937E-4</v>
      </c>
      <c r="Y207">
        <f t="shared" ca="1" si="98"/>
        <v>5.1627054232323118E-2</v>
      </c>
      <c r="Z207" s="6">
        <f t="shared" ca="1" si="80"/>
        <v>-1.8086121543054674E-4</v>
      </c>
      <c r="AA207">
        <f t="shared" ca="1" si="99"/>
        <v>4.760020843840522E-2</v>
      </c>
      <c r="AB207">
        <f t="shared" ca="1" si="100"/>
        <v>4.7443238770265919E-3</v>
      </c>
      <c r="AC207">
        <f t="shared" ca="1" si="101"/>
        <v>2.8639033132810712E-2</v>
      </c>
      <c r="AD207">
        <f t="shared" ca="1" si="81"/>
        <v>8.098356544824252E-2</v>
      </c>
      <c r="AE207">
        <f t="shared" ca="1" si="82"/>
        <v>0.14812541996536005</v>
      </c>
      <c r="AG207">
        <f t="shared" ca="1" si="83"/>
        <v>3.2057096229708926E-2</v>
      </c>
      <c r="AI207">
        <f t="shared" ca="1" si="84"/>
        <v>9.0880400009127407E-2</v>
      </c>
      <c r="AK207">
        <f t="shared" ca="1" si="85"/>
        <v>49.686399699813599</v>
      </c>
      <c r="AL207" s="6">
        <f t="shared" si="86"/>
        <v>3.0000000000000001E-5</v>
      </c>
      <c r="AM207" s="6">
        <f t="shared" ca="1" si="87"/>
        <v>128779.94078883993</v>
      </c>
      <c r="AN207" s="6">
        <f t="shared" ca="1" si="88"/>
        <v>4.2957334457796236E-3</v>
      </c>
    </row>
    <row r="208" spans="1:40" x14ac:dyDescent="0.25">
      <c r="A208">
        <f t="shared" si="89"/>
        <v>169</v>
      </c>
      <c r="B208">
        <f t="shared" si="69"/>
        <v>7.0182837006102519</v>
      </c>
      <c r="C208">
        <f t="shared" ca="1" si="90"/>
        <v>0.49003562087105718</v>
      </c>
      <c r="D208">
        <f t="shared" si="70"/>
        <v>2500</v>
      </c>
      <c r="E208">
        <f t="shared" ca="1" si="103"/>
        <v>1390.9334327416266</v>
      </c>
      <c r="F208">
        <f t="shared" si="71"/>
        <v>550</v>
      </c>
      <c r="G208">
        <f t="shared" si="72"/>
        <v>5.2192977958184277E-7</v>
      </c>
      <c r="H208">
        <f t="shared" ca="1" si="75"/>
        <v>7.2596957996385312E-4</v>
      </c>
      <c r="I208">
        <f t="shared" ca="1" si="73"/>
        <v>6.0511097627986246E-2</v>
      </c>
      <c r="J208">
        <f t="shared" ca="1" si="91"/>
        <v>3.6831467879051359E-2</v>
      </c>
      <c r="K208">
        <f t="shared" ca="1" si="92"/>
        <v>-6.0244166823272688E-3</v>
      </c>
      <c r="L208">
        <f t="shared" ca="1" si="93"/>
        <v>3.9407773692164576E-2</v>
      </c>
      <c r="M208">
        <f t="shared" ca="1" si="76"/>
        <v>7.0214824888888666E-2</v>
      </c>
      <c r="Q208">
        <f t="shared" si="94"/>
        <v>169</v>
      </c>
      <c r="R208" s="26">
        <f t="shared" si="102"/>
        <v>6.1487343456538825</v>
      </c>
      <c r="S208">
        <f t="shared" ca="1" si="95"/>
        <v>0.34281119454331177</v>
      </c>
      <c r="T208" s="23">
        <f t="shared" ca="1" si="96"/>
        <v>2499.9999987227293</v>
      </c>
      <c r="U208">
        <f t="shared" ca="1" si="104"/>
        <v>1544.4209263247174</v>
      </c>
      <c r="V208">
        <f t="shared" si="78"/>
        <v>550</v>
      </c>
      <c r="W208">
        <f t="shared" si="97"/>
        <v>5.2192977958184277E-7</v>
      </c>
      <c r="X208">
        <f t="shared" ca="1" si="79"/>
        <v>8.0607927365824517E-4</v>
      </c>
      <c r="Y208">
        <f t="shared" ca="1" si="98"/>
        <v>5.1570813538460089E-2</v>
      </c>
      <c r="Z208" s="6">
        <f t="shared" ca="1" si="80"/>
        <v>-1.8055824230484168E-4</v>
      </c>
      <c r="AA208">
        <f t="shared" ca="1" si="99"/>
        <v>4.7464547268957255E-2</v>
      </c>
      <c r="AB208">
        <f t="shared" ca="1" si="100"/>
        <v>4.6086627075786306E-3</v>
      </c>
      <c r="AC208">
        <f t="shared" ca="1" si="101"/>
        <v>2.8774694302258673E-2</v>
      </c>
      <c r="AD208">
        <f t="shared" ca="1" si="81"/>
        <v>8.0847904278794569E-2</v>
      </c>
      <c r="AE208">
        <f t="shared" ca="1" si="82"/>
        <v>0.14787728483380932</v>
      </c>
      <c r="AG208">
        <f t="shared" ca="1" si="83"/>
        <v>3.2003395171565412E-2</v>
      </c>
      <c r="AI208">
        <f t="shared" ca="1" si="84"/>
        <v>9.1032895506136469E-2</v>
      </c>
      <c r="AK208">
        <f t="shared" ca="1" si="85"/>
        <v>49.769772486510703</v>
      </c>
      <c r="AL208" s="6">
        <f t="shared" si="86"/>
        <v>3.0000000000000001E-5</v>
      </c>
      <c r="AM208" s="6">
        <f t="shared" ca="1" si="87"/>
        <v>128779.94078883999</v>
      </c>
      <c r="AN208" s="6">
        <f t="shared" ca="1" si="88"/>
        <v>4.2957334457796236E-3</v>
      </c>
    </row>
    <row r="209" spans="1:40" x14ac:dyDescent="0.25">
      <c r="A209">
        <f t="shared" si="89"/>
        <v>170</v>
      </c>
      <c r="B209">
        <f t="shared" si="69"/>
        <v>7.0598120065310228</v>
      </c>
      <c r="C209">
        <f t="shared" ca="1" si="90"/>
        <v>0.49254854424495381</v>
      </c>
      <c r="D209">
        <f t="shared" si="70"/>
        <v>2500</v>
      </c>
      <c r="E209">
        <f t="shared" ca="1" si="103"/>
        <v>1387.8844451520945</v>
      </c>
      <c r="F209">
        <f t="shared" si="71"/>
        <v>550</v>
      </c>
      <c r="G209">
        <f t="shared" si="72"/>
        <v>5.2192977958184277E-7</v>
      </c>
      <c r="H209">
        <f t="shared" ca="1" si="75"/>
        <v>7.2437822254330087E-4</v>
      </c>
      <c r="I209">
        <f t="shared" ca="1" si="73"/>
        <v>6.0378454626276917E-2</v>
      </c>
      <c r="J209">
        <f t="shared" ca="1" si="91"/>
        <v>3.6649975484060404E-2</v>
      </c>
      <c r="K209">
        <f t="shared" ca="1" si="92"/>
        <v>-6.2059090773182307E-3</v>
      </c>
      <c r="L209">
        <f t="shared" ca="1" si="93"/>
        <v>3.9589266087155538E-2</v>
      </c>
      <c r="M209">
        <f t="shared" ca="1" si="76"/>
        <v>7.0033332493897704E-2</v>
      </c>
      <c r="Q209">
        <f t="shared" si="94"/>
        <v>170</v>
      </c>
      <c r="R209" s="26">
        <f t="shared" si="102"/>
        <v>6.1851173891192897</v>
      </c>
      <c r="S209">
        <f t="shared" ca="1" si="95"/>
        <v>0.34468749769382795</v>
      </c>
      <c r="T209" s="23">
        <f t="shared" ca="1" si="96"/>
        <v>2499.99999871616</v>
      </c>
      <c r="U209">
        <f t="shared" ca="1" si="104"/>
        <v>1542.7325400359944</v>
      </c>
      <c r="V209">
        <f t="shared" si="78"/>
        <v>550</v>
      </c>
      <c r="W209">
        <f t="shared" si="97"/>
        <v>5.2192977958184277E-7</v>
      </c>
      <c r="X209">
        <f t="shared" ca="1" si="79"/>
        <v>8.0519805457472291E-4</v>
      </c>
      <c r="Y209">
        <f t="shared" ca="1" si="98"/>
        <v>5.1514435479219564E-2</v>
      </c>
      <c r="Z209" s="6">
        <f t="shared" ca="1" si="80"/>
        <v>-1.8025559922738292E-4</v>
      </c>
      <c r="AA209">
        <f t="shared" ca="1" si="99"/>
        <v>4.7329033884007436E-2</v>
      </c>
      <c r="AB209">
        <f t="shared" ca="1" si="100"/>
        <v>4.4731493226288048E-3</v>
      </c>
      <c r="AC209">
        <f t="shared" ca="1" si="101"/>
        <v>2.8910207687208499E-2</v>
      </c>
      <c r="AD209">
        <f t="shared" ca="1" si="81"/>
        <v>8.0712390893844743E-2</v>
      </c>
      <c r="AE209">
        <f t="shared" ca="1" si="82"/>
        <v>0.14762942001192655</v>
      </c>
      <c r="AG209">
        <f t="shared" ca="1" si="83"/>
        <v>3.1949752613462189E-2</v>
      </c>
      <c r="AI209">
        <f t="shared" ca="1" si="84"/>
        <v>9.1185736670612014E-2</v>
      </c>
      <c r="AK209">
        <f t="shared" ca="1" si="85"/>
        <v>49.853334257541967</v>
      </c>
      <c r="AL209" s="6">
        <f t="shared" si="86"/>
        <v>3.0000000000000001E-5</v>
      </c>
      <c r="AM209" s="6">
        <f t="shared" ca="1" si="87"/>
        <v>128779.94078883997</v>
      </c>
      <c r="AN209" s="6">
        <f t="shared" ca="1" si="88"/>
        <v>4.2957334457796236E-3</v>
      </c>
    </row>
    <row r="210" spans="1:40" x14ac:dyDescent="0.25">
      <c r="A210">
        <f t="shared" si="89"/>
        <v>171</v>
      </c>
      <c r="B210">
        <f t="shared" si="69"/>
        <v>7.1013403124517938</v>
      </c>
      <c r="C210">
        <f t="shared" ca="1" si="90"/>
        <v>0.49505595917969725</v>
      </c>
      <c r="D210">
        <f t="shared" si="70"/>
        <v>2500</v>
      </c>
      <c r="E210">
        <f t="shared" ca="1" si="103"/>
        <v>1384.8253859652407</v>
      </c>
      <c r="F210">
        <f t="shared" si="71"/>
        <v>550</v>
      </c>
      <c r="G210">
        <f t="shared" si="72"/>
        <v>5.2192977958184277E-7</v>
      </c>
      <c r="H210">
        <f t="shared" ca="1" si="75"/>
        <v>7.2278160845617838E-4</v>
      </c>
      <c r="I210">
        <f t="shared" ca="1" si="73"/>
        <v>6.0245373470307693E-2</v>
      </c>
      <c r="J210">
        <f t="shared" ca="1" si="91"/>
        <v>3.6468880928424569E-2</v>
      </c>
      <c r="K210">
        <f t="shared" ca="1" si="92"/>
        <v>-6.3870036329540594E-3</v>
      </c>
      <c r="L210">
        <f t="shared" ca="1" si="93"/>
        <v>3.9770360642791366E-2</v>
      </c>
      <c r="M210">
        <f t="shared" ca="1" si="76"/>
        <v>6.9852237938261869E-2</v>
      </c>
      <c r="Q210">
        <f t="shared" si="94"/>
        <v>171</v>
      </c>
      <c r="R210" s="26">
        <f t="shared" si="102"/>
        <v>6.2215004325846976</v>
      </c>
      <c r="S210">
        <f t="shared" ca="1" si="95"/>
        <v>0.34656174963896436</v>
      </c>
      <c r="T210" s="23">
        <f t="shared" ca="1" si="96"/>
        <v>2499.9999987096016</v>
      </c>
      <c r="U210">
        <f t="shared" ca="1" si="104"/>
        <v>1541.0400324412526</v>
      </c>
      <c r="V210">
        <f t="shared" si="78"/>
        <v>550</v>
      </c>
      <c r="W210">
        <f t="shared" si="97"/>
        <v>5.2192977958184277E-7</v>
      </c>
      <c r="X210">
        <f t="shared" ca="1" si="79"/>
        <v>8.0431468445885882E-4</v>
      </c>
      <c r="Y210">
        <f t="shared" ca="1" si="98"/>
        <v>5.1457919802636143E-2</v>
      </c>
      <c r="Z210" s="6">
        <f t="shared" ca="1" si="80"/>
        <v>-1.7995328700429861E-4</v>
      </c>
      <c r="AA210">
        <f t="shared" ca="1" si="99"/>
        <v>4.7193668644512757E-2</v>
      </c>
      <c r="AB210">
        <f t="shared" ca="1" si="100"/>
        <v>4.3377840831341323E-3</v>
      </c>
      <c r="AC210">
        <f t="shared" ca="1" si="101"/>
        <v>2.9045572926703171E-2</v>
      </c>
      <c r="AD210">
        <f t="shared" ca="1" si="81"/>
        <v>8.0577025654350071E-2</v>
      </c>
      <c r="AE210">
        <f t="shared" ca="1" si="82"/>
        <v>0.14738182615993115</v>
      </c>
      <c r="AG210">
        <f t="shared" ca="1" si="83"/>
        <v>3.1896168698283031E-2</v>
      </c>
      <c r="AI210">
        <f t="shared" ca="1" si="84"/>
        <v>9.1338923996436935E-2</v>
      </c>
      <c r="AK210">
        <f t="shared" ca="1" si="85"/>
        <v>49.937085282924471</v>
      </c>
      <c r="AL210" s="6">
        <f t="shared" si="86"/>
        <v>3.0000000000000001E-5</v>
      </c>
      <c r="AM210" s="6">
        <f t="shared" ca="1" si="87"/>
        <v>128779.94078883997</v>
      </c>
      <c r="AN210" s="6">
        <f t="shared" ca="1" si="88"/>
        <v>4.2957334457796236E-3</v>
      </c>
    </row>
    <row r="211" spans="1:40" x14ac:dyDescent="0.25">
      <c r="A211">
        <f t="shared" si="89"/>
        <v>172</v>
      </c>
      <c r="B211">
        <f t="shared" si="69"/>
        <v>7.1428686183725638</v>
      </c>
      <c r="C211">
        <f t="shared" ca="1" si="90"/>
        <v>0.49755784747948323</v>
      </c>
      <c r="D211">
        <f t="shared" si="70"/>
        <v>2500</v>
      </c>
      <c r="E211">
        <f t="shared" ca="1" si="103"/>
        <v>1381.7562498329823</v>
      </c>
      <c r="F211">
        <f t="shared" si="71"/>
        <v>550</v>
      </c>
      <c r="G211">
        <f t="shared" si="72"/>
        <v>5.2192977958184277E-7</v>
      </c>
      <c r="H211">
        <f t="shared" ca="1" si="75"/>
        <v>7.2117973491116216E-4</v>
      </c>
      <c r="I211">
        <f t="shared" ca="1" si="73"/>
        <v>6.0111853927415831E-2</v>
      </c>
      <c r="J211">
        <f t="shared" ca="1" si="91"/>
        <v>3.6288185526310524E-2</v>
      </c>
      <c r="K211">
        <f t="shared" ca="1" si="92"/>
        <v>-6.5676990350680975E-3</v>
      </c>
      <c r="L211">
        <f t="shared" ca="1" si="93"/>
        <v>3.9951056044905404E-2</v>
      </c>
      <c r="M211">
        <f t="shared" ca="1" si="76"/>
        <v>6.9671542536147824E-2</v>
      </c>
      <c r="Q211">
        <f t="shared" si="94"/>
        <v>172</v>
      </c>
      <c r="R211" s="26">
        <f t="shared" si="102"/>
        <v>6.2578834760501056</v>
      </c>
      <c r="S211">
        <f t="shared" ca="1" si="95"/>
        <v>0.34843394537178313</v>
      </c>
      <c r="T211" s="23">
        <f t="shared" ca="1" si="96"/>
        <v>2499.9999987030542</v>
      </c>
      <c r="U211">
        <f t="shared" ca="1" si="104"/>
        <v>1539.3433960294403</v>
      </c>
      <c r="V211">
        <f t="shared" si="78"/>
        <v>550</v>
      </c>
      <c r="W211">
        <f t="shared" si="97"/>
        <v>5.2192977958184277E-7</v>
      </c>
      <c r="X211">
        <f t="shared" ca="1" si="79"/>
        <v>8.0342915939041106E-4</v>
      </c>
      <c r="Y211">
        <f t="shared" ca="1" si="98"/>
        <v>5.1401266257903123E-2</v>
      </c>
      <c r="Z211" s="6">
        <f t="shared" ca="1" si="80"/>
        <v>-1.7965130644319546E-4</v>
      </c>
      <c r="AA211">
        <f t="shared" ca="1" si="99"/>
        <v>4.7058451912092368E-2</v>
      </c>
      <c r="AB211">
        <f t="shared" ca="1" si="100"/>
        <v>4.2025673507137366E-3</v>
      </c>
      <c r="AC211">
        <f t="shared" ca="1" si="101"/>
        <v>2.9180789659123567E-2</v>
      </c>
      <c r="AD211">
        <f t="shared" ca="1" si="81"/>
        <v>8.0441808921929675E-2</v>
      </c>
      <c r="AE211">
        <f t="shared" ca="1" si="82"/>
        <v>0.14713450393925331</v>
      </c>
      <c r="AG211">
        <f t="shared" ca="1" si="83"/>
        <v>3.1842643569173733E-2</v>
      </c>
      <c r="AI211">
        <f t="shared" ca="1" si="84"/>
        <v>9.1492457973495797E-2</v>
      </c>
      <c r="AK211">
        <f t="shared" ca="1" si="85"/>
        <v>50.021025830489371</v>
      </c>
      <c r="AL211" s="6">
        <f t="shared" si="86"/>
        <v>3.0000000000000001E-5</v>
      </c>
      <c r="AM211" s="6">
        <f t="shared" ca="1" si="87"/>
        <v>128779.94078883997</v>
      </c>
      <c r="AN211" s="6">
        <f t="shared" ca="1" si="88"/>
        <v>4.2957334457796236E-3</v>
      </c>
    </row>
    <row r="212" spans="1:40" x14ac:dyDescent="0.25">
      <c r="A212">
        <f t="shared" si="89"/>
        <v>173</v>
      </c>
      <c r="B212">
        <f t="shared" si="69"/>
        <v>7.1843969242933348</v>
      </c>
      <c r="C212">
        <f t="shared" ca="1" si="90"/>
        <v>0.50005419093884562</v>
      </c>
      <c r="D212">
        <f t="shared" si="70"/>
        <v>2500</v>
      </c>
      <c r="E212">
        <f t="shared" ca="1" si="103"/>
        <v>1378.6770319746706</v>
      </c>
      <c r="F212">
        <f t="shared" si="71"/>
        <v>550</v>
      </c>
      <c r="G212">
        <f t="shared" si="72"/>
        <v>5.2192977958184277E-7</v>
      </c>
      <c r="H212">
        <f t="shared" ca="1" si="75"/>
        <v>7.1957259941308907E-4</v>
      </c>
      <c r="I212">
        <f t="shared" ca="1" si="73"/>
        <v>5.9977895789624251E-2</v>
      </c>
      <c r="J212">
        <f t="shared" ca="1" si="91"/>
        <v>3.6107890592582743E-2</v>
      </c>
      <c r="K212">
        <f t="shared" ca="1" si="92"/>
        <v>-6.7479939687958845E-3</v>
      </c>
      <c r="L212">
        <f t="shared" ca="1" si="93"/>
        <v>4.0131350978633192E-2</v>
      </c>
      <c r="M212">
        <f t="shared" ca="1" si="76"/>
        <v>6.949124760242005E-2</v>
      </c>
      <c r="Q212">
        <f t="shared" si="94"/>
        <v>173</v>
      </c>
      <c r="R212" s="26">
        <f t="shared" si="102"/>
        <v>6.2942665195155136</v>
      </c>
      <c r="S212">
        <f t="shared" ca="1" si="95"/>
        <v>0.35030407987622142</v>
      </c>
      <c r="T212" s="23">
        <f t="shared" ca="1" si="96"/>
        <v>2499.9999986965181</v>
      </c>
      <c r="U212">
        <f t="shared" ca="1" si="104"/>
        <v>1537.6426233248903</v>
      </c>
      <c r="V212">
        <f t="shared" si="78"/>
        <v>550</v>
      </c>
      <c r="W212">
        <f t="shared" si="97"/>
        <v>5.2192977958184277E-7</v>
      </c>
      <c r="X212">
        <f t="shared" ca="1" si="79"/>
        <v>8.0254147546760652E-4</v>
      </c>
      <c r="Y212">
        <f t="shared" ca="1" si="98"/>
        <v>5.1344474595395435E-2</v>
      </c>
      <c r="Z212" s="6">
        <f t="shared" ca="1" si="80"/>
        <v>-1.7934965835315211E-4</v>
      </c>
      <c r="AA212">
        <f t="shared" ca="1" si="99"/>
        <v>4.6923384049024408E-2</v>
      </c>
      <c r="AB212">
        <f t="shared" ca="1" si="100"/>
        <v>4.0674994876457767E-3</v>
      </c>
      <c r="AC212">
        <f t="shared" ca="1" si="101"/>
        <v>2.9315857522191527E-2</v>
      </c>
      <c r="AD212">
        <f t="shared" ca="1" si="81"/>
        <v>8.0306741058861708E-2</v>
      </c>
      <c r="AE212">
        <f t="shared" ca="1" si="82"/>
        <v>0.14688745401252881</v>
      </c>
      <c r="AG212">
        <f t="shared" ca="1" si="83"/>
        <v>3.1789177369541004E-2</v>
      </c>
      <c r="AI212">
        <f t="shared" ca="1" si="84"/>
        <v>9.1646339087613701E-2</v>
      </c>
      <c r="AK212">
        <f t="shared" ca="1" si="85"/>
        <v>50.105156165848385</v>
      </c>
      <c r="AL212" s="6">
        <f t="shared" si="86"/>
        <v>3.0000000000000001E-5</v>
      </c>
      <c r="AM212" s="6">
        <f t="shared" ca="1" si="87"/>
        <v>128779.94078883996</v>
      </c>
      <c r="AN212" s="6">
        <f t="shared" ca="1" si="88"/>
        <v>4.2957334457796236E-3</v>
      </c>
    </row>
    <row r="213" spans="1:40" x14ac:dyDescent="0.25">
      <c r="A213">
        <f t="shared" si="89"/>
        <v>174</v>
      </c>
      <c r="B213">
        <f t="shared" si="69"/>
        <v>7.2259252302141066</v>
      </c>
      <c r="C213">
        <f t="shared" ca="1" si="90"/>
        <v>0.50254497134368126</v>
      </c>
      <c r="D213">
        <f t="shared" si="70"/>
        <v>2500</v>
      </c>
      <c r="E213">
        <f t="shared" ca="1" si="103"/>
        <v>1375.5877281861551</v>
      </c>
      <c r="F213">
        <f t="shared" si="71"/>
        <v>550</v>
      </c>
      <c r="G213">
        <f t="shared" si="72"/>
        <v>5.2192977958184277E-7</v>
      </c>
      <c r="H213">
        <f t="shared" ca="1" si="75"/>
        <v>7.1796019976768776E-4</v>
      </c>
      <c r="I213">
        <f t="shared" ca="1" si="73"/>
        <v>5.9843498874035755E-2</v>
      </c>
      <c r="J213">
        <f t="shared" ca="1" si="91"/>
        <v>3.5927997442729467E-2</v>
      </c>
      <c r="K213">
        <f t="shared" ca="1" si="92"/>
        <v>-6.9278871186491606E-3</v>
      </c>
      <c r="L213">
        <f t="shared" ca="1" si="93"/>
        <v>4.0311244128486468E-2</v>
      </c>
      <c r="M213">
        <f t="shared" ca="1" si="76"/>
        <v>6.9311354452566781E-2</v>
      </c>
      <c r="Q213">
        <f t="shared" si="94"/>
        <v>174</v>
      </c>
      <c r="R213" s="26">
        <f t="shared" si="102"/>
        <v>6.3306495629809207</v>
      </c>
      <c r="S213">
        <f t="shared" ca="1" si="95"/>
        <v>0.35217214812713415</v>
      </c>
      <c r="T213" s="23">
        <f t="shared" ca="1" si="96"/>
        <v>2499.9999986899929</v>
      </c>
      <c r="U213">
        <f t="shared" ca="1" si="104"/>
        <v>1535.9377068880133</v>
      </c>
      <c r="V213">
        <f t="shared" si="78"/>
        <v>550</v>
      </c>
      <c r="W213">
        <f t="shared" si="97"/>
        <v>5.2192977958184277E-7</v>
      </c>
      <c r="X213">
        <f t="shared" ca="1" si="79"/>
        <v>8.0165162880750185E-4</v>
      </c>
      <c r="Y213">
        <f t="shared" ca="1" si="98"/>
        <v>5.1287544566692655E-2</v>
      </c>
      <c r="Z213" s="6">
        <f t="shared" ca="1" si="80"/>
        <v>-1.7904834354471219E-4</v>
      </c>
      <c r="AA213">
        <f t="shared" ca="1" si="99"/>
        <v>4.6788465418242997E-2</v>
      </c>
      <c r="AB213">
        <f t="shared" ca="1" si="100"/>
        <v>3.9325808568643691E-3</v>
      </c>
      <c r="AC213">
        <f t="shared" ca="1" si="101"/>
        <v>2.9450776152972934E-2</v>
      </c>
      <c r="AD213">
        <f t="shared" ca="1" si="81"/>
        <v>8.0171822428080297E-2</v>
      </c>
      <c r="AE213">
        <f t="shared" ca="1" si="82"/>
        <v>0.14664067704359324</v>
      </c>
      <c r="AG213">
        <f t="shared" ca="1" si="83"/>
        <v>3.1735770243051215E-2</v>
      </c>
      <c r="AI213">
        <f t="shared" ca="1" si="84"/>
        <v>9.1800567820494533E-2</v>
      </c>
      <c r="AK213">
        <f t="shared" ca="1" si="85"/>
        <v>50.189476552360091</v>
      </c>
      <c r="AL213" s="6">
        <f t="shared" si="86"/>
        <v>3.0000000000000001E-5</v>
      </c>
      <c r="AM213" s="6">
        <f t="shared" ca="1" si="87"/>
        <v>128779.94078884002</v>
      </c>
      <c r="AN213" s="6">
        <f t="shared" ca="1" si="88"/>
        <v>4.2957334457796236E-3</v>
      </c>
    </row>
    <row r="214" spans="1:40" x14ac:dyDescent="0.25">
      <c r="A214">
        <f>A213+1</f>
        <v>175</v>
      </c>
      <c r="B214">
        <f t="shared" si="69"/>
        <v>7.2674535361348775</v>
      </c>
      <c r="C214">
        <f t="shared" ca="1" si="90"/>
        <v>0.50503017047229148</v>
      </c>
      <c r="D214">
        <f t="shared" si="70"/>
        <v>2500</v>
      </c>
      <c r="E214">
        <f t="shared" ca="1" si="103"/>
        <v>1372.4883348489061</v>
      </c>
      <c r="F214">
        <f t="shared" si="71"/>
        <v>550</v>
      </c>
      <c r="G214">
        <f t="shared" si="72"/>
        <v>5.2192977958184277E-7</v>
      </c>
      <c r="H214">
        <f t="shared" ca="1" si="75"/>
        <v>7.1634253408633995E-4</v>
      </c>
      <c r="I214">
        <f t="shared" ca="1" si="73"/>
        <v>5.9708663023230066E-2</v>
      </c>
      <c r="J214">
        <f t="shared" ca="1" si="91"/>
        <v>3.5748507392787544E-2</v>
      </c>
      <c r="K214">
        <f t="shared" ca="1" si="92"/>
        <v>-7.1073771685910836E-3</v>
      </c>
      <c r="L214">
        <f t="shared" ca="1" si="93"/>
        <v>4.0490734178428391E-2</v>
      </c>
      <c r="M214">
        <f t="shared" ca="1" si="76"/>
        <v>6.9131864402624851E-2</v>
      </c>
      <c r="Q214">
        <f>Q213+1</f>
        <v>175</v>
      </c>
      <c r="R214" s="26">
        <f t="shared" si="102"/>
        <v>6.3670326064463278</v>
      </c>
      <c r="S214">
        <f t="shared" ca="1" si="95"/>
        <v>0.35403814509033815</v>
      </c>
      <c r="T214" s="23">
        <f t="shared" ca="1" si="96"/>
        <v>2499.9999986834787</v>
      </c>
      <c r="U214">
        <f t="shared" ca="1" si="104"/>
        <v>1534.2286393159943</v>
      </c>
      <c r="V214">
        <f t="shared" si="78"/>
        <v>550</v>
      </c>
      <c r="W214">
        <f t="shared" si="97"/>
        <v>5.2192977958184277E-7</v>
      </c>
      <c r="X214">
        <f t="shared" ca="1" si="79"/>
        <v>8.0075961554634746E-4</v>
      </c>
      <c r="Y214">
        <f t="shared" ca="1" si="98"/>
        <v>5.1230475924602337E-2</v>
      </c>
      <c r="Z214" s="6">
        <f t="shared" ca="1" si="80"/>
        <v>-1.7874736282987686E-4</v>
      </c>
      <c r="AA214">
        <f t="shared" ca="1" si="99"/>
        <v>4.6653696383335018E-2</v>
      </c>
      <c r="AB214">
        <f t="shared" ca="1" si="100"/>
        <v>3.7978118219563865E-3</v>
      </c>
      <c r="AC214">
        <f t="shared" ca="1" si="101"/>
        <v>2.9585545187880917E-2</v>
      </c>
      <c r="AD214">
        <f t="shared" ca="1" si="81"/>
        <v>8.0037053393172325E-2</v>
      </c>
      <c r="AE214">
        <f t="shared" ca="1" si="82"/>
        <v>0.14639417369747607</v>
      </c>
      <c r="AG214">
        <f t="shared" ca="1" si="83"/>
        <v>3.1682422333629105E-2</v>
      </c>
      <c r="AI214">
        <f t="shared" ca="1" si="84"/>
        <v>9.1955144649658843E-2</v>
      </c>
      <c r="AK214">
        <f t="shared" ca="1" si="85"/>
        <v>50.273987251095889</v>
      </c>
      <c r="AL214" s="6">
        <f t="shared" si="86"/>
        <v>3.0000000000000001E-5</v>
      </c>
      <c r="AM214" s="6">
        <f t="shared" ca="1" si="87"/>
        <v>128779.94078883996</v>
      </c>
      <c r="AN214" s="6">
        <f t="shared" ca="1" si="88"/>
        <v>4.2957334457796236E-3</v>
      </c>
    </row>
    <row r="215" spans="1:40" x14ac:dyDescent="0.25">
      <c r="A215">
        <f t="shared" ref="A215:A227" si="105">A214+1</f>
        <v>176</v>
      </c>
      <c r="B215">
        <f t="shared" si="69"/>
        <v>7.3089818420556476</v>
      </c>
      <c r="C215">
        <f t="shared" ca="1" si="90"/>
        <v>0.50750977009644038</v>
      </c>
      <c r="D215">
        <f t="shared" si="70"/>
        <v>2500</v>
      </c>
      <c r="E215">
        <f t="shared" ca="1" si="103"/>
        <v>1369.3788489391934</v>
      </c>
      <c r="F215">
        <f t="shared" si="71"/>
        <v>550</v>
      </c>
      <c r="G215">
        <f t="shared" si="72"/>
        <v>5.2192977958184277E-7</v>
      </c>
      <c r="H215">
        <f t="shared" ca="1" si="75"/>
        <v>7.1471960079087077E-4</v>
      </c>
      <c r="I215">
        <f t="shared" ca="1" si="73"/>
        <v>5.9573388105662949E-2</v>
      </c>
      <c r="J215">
        <f t="shared" ca="1" si="91"/>
        <v>3.5569421759265966E-2</v>
      </c>
      <c r="K215">
        <f t="shared" ca="1" si="92"/>
        <v>-7.2864628021126615E-3</v>
      </c>
      <c r="L215">
        <f t="shared" ca="1" si="93"/>
        <v>4.0669819811949968E-2</v>
      </c>
      <c r="M215">
        <f t="shared" ca="1" si="76"/>
        <v>6.8952778769103273E-2</v>
      </c>
      <c r="Q215">
        <f t="shared" ref="Q215:Q227" si="106">Q214+1</f>
        <v>176</v>
      </c>
      <c r="R215" s="26">
        <f t="shared" si="102"/>
        <v>6.403415649911735</v>
      </c>
      <c r="S215">
        <f t="shared" ca="1" si="95"/>
        <v>0.35590206572265642</v>
      </c>
      <c r="T215" s="23">
        <f t="shared" ca="1" si="96"/>
        <v>2499.9999986769753</v>
      </c>
      <c r="U215">
        <f t="shared" ca="1" si="104"/>
        <v>1532.5154132434945</v>
      </c>
      <c r="V215">
        <f t="shared" si="78"/>
        <v>550</v>
      </c>
      <c r="W215">
        <f t="shared" si="97"/>
        <v>5.2192977958184277E-7</v>
      </c>
      <c r="X215">
        <f t="shared" ca="1" si="79"/>
        <v>7.9986543183995374E-4</v>
      </c>
      <c r="Y215">
        <f t="shared" ca="1" si="98"/>
        <v>5.117326842318342E-2</v>
      </c>
      <c r="Z215" s="6">
        <f t="shared" ca="1" si="80"/>
        <v>-1.7844671702209824E-4</v>
      </c>
      <c r="AA215">
        <f t="shared" ca="1" si="99"/>
        <v>4.651907730853691E-2</v>
      </c>
      <c r="AB215">
        <f t="shared" ca="1" si="100"/>
        <v>3.6631927471582754E-3</v>
      </c>
      <c r="AC215">
        <f t="shared" ca="1" si="101"/>
        <v>2.9720164262679028E-2</v>
      </c>
      <c r="AD215">
        <f t="shared" ca="1" si="81"/>
        <v>7.990243431837421E-2</v>
      </c>
      <c r="AE215">
        <f t="shared" ca="1" si="82"/>
        <v>0.14614794464039482</v>
      </c>
      <c r="AG215">
        <f t="shared" ca="1" si="83"/>
        <v>3.1629133785456551E-2</v>
      </c>
      <c r="AI215">
        <f t="shared" ca="1" si="84"/>
        <v>9.2110070048381246E-2</v>
      </c>
      <c r="AK215">
        <f t="shared" ca="1" si="85"/>
        <v>50.358688520805913</v>
      </c>
      <c r="AL215" s="6">
        <f t="shared" si="86"/>
        <v>3.0000000000000001E-5</v>
      </c>
      <c r="AM215" s="6">
        <f t="shared" ca="1" si="87"/>
        <v>128779.94078883996</v>
      </c>
      <c r="AN215" s="6">
        <f t="shared" ca="1" si="88"/>
        <v>4.2957334457796236E-3</v>
      </c>
    </row>
    <row r="216" spans="1:40" x14ac:dyDescent="0.25">
      <c r="A216">
        <f t="shared" si="105"/>
        <v>177</v>
      </c>
      <c r="B216">
        <f t="shared" si="69"/>
        <v>7.3505101479764186</v>
      </c>
      <c r="C216">
        <f t="shared" ca="1" si="90"/>
        <v>0.50998375198242918</v>
      </c>
      <c r="D216">
        <f t="shared" si="70"/>
        <v>2500</v>
      </c>
      <c r="E216">
        <f t="shared" ca="1" si="103"/>
        <v>1366.2592680373257</v>
      </c>
      <c r="F216">
        <f t="shared" si="71"/>
        <v>550</v>
      </c>
      <c r="G216">
        <f t="shared" si="72"/>
        <v>5.2192977958184277E-7</v>
      </c>
      <c r="H216">
        <f t="shared" ca="1" si="75"/>
        <v>7.1309139861837128E-4</v>
      </c>
      <c r="I216">
        <f t="shared" ca="1" si="73"/>
        <v>5.9437674016068281E-2</v>
      </c>
      <c r="J216">
        <f t="shared" ca="1" si="91"/>
        <v>3.5390741859068243E-2</v>
      </c>
      <c r="K216">
        <f t="shared" ca="1" si="92"/>
        <v>-7.4651427023103845E-3</v>
      </c>
      <c r="L216">
        <f t="shared" ca="1" si="93"/>
        <v>4.0848499712147691E-2</v>
      </c>
      <c r="M216">
        <f t="shared" ca="1" si="76"/>
        <v>6.877409886890555E-2</v>
      </c>
      <c r="Q216">
        <f t="shared" si="106"/>
        <v>177</v>
      </c>
      <c r="R216" s="26">
        <f t="shared" si="102"/>
        <v>6.4397986933771438</v>
      </c>
      <c r="S216">
        <f t="shared" ca="1" si="95"/>
        <v>0.35776390497196414</v>
      </c>
      <c r="T216" s="23">
        <f t="shared" ca="1" si="96"/>
        <v>2499.9999986704829</v>
      </c>
      <c r="U216">
        <f t="shared" ca="1" si="104"/>
        <v>1530.7980213433643</v>
      </c>
      <c r="V216">
        <f t="shared" si="78"/>
        <v>550</v>
      </c>
      <c r="W216">
        <f t="shared" si="97"/>
        <v>5.2192977958184277E-7</v>
      </c>
      <c r="X216">
        <f t="shared" ca="1" si="79"/>
        <v>7.9896907386406315E-4</v>
      </c>
      <c r="Y216">
        <f t="shared" ca="1" si="98"/>
        <v>5.1115921817770069E-2</v>
      </c>
      <c r="Z216" s="6">
        <f t="shared" ca="1" si="80"/>
        <v>-1.7814640693627177E-4</v>
      </c>
      <c r="AA216">
        <f t="shared" ca="1" si="99"/>
        <v>4.6384608558731354E-2</v>
      </c>
      <c r="AB216">
        <f t="shared" ca="1" si="100"/>
        <v>3.5287239973527222E-3</v>
      </c>
      <c r="AC216">
        <f t="shared" ca="1" si="101"/>
        <v>2.9854633012484581E-2</v>
      </c>
      <c r="AD216">
        <f t="shared" ca="1" si="81"/>
        <v>7.9767965568568661E-2</v>
      </c>
      <c r="AE216">
        <f t="shared" ca="1" si="82"/>
        <v>0.14590199053974925</v>
      </c>
      <c r="AG216">
        <f t="shared" ca="1" si="83"/>
        <v>3.157590474297127E-2</v>
      </c>
      <c r="AI216">
        <f t="shared" ca="1" si="84"/>
        <v>9.2265344485627107E-2</v>
      </c>
      <c r="AK216">
        <f t="shared" ca="1" si="85"/>
        <v>50.443580617884265</v>
      </c>
      <c r="AL216" s="6">
        <f t="shared" si="86"/>
        <v>3.0000000000000001E-5</v>
      </c>
      <c r="AM216" s="6">
        <f t="shared" ca="1" si="87"/>
        <v>128779.94078883996</v>
      </c>
      <c r="AN216" s="6">
        <f t="shared" ca="1" si="88"/>
        <v>4.2957334457796236E-3</v>
      </c>
    </row>
    <row r="217" spans="1:40" x14ac:dyDescent="0.25">
      <c r="A217">
        <f t="shared" si="105"/>
        <v>178</v>
      </c>
      <c r="B217">
        <f t="shared" si="69"/>
        <v>7.3920384538971895</v>
      </c>
      <c r="C217">
        <f t="shared" ca="1" si="90"/>
        <v>0.51245209789218749</v>
      </c>
      <c r="D217">
        <f t="shared" si="70"/>
        <v>2500</v>
      </c>
      <c r="E217">
        <f t="shared" ca="1" si="103"/>
        <v>1363.1295903369401</v>
      </c>
      <c r="F217">
        <f t="shared" si="71"/>
        <v>550</v>
      </c>
      <c r="G217">
        <f t="shared" si="72"/>
        <v>5.2192977958184277E-7</v>
      </c>
      <c r="H217">
        <f t="shared" ca="1" si="75"/>
        <v>7.114579266260467E-4</v>
      </c>
      <c r="I217">
        <f t="shared" ca="1" si="73"/>
        <v>5.9301520675862134E-2</v>
      </c>
      <c r="J217">
        <f t="shared" ca="1" si="91"/>
        <v>3.5212469009413654E-2</v>
      </c>
      <c r="K217">
        <f t="shared" ca="1" si="92"/>
        <v>-7.6434155519649744E-3</v>
      </c>
      <c r="L217">
        <f t="shared" ca="1" si="93"/>
        <v>4.1026772561802281E-2</v>
      </c>
      <c r="M217">
        <f t="shared" ca="1" si="76"/>
        <v>6.8595826019250961E-2</v>
      </c>
      <c r="Q217">
        <f t="shared" si="106"/>
        <v>178</v>
      </c>
      <c r="R217" s="26">
        <f t="shared" si="102"/>
        <v>6.4761817368425509</v>
      </c>
      <c r="S217">
        <f t="shared" ca="1" si="95"/>
        <v>0.35962365777723443</v>
      </c>
      <c r="T217" s="23">
        <f t="shared" ca="1" si="96"/>
        <v>2499.9999986640014</v>
      </c>
      <c r="U217">
        <f t="shared" ca="1" si="104"/>
        <v>1529.0764563273567</v>
      </c>
      <c r="V217">
        <f t="shared" si="78"/>
        <v>550</v>
      </c>
      <c r="W217">
        <f t="shared" si="97"/>
        <v>5.2192977958184277E-7</v>
      </c>
      <c r="X217">
        <f t="shared" ca="1" si="79"/>
        <v>7.9807053781472256E-4</v>
      </c>
      <c r="Y217">
        <f t="shared" ca="1" si="98"/>
        <v>5.1058435864995436E-2</v>
      </c>
      <c r="Z217" s="6">
        <f t="shared" ca="1" si="80"/>
        <v>-1.7784643338872839E-4</v>
      </c>
      <c r="AA217">
        <f t="shared" ca="1" si="99"/>
        <v>4.6250290499443979E-2</v>
      </c>
      <c r="AB217">
        <f t="shared" ca="1" si="100"/>
        <v>3.3944059380653507E-3</v>
      </c>
      <c r="AC217">
        <f t="shared" ca="1" si="101"/>
        <v>2.9988951071771953E-2</v>
      </c>
      <c r="AD217">
        <f t="shared" ca="1" si="81"/>
        <v>7.9633647509281286E-2</v>
      </c>
      <c r="AE217">
        <f t="shared" ca="1" si="82"/>
        <v>0.14565631206411486</v>
      </c>
      <c r="AG217">
        <f t="shared" ca="1" si="83"/>
        <v>3.1522735350865437E-2</v>
      </c>
      <c r="AI217">
        <f t="shared" ca="1" si="84"/>
        <v>9.2420968425989083E-2</v>
      </c>
      <c r="AK217">
        <f t="shared" ca="1" si="85"/>
        <v>50.528663796334428</v>
      </c>
      <c r="AL217" s="6">
        <f t="shared" si="86"/>
        <v>3.0000000000000001E-5</v>
      </c>
      <c r="AM217" s="6">
        <f t="shared" ca="1" si="87"/>
        <v>128779.94078884</v>
      </c>
      <c r="AN217" s="6">
        <f t="shared" ca="1" si="88"/>
        <v>4.2957334457796236E-3</v>
      </c>
    </row>
    <row r="218" spans="1:40" x14ac:dyDescent="0.25">
      <c r="A218">
        <f t="shared" si="105"/>
        <v>179</v>
      </c>
      <c r="B218">
        <f t="shared" si="69"/>
        <v>7.4335667598179604</v>
      </c>
      <c r="C218">
        <f t="shared" ca="1" si="90"/>
        <v>0.51491478958438164</v>
      </c>
      <c r="D218">
        <f t="shared" si="70"/>
        <v>2500</v>
      </c>
      <c r="E218">
        <f t="shared" ca="1" si="103"/>
        <v>1359.989814654353</v>
      </c>
      <c r="F218">
        <f t="shared" si="71"/>
        <v>550</v>
      </c>
      <c r="G218">
        <f t="shared" si="72"/>
        <v>5.2192977958184277E-7</v>
      </c>
      <c r="H218">
        <f t="shared" ca="1" si="75"/>
        <v>7.0981918419609771E-4</v>
      </c>
      <c r="I218">
        <f t="shared" ca="1" si="73"/>
        <v>5.916492803354962E-2</v>
      </c>
      <c r="J218">
        <f t="shared" ca="1" si="91"/>
        <v>3.5034604527757141E-2</v>
      </c>
      <c r="K218">
        <f t="shared" ca="1" si="92"/>
        <v>-7.8212800336214874E-3</v>
      </c>
      <c r="L218">
        <f t="shared" ca="1" si="93"/>
        <v>4.1204637043458794E-2</v>
      </c>
      <c r="M218">
        <f t="shared" ca="1" si="76"/>
        <v>6.8417961537594441E-2</v>
      </c>
      <c r="Q218">
        <f t="shared" si="106"/>
        <v>179</v>
      </c>
      <c r="R218" s="26">
        <f t="shared" si="102"/>
        <v>6.512564780307958</v>
      </c>
      <c r="S218">
        <f t="shared" ca="1" si="95"/>
        <v>0.36148131906858627</v>
      </c>
      <c r="T218" s="23">
        <f t="shared" ca="1" si="96"/>
        <v>2499.9999986575308</v>
      </c>
      <c r="U218">
        <f t="shared" ca="1" si="104"/>
        <v>1527.3507109468535</v>
      </c>
      <c r="V218">
        <f t="shared" si="78"/>
        <v>550</v>
      </c>
      <c r="W218">
        <f t="shared" si="97"/>
        <v>5.2192977958184277E-7</v>
      </c>
      <c r="X218">
        <f t="shared" ca="1" si="79"/>
        <v>7.9716981990866204E-4</v>
      </c>
      <c r="Y218">
        <f t="shared" ca="1" si="98"/>
        <v>5.1000810322815955E-2</v>
      </c>
      <c r="Z218" s="6">
        <f t="shared" ca="1" si="80"/>
        <v>-1.7754679719722755E-4</v>
      </c>
      <c r="AA218">
        <f t="shared" ca="1" si="99"/>
        <v>4.6116123496839898E-2</v>
      </c>
      <c r="AB218">
        <f t="shared" ca="1" si="100"/>
        <v>3.2602389354612696E-3</v>
      </c>
      <c r="AC218">
        <f t="shared" ca="1" si="101"/>
        <v>3.0123118074376034E-2</v>
      </c>
      <c r="AD218">
        <f t="shared" ca="1" si="81"/>
        <v>7.9499480506677198E-2</v>
      </c>
      <c r="AE218">
        <f t="shared" ca="1" si="82"/>
        <v>0.14541090988323699</v>
      </c>
      <c r="AG218">
        <f t="shared" ca="1" si="83"/>
        <v>3.1469625754084393E-2</v>
      </c>
      <c r="AI218">
        <f t="shared" ca="1" si="84"/>
        <v>9.2576942329622838E-2</v>
      </c>
      <c r="AK218">
        <f t="shared" ca="1" si="85"/>
        <v>50.613938307734031</v>
      </c>
      <c r="AL218" s="6">
        <f t="shared" si="86"/>
        <v>3.0000000000000001E-5</v>
      </c>
      <c r="AM218" s="6">
        <f t="shared" ca="1" si="87"/>
        <v>128779.94078883997</v>
      </c>
      <c r="AN218" s="6">
        <f t="shared" ca="1" si="88"/>
        <v>4.2957334457796236E-3</v>
      </c>
    </row>
    <row r="219" spans="1:40" x14ac:dyDescent="0.25">
      <c r="A219">
        <f t="shared" si="105"/>
        <v>180</v>
      </c>
      <c r="B219">
        <f t="shared" si="69"/>
        <v>7.4750950657387305</v>
      </c>
      <c r="C219">
        <f t="shared" ca="1" si="90"/>
        <v>0.51737180881553924</v>
      </c>
      <c r="D219">
        <f t="shared" si="70"/>
        <v>2500</v>
      </c>
      <c r="E219">
        <f t="shared" ca="1" si="103"/>
        <v>1356.8399404379563</v>
      </c>
      <c r="F219">
        <f t="shared" si="71"/>
        <v>550</v>
      </c>
      <c r="G219">
        <f t="shared" si="72"/>
        <v>5.2192977958184277E-7</v>
      </c>
      <c r="H219">
        <f t="shared" ca="1" si="75"/>
        <v>7.0817517104062319E-4</v>
      </c>
      <c r="I219">
        <f t="shared" ca="1" si="73"/>
        <v>5.9027896065133575E-2</v>
      </c>
      <c r="J219">
        <f t="shared" ca="1" si="91"/>
        <v>3.4857149731708115E-2</v>
      </c>
      <c r="K219">
        <f t="shared" ca="1" si="92"/>
        <v>-7.9987348296705132E-3</v>
      </c>
      <c r="L219">
        <f t="shared" ca="1" si="93"/>
        <v>4.138209183950782E-2</v>
      </c>
      <c r="M219">
        <f t="shared" ca="1" si="76"/>
        <v>6.8240506741545415E-2</v>
      </c>
      <c r="Q219">
        <f t="shared" si="106"/>
        <v>180</v>
      </c>
      <c r="R219" s="26">
        <f t="shared" si="102"/>
        <v>6.548947823773366</v>
      </c>
      <c r="S219">
        <f t="shared" ca="1" si="95"/>
        <v>0.36333688376733231</v>
      </c>
      <c r="T219" s="23">
        <f t="shared" ca="1" si="96"/>
        <v>2499.9999986510711</v>
      </c>
      <c r="U219">
        <f t="shared" ca="1" si="104"/>
        <v>1525.6207779935908</v>
      </c>
      <c r="V219">
        <f t="shared" si="78"/>
        <v>550</v>
      </c>
      <c r="W219">
        <f t="shared" si="97"/>
        <v>5.2192977958184277E-7</v>
      </c>
      <c r="X219">
        <f t="shared" ca="1" si="79"/>
        <v>7.9626691638367436E-4</v>
      </c>
      <c r="Y219">
        <f t="shared" ca="1" si="98"/>
        <v>5.0943044950535581E-2</v>
      </c>
      <c r="Z219" s="6">
        <f t="shared" ca="1" si="80"/>
        <v>-1.7724749918094916E-4</v>
      </c>
      <c r="AA219">
        <f t="shared" ca="1" si="99"/>
        <v>4.5982107917720234E-2</v>
      </c>
      <c r="AB219">
        <f t="shared" ca="1" si="100"/>
        <v>3.1262233563416029E-3</v>
      </c>
      <c r="AC219">
        <f t="shared" ca="1" si="101"/>
        <v>3.0257133653495701E-2</v>
      </c>
      <c r="AD219">
        <f t="shared" ca="1" si="81"/>
        <v>7.9365464927557527E-2</v>
      </c>
      <c r="AE219">
        <f t="shared" ca="1" si="82"/>
        <v>0.14516578466802427</v>
      </c>
      <c r="AG219">
        <f t="shared" ca="1" si="83"/>
        <v>3.1416576097825256E-2</v>
      </c>
      <c r="AI219">
        <f t="shared" ca="1" si="84"/>
        <v>9.2733266652182497E-2</v>
      </c>
      <c r="AK219">
        <f t="shared" ca="1" si="85"/>
        <v>50.699404401199651</v>
      </c>
      <c r="AL219" s="6">
        <f t="shared" si="86"/>
        <v>3.0000000000000001E-5</v>
      </c>
      <c r="AM219" s="6">
        <f t="shared" ca="1" si="87"/>
        <v>128779.94078883996</v>
      </c>
      <c r="AN219" s="6">
        <f t="shared" ca="1" si="88"/>
        <v>4.2957334457796236E-3</v>
      </c>
    </row>
    <row r="220" spans="1:40" x14ac:dyDescent="0.25">
      <c r="A220">
        <f t="shared" si="105"/>
        <v>181</v>
      </c>
      <c r="B220">
        <f t="shared" si="69"/>
        <v>7.5166233716595015</v>
      </c>
      <c r="C220">
        <f t="shared" ca="1" si="90"/>
        <v>0.51982313734119157</v>
      </c>
      <c r="D220">
        <f t="shared" si="70"/>
        <v>2500</v>
      </c>
      <c r="E220">
        <f t="shared" ca="1" si="103"/>
        <v>1353.6799677776701</v>
      </c>
      <c r="F220">
        <f t="shared" si="71"/>
        <v>550</v>
      </c>
      <c r="G220">
        <f t="shared" si="72"/>
        <v>5.2192977958184277E-7</v>
      </c>
      <c r="H220">
        <f t="shared" ca="1" si="75"/>
        <v>7.0652588720655535E-4</v>
      </c>
      <c r="I220">
        <f t="shared" ca="1" si="73"/>
        <v>5.8890424774525912E-2</v>
      </c>
      <c r="J220">
        <f t="shared" ca="1" si="91"/>
        <v>3.4680105938947964E-2</v>
      </c>
      <c r="K220">
        <f t="shared" ca="1" si="92"/>
        <v>-8.1757786224306642E-3</v>
      </c>
      <c r="L220">
        <f t="shared" ca="1" si="93"/>
        <v>4.1559135632267971E-2</v>
      </c>
      <c r="M220">
        <f t="shared" ca="1" si="76"/>
        <v>6.8063462948785264E-2</v>
      </c>
      <c r="Q220">
        <f t="shared" si="106"/>
        <v>181</v>
      </c>
      <c r="R220" s="26">
        <f t="shared" si="102"/>
        <v>6.5853308672387731</v>
      </c>
      <c r="S220">
        <f t="shared" ca="1" si="95"/>
        <v>0.36519034678602785</v>
      </c>
      <c r="T220" s="23">
        <f t="shared" ca="1" si="96"/>
        <v>2499.9999986446223</v>
      </c>
      <c r="U220">
        <f t="shared" ca="1" si="104"/>
        <v>1523.8866503003978</v>
      </c>
      <c r="V220">
        <f t="shared" si="78"/>
        <v>550</v>
      </c>
      <c r="W220">
        <f t="shared" si="97"/>
        <v>5.2192977958184277E-7</v>
      </c>
      <c r="X220">
        <f t="shared" ca="1" si="79"/>
        <v>7.9536182349899931E-4</v>
      </c>
      <c r="Y220">
        <f t="shared" ca="1" si="98"/>
        <v>5.0885139508830418E-2</v>
      </c>
      <c r="Z220" s="6">
        <f t="shared" ca="1" si="80"/>
        <v>-1.7694854016048523E-4</v>
      </c>
      <c r="AA220">
        <f t="shared" ca="1" si="99"/>
        <v>4.5848244129518601E-2</v>
      </c>
      <c r="AB220">
        <f t="shared" ca="1" si="100"/>
        <v>2.9923595681399691E-3</v>
      </c>
      <c r="AC220">
        <f t="shared" ca="1" si="101"/>
        <v>3.0390997441697334E-2</v>
      </c>
      <c r="AD220">
        <f t="shared" ca="1" si="81"/>
        <v>7.9231601139355901E-2</v>
      </c>
      <c r="AE220">
        <f t="shared" ca="1" si="82"/>
        <v>0.14492093709054213</v>
      </c>
      <c r="AG220">
        <f t="shared" ca="1" si="83"/>
        <v>3.1363586527535493E-2</v>
      </c>
      <c r="AI220">
        <f t="shared" ca="1" si="84"/>
        <v>9.288994184475545E-2</v>
      </c>
      <c r="AK220">
        <f t="shared" ca="1" si="85"/>
        <v>50.78506232335112</v>
      </c>
      <c r="AL220" s="6">
        <f t="shared" si="86"/>
        <v>3.0000000000000001E-5</v>
      </c>
      <c r="AM220" s="6">
        <f t="shared" ca="1" si="87"/>
        <v>128779.94078883997</v>
      </c>
      <c r="AN220" s="6">
        <f t="shared" ca="1" si="88"/>
        <v>4.2957334457796236E-3</v>
      </c>
    </row>
    <row r="221" spans="1:40" x14ac:dyDescent="0.25">
      <c r="A221">
        <f t="shared" si="105"/>
        <v>182</v>
      </c>
      <c r="B221">
        <f t="shared" si="69"/>
        <v>7.5581516775802724</v>
      </c>
      <c r="C221">
        <f t="shared" ca="1" si="90"/>
        <v>0.52226875691703223</v>
      </c>
      <c r="D221">
        <f t="shared" si="70"/>
        <v>2500</v>
      </c>
      <c r="E221">
        <f t="shared" ca="1" si="103"/>
        <v>1350.5098974144428</v>
      </c>
      <c r="F221">
        <f t="shared" si="71"/>
        <v>550</v>
      </c>
      <c r="G221">
        <f t="shared" si="72"/>
        <v>5.2192977958184277E-7</v>
      </c>
      <c r="H221">
        <f t="shared" ca="1" si="75"/>
        <v>7.0487133308061716E-4</v>
      </c>
      <c r="I221">
        <f t="shared" ca="1" si="73"/>
        <v>5.8752514193960791E-2</v>
      </c>
      <c r="J221">
        <f t="shared" ca="1" si="91"/>
        <v>3.4503474467146321E-2</v>
      </c>
      <c r="K221">
        <f t="shared" ca="1" si="92"/>
        <v>-8.3524100942323071E-3</v>
      </c>
      <c r="L221">
        <f t="shared" ca="1" si="93"/>
        <v>4.1735767104069614E-2</v>
      </c>
      <c r="M221">
        <f t="shared" ca="1" si="76"/>
        <v>6.7886831476983628E-2</v>
      </c>
      <c r="Q221">
        <f t="shared" si="106"/>
        <v>182</v>
      </c>
      <c r="R221" s="26">
        <f t="shared" si="102"/>
        <v>6.621713910704182</v>
      </c>
      <c r="S221">
        <f t="shared" ca="1" si="95"/>
        <v>0.36704170302852102</v>
      </c>
      <c r="T221" s="23">
        <f t="shared" ca="1" si="96"/>
        <v>2499.9999986381845</v>
      </c>
      <c r="U221">
        <f t="shared" ca="1" si="104"/>
        <v>1522.1483207419387</v>
      </c>
      <c r="V221">
        <f t="shared" si="78"/>
        <v>550</v>
      </c>
      <c r="W221">
        <f t="shared" si="97"/>
        <v>5.2192977958184277E-7</v>
      </c>
      <c r="X221">
        <f t="shared" ca="1" si="79"/>
        <v>7.9445453753571222E-4</v>
      </c>
      <c r="Y221">
        <f t="shared" ca="1" si="98"/>
        <v>5.0827093759773512E-2</v>
      </c>
      <c r="Z221" s="6">
        <f t="shared" ca="1" si="80"/>
        <v>-1.7664992095783278E-4</v>
      </c>
      <c r="AA221">
        <f t="shared" ca="1" si="99"/>
        <v>4.5714532500297479E-2</v>
      </c>
      <c r="AB221">
        <f t="shared" ca="1" si="100"/>
        <v>2.8586479389188478E-3</v>
      </c>
      <c r="AC221">
        <f t="shared" ca="1" si="101"/>
        <v>3.0524709070918456E-2</v>
      </c>
      <c r="AD221">
        <f t="shared" ca="1" si="81"/>
        <v>7.9097889510134772E-2</v>
      </c>
      <c r="AE221">
        <f t="shared" ca="1" si="82"/>
        <v>0.14467636782400631</v>
      </c>
      <c r="AG221">
        <f t="shared" ca="1" si="83"/>
        <v>3.1310657188911496E-2</v>
      </c>
      <c r="AI221">
        <f t="shared" ca="1" si="84"/>
        <v>9.3046968353796861E-2</v>
      </c>
      <c r="AK221">
        <f t="shared" ca="1" si="85"/>
        <v>50.870912318275714</v>
      </c>
      <c r="AL221" s="6">
        <f t="shared" si="86"/>
        <v>3.0000000000000001E-5</v>
      </c>
      <c r="AM221" s="6">
        <f t="shared" ca="1" si="87"/>
        <v>128779.94078884</v>
      </c>
      <c r="AN221" s="6">
        <f t="shared" ca="1" si="88"/>
        <v>4.2957334457796236E-3</v>
      </c>
    </row>
    <row r="222" spans="1:40" x14ac:dyDescent="0.25">
      <c r="A222">
        <f t="shared" si="105"/>
        <v>183</v>
      </c>
      <c r="B222">
        <f t="shared" si="69"/>
        <v>7.5996799835010425</v>
      </c>
      <c r="C222">
        <f t="shared" ca="1" si="90"/>
        <v>0.52470864930009342</v>
      </c>
      <c r="D222">
        <f t="shared" si="70"/>
        <v>2500</v>
      </c>
      <c r="E222">
        <f t="shared" ca="1" si="103"/>
        <v>1347.3297307498005</v>
      </c>
      <c r="F222">
        <f t="shared" si="71"/>
        <v>550</v>
      </c>
      <c r="G222">
        <f t="shared" si="72"/>
        <v>5.2192977958184277E-7</v>
      </c>
      <c r="H222">
        <f t="shared" ca="1" si="75"/>
        <v>7.0321150939430693E-4</v>
      </c>
      <c r="I222">
        <f t="shared" ca="1" si="73"/>
        <v>5.8614164384410139E-2</v>
      </c>
      <c r="J222">
        <f t="shared" ca="1" si="91"/>
        <v>3.4327256633876167E-2</v>
      </c>
      <c r="K222">
        <f t="shared" ca="1" si="92"/>
        <v>-8.5286279275024607E-3</v>
      </c>
      <c r="L222">
        <f t="shared" ca="1" si="93"/>
        <v>4.1911984937339768E-2</v>
      </c>
      <c r="M222">
        <f t="shared" ca="1" si="76"/>
        <v>6.7710613643713474E-2</v>
      </c>
      <c r="Q222">
        <f t="shared" si="106"/>
        <v>183</v>
      </c>
      <c r="R222" s="26">
        <f t="shared" si="102"/>
        <v>6.6580969541695891</v>
      </c>
      <c r="S222">
        <f t="shared" ca="1" si="95"/>
        <v>0.36889094739000317</v>
      </c>
      <c r="T222" s="23">
        <f t="shared" ca="1" si="96"/>
        <v>2499.9999986317575</v>
      </c>
      <c r="U222">
        <f t="shared" ca="1" si="104"/>
        <v>1520.4057822354605</v>
      </c>
      <c r="V222">
        <f t="shared" si="78"/>
        <v>550</v>
      </c>
      <c r="W222">
        <f t="shared" si="97"/>
        <v>5.2192977958184277E-7</v>
      </c>
      <c r="X222">
        <f t="shared" ca="1" si="79"/>
        <v>7.9354505479711313E-4</v>
      </c>
      <c r="Y222">
        <f t="shared" ca="1" si="98"/>
        <v>5.076890746685981E-2</v>
      </c>
      <c r="Z222" s="6">
        <f t="shared" ca="1" si="80"/>
        <v>-1.763516423963847E-4</v>
      </c>
      <c r="AA222">
        <f t="shared" ca="1" si="99"/>
        <v>4.5580973398744569E-2</v>
      </c>
      <c r="AB222">
        <f t="shared" ca="1" si="100"/>
        <v>2.7250888373659445E-3</v>
      </c>
      <c r="AC222">
        <f t="shared" ca="1" si="101"/>
        <v>3.0658268172471359E-2</v>
      </c>
      <c r="AD222">
        <f t="shared" ca="1" si="81"/>
        <v>7.8964330408581876E-2</v>
      </c>
      <c r="AE222">
        <f t="shared" ca="1" si="82"/>
        <v>0.14443207754277618</v>
      </c>
      <c r="AG222">
        <f t="shared" ca="1" si="83"/>
        <v>3.1257788227897182E-2</v>
      </c>
      <c r="AI222">
        <f t="shared" ca="1" si="84"/>
        <v>9.320434662106325E-2</v>
      </c>
      <c r="AK222">
        <f t="shared" ca="1" si="85"/>
        <v>50.956954627491847</v>
      </c>
      <c r="AL222" s="6">
        <f t="shared" si="86"/>
        <v>3.0000000000000001E-5</v>
      </c>
      <c r="AM222" s="6">
        <f t="shared" ca="1" si="87"/>
        <v>128779.94078883997</v>
      </c>
      <c r="AN222" s="6">
        <f t="shared" ca="1" si="88"/>
        <v>4.2957334457796236E-3</v>
      </c>
    </row>
    <row r="223" spans="1:40" x14ac:dyDescent="0.25">
      <c r="A223">
        <f t="shared" si="105"/>
        <v>184</v>
      </c>
      <c r="B223">
        <f t="shared" si="69"/>
        <v>7.6412082894218134</v>
      </c>
      <c r="C223">
        <f t="shared" ca="1" si="90"/>
        <v>0.52714279624993954</v>
      </c>
      <c r="D223">
        <f t="shared" si="70"/>
        <v>2500</v>
      </c>
      <c r="E223">
        <f t="shared" ca="1" si="103"/>
        <v>1344.1394698554407</v>
      </c>
      <c r="F223">
        <f t="shared" si="71"/>
        <v>550</v>
      </c>
      <c r="G223">
        <f t="shared" si="72"/>
        <v>5.2192977958184277E-7</v>
      </c>
      <c r="H223">
        <f t="shared" ca="1" si="75"/>
        <v>7.0154641722890512E-4</v>
      </c>
      <c r="I223">
        <f t="shared" ca="1" si="73"/>
        <v>5.8475375436000981E-2</v>
      </c>
      <c r="J223">
        <f ca="1">$B$9*(1-C223)</f>
        <v>3.4151453756527596E-2</v>
      </c>
      <c r="K223">
        <f t="shared" ca="1" si="92"/>
        <v>-8.7044308048510322E-3</v>
      </c>
      <c r="L223">
        <f t="shared" ca="1" si="93"/>
        <v>4.2087787814688339E-2</v>
      </c>
      <c r="M223">
        <f t="shared" ca="1" si="76"/>
        <v>6.7534810766364903E-2</v>
      </c>
      <c r="Q223">
        <f t="shared" si="106"/>
        <v>184</v>
      </c>
      <c r="R223" s="26">
        <f t="shared" si="102"/>
        <v>6.6944799976349962</v>
      </c>
      <c r="S223">
        <f t="shared" ca="1" si="95"/>
        <v>0.37073807475706116</v>
      </c>
      <c r="T223" s="23">
        <f t="shared" ca="1" si="96"/>
        <v>2499.9999986253415</v>
      </c>
      <c r="U223">
        <f t="shared" ca="1" si="104"/>
        <v>1518.6590277415505</v>
      </c>
      <c r="V223">
        <f t="shared" si="78"/>
        <v>550</v>
      </c>
      <c r="W223">
        <f t="shared" si="97"/>
        <v>5.2192977958184277E-7</v>
      </c>
      <c r="X223">
        <f t="shared" ca="1" si="79"/>
        <v>7.9263337160912308E-4</v>
      </c>
      <c r="Y223">
        <f t="shared" ca="1" si="98"/>
        <v>5.0710580395031485E-2</v>
      </c>
      <c r="Z223" s="6">
        <f t="shared" ca="1" si="80"/>
        <v>-1.7605370530092204E-4</v>
      </c>
      <c r="AA223">
        <f t="shared" ca="1" si="99"/>
        <v>4.5447567194169029E-2</v>
      </c>
      <c r="AB223">
        <f t="shared" ca="1" si="100"/>
        <v>2.5916826327904048E-3</v>
      </c>
      <c r="AC223">
        <f t="shared" ca="1" si="101"/>
        <v>3.0791674377046899E-2</v>
      </c>
      <c r="AD223">
        <f t="shared" ca="1" si="81"/>
        <v>7.8830924204006336E-2</v>
      </c>
      <c r="AE223">
        <f t="shared" ca="1" si="82"/>
        <v>0.14418806692234765</v>
      </c>
      <c r="AG223">
        <f t="shared" ca="1" si="83"/>
        <v>3.120497979068244E-2</v>
      </c>
      <c r="AI223">
        <f t="shared" ca="1" si="84"/>
        <v>9.3362077083546241E-2</v>
      </c>
      <c r="AK223">
        <f t="shared" ca="1" si="85"/>
        <v>51.043189489912884</v>
      </c>
      <c r="AL223" s="6">
        <f t="shared" si="86"/>
        <v>3.0000000000000001E-5</v>
      </c>
      <c r="AM223" s="6">
        <f t="shared" ca="1" si="87"/>
        <v>128779.94078884</v>
      </c>
      <c r="AN223" s="6">
        <f t="shared" ca="1" si="88"/>
        <v>4.2957334457796236E-3</v>
      </c>
    </row>
    <row r="224" spans="1:40" x14ac:dyDescent="0.25">
      <c r="A224">
        <f t="shared" si="105"/>
        <v>185</v>
      </c>
      <c r="B224">
        <f t="shared" si="69"/>
        <v>7.6827365953425844</v>
      </c>
      <c r="C224">
        <f t="shared" ca="1" si="90"/>
        <v>0.52957117952987776</v>
      </c>
      <c r="D224">
        <f t="shared" si="70"/>
        <v>2500</v>
      </c>
      <c r="E224">
        <f t="shared" ca="1" si="103"/>
        <v>1340.9391174828722</v>
      </c>
      <c r="F224">
        <f t="shared" si="71"/>
        <v>550</v>
      </c>
      <c r="G224">
        <f t="shared" si="72"/>
        <v>5.2192977958184277E-7</v>
      </c>
      <c r="H224">
        <f t="shared" ca="1" si="75"/>
        <v>6.9987605802050625E-4</v>
      </c>
      <c r="I224">
        <f t="shared" ca="1" si="73"/>
        <v>5.833614746843481E-2</v>
      </c>
      <c r="J224">
        <f t="shared" ref="J224:J239" ca="1" si="107">$B$9*(1-C224)</f>
        <v>3.3976067152220367E-2</v>
      </c>
      <c r="K224">
        <f t="shared" ca="1" si="92"/>
        <v>-8.879817409158261E-3</v>
      </c>
      <c r="L224">
        <f t="shared" ca="1" si="93"/>
        <v>4.2263174418995568E-2</v>
      </c>
      <c r="M224">
        <f t="shared" ca="1" si="76"/>
        <v>6.7359424162057674E-2</v>
      </c>
      <c r="Q224">
        <f t="shared" si="106"/>
        <v>185</v>
      </c>
      <c r="R224" s="26">
        <f t="shared" si="102"/>
        <v>6.7308630411004033</v>
      </c>
      <c r="S224">
        <f t="shared" ca="1" si="95"/>
        <v>0.37258308000772961</v>
      </c>
      <c r="T224" s="23">
        <f t="shared" ca="1" si="96"/>
        <v>2499.9999986189359</v>
      </c>
      <c r="U224">
        <f t="shared" ca="1" si="104"/>
        <v>1516.9080502648972</v>
      </c>
      <c r="V224">
        <f t="shared" si="78"/>
        <v>550</v>
      </c>
      <c r="W224">
        <f t="shared" si="97"/>
        <v>5.2192977958184277E-7</v>
      </c>
      <c r="X224">
        <f t="shared" ca="1" si="79"/>
        <v>7.9171948432068065E-4</v>
      </c>
      <c r="Y224">
        <f t="shared" ca="1" si="98"/>
        <v>5.065211231070333E-2</v>
      </c>
      <c r="Z224" s="6">
        <f t="shared" ca="1" si="80"/>
        <v>-1.7575611049760524E-4</v>
      </c>
      <c r="AA224">
        <f t="shared" ca="1" si="99"/>
        <v>4.5314314256497686E-2</v>
      </c>
      <c r="AB224">
        <f t="shared" ca="1" si="100"/>
        <v>2.4584296951190576E-3</v>
      </c>
      <c r="AC224">
        <f t="shared" ca="1" si="101"/>
        <v>3.0924927314718246E-2</v>
      </c>
      <c r="AD224">
        <f t="shared" ca="1" si="81"/>
        <v>7.8697671266334993E-2</v>
      </c>
      <c r="AE224">
        <f t="shared" ca="1" si="82"/>
        <v>0.14394433663934655</v>
      </c>
      <c r="AG224">
        <f t="shared" ca="1" si="83"/>
        <v>3.1152232023701678E-2</v>
      </c>
      <c r="AI224">
        <f t="shared" ca="1" si="84"/>
        <v>9.3520160173405115E-2</v>
      </c>
      <c r="AK224">
        <f t="shared" ca="1" si="85"/>
        <v>51.129617141810186</v>
      </c>
      <c r="AL224" s="6">
        <f t="shared" si="86"/>
        <v>3.0000000000000001E-5</v>
      </c>
      <c r="AM224" s="6">
        <f t="shared" ca="1" si="87"/>
        <v>128779.94078883997</v>
      </c>
      <c r="AN224" s="6">
        <f t="shared" ca="1" si="88"/>
        <v>4.2957334457796236E-3</v>
      </c>
    </row>
    <row r="225" spans="1:40" x14ac:dyDescent="0.25">
      <c r="A225">
        <f t="shared" si="105"/>
        <v>186</v>
      </c>
      <c r="B225">
        <f t="shared" si="69"/>
        <v>7.7242649012633544</v>
      </c>
      <c r="C225">
        <f t="shared" ca="1" si="90"/>
        <v>0.53199378090818605</v>
      </c>
      <c r="D225">
        <f t="shared" si="70"/>
        <v>2500</v>
      </c>
      <c r="E225">
        <f t="shared" ca="1" si="103"/>
        <v>1337.7286770731021</v>
      </c>
      <c r="F225">
        <f t="shared" si="71"/>
        <v>550</v>
      </c>
      <c r="G225">
        <f t="shared" si="72"/>
        <v>5.2192977958184277E-7</v>
      </c>
      <c r="H225">
        <f t="shared" ca="1" si="75"/>
        <v>6.9820043356507431E-4</v>
      </c>
      <c r="I225">
        <f t="shared" ca="1" si="73"/>
        <v>5.8196480631409038E-2</v>
      </c>
      <c r="J225">
        <f t="shared" ca="1" si="107"/>
        <v>3.3801098137715244E-2</v>
      </c>
      <c r="K225">
        <f t="shared" ca="1" si="92"/>
        <v>-9.0547864236633843E-3</v>
      </c>
      <c r="L225">
        <f t="shared" ca="1" si="93"/>
        <v>4.2438143433500691E-2</v>
      </c>
      <c r="M225">
        <f t="shared" ca="1" si="76"/>
        <v>6.7184455147552558E-2</v>
      </c>
      <c r="Q225">
        <f t="shared" si="106"/>
        <v>186</v>
      </c>
      <c r="R225" s="26">
        <f t="shared" si="102"/>
        <v>6.7672460845658122</v>
      </c>
      <c r="S225">
        <f t="shared" ca="1" si="95"/>
        <v>0.37442595801154471</v>
      </c>
      <c r="T225" s="23">
        <f t="shared" ca="1" si="96"/>
        <v>2499.9999986125413</v>
      </c>
      <c r="U225">
        <f t="shared" ca="1" si="104"/>
        <v>1515.1528428550591</v>
      </c>
      <c r="V225">
        <f t="shared" si="78"/>
        <v>550</v>
      </c>
      <c r="W225">
        <f t="shared" si="97"/>
        <v>5.2192977958184277E-7</v>
      </c>
      <c r="X225">
        <f t="shared" ca="1" si="79"/>
        <v>7.9080338930414347E-4</v>
      </c>
      <c r="Y225">
        <f t="shared" ca="1" si="98"/>
        <v>5.0593502981788385E-2</v>
      </c>
      <c r="Z225" s="6">
        <f t="shared" ca="1" si="80"/>
        <v>-1.7545885881396542E-4</v>
      </c>
      <c r="AA225">
        <f t="shared" ca="1" si="99"/>
        <v>4.5181214956271136E-2</v>
      </c>
      <c r="AB225">
        <f t="shared" ca="1" si="100"/>
        <v>2.325330394892515E-3</v>
      </c>
      <c r="AC225">
        <f t="shared" ca="1" si="101"/>
        <v>3.1058026614944789E-2</v>
      </c>
      <c r="AD225">
        <f t="shared" ca="1" si="81"/>
        <v>7.8564571966108443E-2</v>
      </c>
      <c r="AE225">
        <f t="shared" ca="1" si="82"/>
        <v>0.14370088737152126</v>
      </c>
      <c r="AG225">
        <f t="shared" ca="1" si="83"/>
        <v>3.1099545073632252E-2</v>
      </c>
      <c r="AI225">
        <f t="shared" ca="1" si="84"/>
        <v>9.3678596317899418E-2</v>
      </c>
      <c r="AK225">
        <f t="shared" ca="1" si="85"/>
        <v>51.216237816776378</v>
      </c>
      <c r="AL225" s="6">
        <f t="shared" si="86"/>
        <v>3.0000000000000001E-5</v>
      </c>
      <c r="AM225" s="6">
        <f t="shared" ca="1" si="87"/>
        <v>128779.94078883999</v>
      </c>
      <c r="AN225" s="6">
        <f t="shared" ca="1" si="88"/>
        <v>4.2957334457796236E-3</v>
      </c>
    </row>
    <row r="226" spans="1:40" x14ac:dyDescent="0.25">
      <c r="A226">
        <f t="shared" si="105"/>
        <v>187</v>
      </c>
      <c r="B226">
        <f t="shared" si="69"/>
        <v>7.7657932071841254</v>
      </c>
      <c r="C226">
        <f t="shared" ca="1" si="90"/>
        <v>0.53441058215935944</v>
      </c>
      <c r="D226">
        <f t="shared" si="70"/>
        <v>2500</v>
      </c>
      <c r="E226">
        <f t="shared" ca="1" si="103"/>
        <v>1334.5081527663522</v>
      </c>
      <c r="F226">
        <f t="shared" si="71"/>
        <v>550</v>
      </c>
      <c r="G226">
        <f t="shared" si="72"/>
        <v>5.2192977958184277E-7</v>
      </c>
      <c r="H226">
        <f t="shared" ca="1" si="75"/>
        <v>6.9651954602351432E-4</v>
      </c>
      <c r="I226">
        <f t="shared" ca="1" si="73"/>
        <v>5.8056375105039644E-2</v>
      </c>
      <c r="J226">
        <f t="shared" ca="1" si="107"/>
        <v>3.3626548029323973E-2</v>
      </c>
      <c r="K226">
        <f t="shared" ca="1" si="92"/>
        <v>-9.229336532054655E-3</v>
      </c>
      <c r="L226">
        <f t="shared" ca="1" si="93"/>
        <v>4.2612693541891962E-2</v>
      </c>
      <c r="M226">
        <f t="shared" ca="1" si="76"/>
        <v>6.700990503916128E-2</v>
      </c>
      <c r="Q226">
        <f t="shared" si="106"/>
        <v>187</v>
      </c>
      <c r="R226" s="26">
        <f t="shared" si="102"/>
        <v>6.8036291280312193</v>
      </c>
      <c r="S226">
        <f t="shared" ca="1" si="95"/>
        <v>0.3762667036295983</v>
      </c>
      <c r="T226" s="23">
        <f t="shared" ca="1" si="96"/>
        <v>2499.9999986061575</v>
      </c>
      <c r="U226">
        <f t="shared" ca="1" si="104"/>
        <v>1513.3933986072414</v>
      </c>
      <c r="V226">
        <f t="shared" si="78"/>
        <v>550</v>
      </c>
      <c r="W226">
        <f t="shared" si="97"/>
        <v>5.2192977958184277E-7</v>
      </c>
      <c r="X226">
        <f t="shared" ca="1" si="79"/>
        <v>7.8988508295569336E-4</v>
      </c>
      <c r="Y226">
        <f t="shared" ca="1" si="98"/>
        <v>5.0534752177723942E-2</v>
      </c>
      <c r="Z226" s="6">
        <f t="shared" ca="1" si="80"/>
        <v>-1.7516195107889588E-4</v>
      </c>
      <c r="AA226">
        <f t="shared" ca="1" si="99"/>
        <v>4.5048269664639894E-2</v>
      </c>
      <c r="AB226">
        <f t="shared" ca="1" si="100"/>
        <v>2.1923851032612657E-3</v>
      </c>
      <c r="AC226">
        <f t="shared" ca="1" si="101"/>
        <v>3.1190971906576038E-2</v>
      </c>
      <c r="AD226">
        <f t="shared" ca="1" si="81"/>
        <v>7.8431626674477201E-2</v>
      </c>
      <c r="AE226">
        <f t="shared" ca="1" si="82"/>
        <v>0.14345771979773575</v>
      </c>
      <c r="AG226">
        <f t="shared" ca="1" si="83"/>
        <v>3.1046919087392957E-2</v>
      </c>
      <c r="AI226">
        <f t="shared" ca="1" si="84"/>
        <v>9.3837385939320617E-2</v>
      </c>
      <c r="AK226">
        <f t="shared" ca="1" si="85"/>
        <v>51.303051745687888</v>
      </c>
      <c r="AL226" s="6">
        <f t="shared" si="86"/>
        <v>3.0000000000000001E-5</v>
      </c>
      <c r="AM226" s="6">
        <f t="shared" ca="1" si="87"/>
        <v>128779.94078884</v>
      </c>
      <c r="AN226" s="6">
        <f t="shared" ca="1" si="88"/>
        <v>4.2957334457796236E-3</v>
      </c>
    </row>
    <row r="227" spans="1:40" x14ac:dyDescent="0.25">
      <c r="A227">
        <f t="shared" si="105"/>
        <v>188</v>
      </c>
      <c r="B227">
        <f t="shared" si="69"/>
        <v>7.8073215131048963</v>
      </c>
      <c r="C227">
        <f t="shared" ca="1" si="90"/>
        <v>0.5368215650653726</v>
      </c>
      <c r="D227">
        <f t="shared" si="70"/>
        <v>2500</v>
      </c>
      <c r="E227">
        <f t="shared" ca="1" si="103"/>
        <v>1331.2775494118282</v>
      </c>
      <c r="F227">
        <f t="shared" si="71"/>
        <v>550</v>
      </c>
      <c r="G227">
        <f t="shared" si="72"/>
        <v>5.2192977958184277E-7</v>
      </c>
      <c r="H227">
        <f t="shared" ca="1" si="75"/>
        <v>6.9483339792677124E-4</v>
      </c>
      <c r="I227">
        <f t="shared" ca="1" si="73"/>
        <v>5.7915831100286252E-2</v>
      </c>
      <c r="J227">
        <f t="shared" ca="1" si="107"/>
        <v>3.3452418142818088E-2</v>
      </c>
      <c r="K227">
        <f t="shared" ca="1" si="92"/>
        <v>-9.4034664185605396E-3</v>
      </c>
      <c r="L227">
        <f t="shared" ca="1" si="93"/>
        <v>4.2786823428397847E-2</v>
      </c>
      <c r="M227">
        <f t="shared" ca="1" si="76"/>
        <v>6.6835775152655402E-2</v>
      </c>
      <c r="Q227">
        <f t="shared" si="106"/>
        <v>188</v>
      </c>
      <c r="R227" s="26">
        <f t="shared" si="102"/>
        <v>6.8400121714966273</v>
      </c>
      <c r="S227">
        <f t="shared" ca="1" si="95"/>
        <v>0.37810531171459405</v>
      </c>
      <c r="T227" s="23">
        <f t="shared" ca="1" si="96"/>
        <v>2499.9999985997847</v>
      </c>
      <c r="U227">
        <f t="shared" ca="1" si="104"/>
        <v>1511.6297106630773</v>
      </c>
      <c r="V227">
        <f t="shared" si="78"/>
        <v>550</v>
      </c>
      <c r="W227">
        <f t="shared" si="97"/>
        <v>5.2192977958184277E-7</v>
      </c>
      <c r="X227">
        <f t="shared" ca="1" si="79"/>
        <v>7.8896456169574468E-4</v>
      </c>
      <c r="Y227">
        <f t="shared" ca="1" si="98"/>
        <v>5.0475859669497601E-2</v>
      </c>
      <c r="Z227" s="6">
        <f t="shared" ca="1" si="80"/>
        <v>-1.7486538812264271E-4</v>
      </c>
      <c r="AA227">
        <f t="shared" ca="1" si="99"/>
        <v>4.4915478753360258E-2</v>
      </c>
      <c r="AB227">
        <f t="shared" ca="1" si="100"/>
        <v>2.0595941919816334E-3</v>
      </c>
      <c r="AC227">
        <f t="shared" ca="1" si="101"/>
        <v>3.132376281785567E-2</v>
      </c>
      <c r="AD227">
        <f t="shared" ca="1" si="81"/>
        <v>7.8298835763197572E-2</v>
      </c>
      <c r="AE227">
        <f t="shared" ca="1" si="82"/>
        <v>0.14321483459796205</v>
      </c>
      <c r="AG227">
        <f t="shared" ca="1" si="83"/>
        <v>3.0994354212142385E-2</v>
      </c>
      <c r="AI227">
        <f t="shared" ca="1" si="84"/>
        <v>9.399652945492365E-2</v>
      </c>
      <c r="AK227">
        <f t="shared" ca="1" si="85"/>
        <v>51.390059156667562</v>
      </c>
      <c r="AL227" s="6">
        <f t="shared" si="86"/>
        <v>3.0000000000000001E-5</v>
      </c>
      <c r="AM227" s="6">
        <f t="shared" ca="1" si="87"/>
        <v>128779.94078883996</v>
      </c>
      <c r="AN227" s="6">
        <f t="shared" ca="1" si="88"/>
        <v>4.2957334457796236E-3</v>
      </c>
    </row>
    <row r="228" spans="1:40" x14ac:dyDescent="0.25">
      <c r="A228">
        <f>A227+1</f>
        <v>189</v>
      </c>
      <c r="B228">
        <f t="shared" si="69"/>
        <v>7.8488498190256664</v>
      </c>
      <c r="C228">
        <f t="shared" ca="1" si="90"/>
        <v>0.53922671141696088</v>
      </c>
      <c r="D228">
        <f t="shared" si="70"/>
        <v>2500</v>
      </c>
      <c r="E228">
        <f t="shared" ca="1" si="103"/>
        <v>1328.0368725775174</v>
      </c>
      <c r="F228">
        <f t="shared" si="71"/>
        <v>550</v>
      </c>
      <c r="G228">
        <f t="shared" si="72"/>
        <v>5.2192977958184277E-7</v>
      </c>
      <c r="H228">
        <f t="shared" ca="1" si="75"/>
        <v>6.9314199218094351E-4</v>
      </c>
      <c r="I228">
        <f t="shared" ca="1" si="73"/>
        <v>5.7774848859378274E-2</v>
      </c>
      <c r="J228">
        <f t="shared" ca="1" si="107"/>
        <v>3.3278709793336407E-2</v>
      </c>
      <c r="K228">
        <f t="shared" ca="1" si="92"/>
        <v>-9.5771747680422209E-3</v>
      </c>
      <c r="L228">
        <f t="shared" ca="1" si="93"/>
        <v>4.2960531777879528E-2</v>
      </c>
      <c r="M228">
        <f t="shared" ca="1" si="76"/>
        <v>6.6662066803173714E-2</v>
      </c>
      <c r="Q228">
        <f>Q227+1</f>
        <v>189</v>
      </c>
      <c r="R228" s="26">
        <f t="shared" si="102"/>
        <v>6.8763952149620344</v>
      </c>
      <c r="S228">
        <f t="shared" ca="1" si="95"/>
        <v>0.37994177711090316</v>
      </c>
      <c r="T228" s="23">
        <f t="shared" ca="1" si="96"/>
        <v>2499.9999985934228</v>
      </c>
      <c r="U228">
        <f t="shared" ca="1" si="104"/>
        <v>1509.8617722114166</v>
      </c>
      <c r="V228">
        <f t="shared" si="78"/>
        <v>550</v>
      </c>
      <c r="W228">
        <f t="shared" si="97"/>
        <v>5.2192977958184277E-7</v>
      </c>
      <c r="X228">
        <f t="shared" ca="1" si="79"/>
        <v>7.8804182196935517E-4</v>
      </c>
      <c r="Y228">
        <f t="shared" ca="1" si="98"/>
        <v>5.0416825229673584E-2</v>
      </c>
      <c r="Z228" s="6">
        <f t="shared" ca="1" si="80"/>
        <v>-1.7456917077679637E-4</v>
      </c>
      <c r="AA228">
        <f t="shared" ca="1" si="99"/>
        <v>4.4782842594790359E-2</v>
      </c>
      <c r="AB228">
        <f t="shared" ca="1" si="100"/>
        <v>1.9269580334117312E-3</v>
      </c>
      <c r="AC228">
        <f t="shared" ca="1" si="101"/>
        <v>3.1456398976425576E-2</v>
      </c>
      <c r="AD228">
        <f t="shared" ca="1" si="81"/>
        <v>7.8166199604627673E-2</v>
      </c>
      <c r="AE228">
        <f t="shared" ca="1" si="82"/>
        <v>0.14297223245327301</v>
      </c>
      <c r="AG228">
        <f t="shared" ca="1" si="83"/>
        <v>3.0941850595277372E-2</v>
      </c>
      <c r="AI228">
        <f t="shared" ca="1" si="84"/>
        <v>9.4156027276857748E-2</v>
      </c>
      <c r="AK228">
        <f t="shared" ca="1" si="85"/>
        <v>51.477260275046824</v>
      </c>
      <c r="AL228" s="6">
        <f t="shared" si="86"/>
        <v>3.0000000000000001E-5</v>
      </c>
      <c r="AM228" s="6">
        <f t="shared" ca="1" si="87"/>
        <v>128779.94078884</v>
      </c>
      <c r="AN228" s="6">
        <f t="shared" ca="1" si="88"/>
        <v>4.2957334457796236E-3</v>
      </c>
    </row>
    <row r="229" spans="1:40" x14ac:dyDescent="0.25">
      <c r="A229">
        <f t="shared" ref="A229:A238" si="108">A228+1</f>
        <v>190</v>
      </c>
      <c r="B229">
        <f t="shared" si="69"/>
        <v>7.8903781249464373</v>
      </c>
      <c r="C229">
        <f t="shared" ca="1" si="90"/>
        <v>0.54162600301491948</v>
      </c>
      <c r="D229">
        <f t="shared" si="70"/>
        <v>2500</v>
      </c>
      <c r="E229">
        <f t="shared" ca="1" si="103"/>
        <v>1324.786128560025</v>
      </c>
      <c r="F229">
        <f t="shared" si="71"/>
        <v>550</v>
      </c>
      <c r="G229">
        <f t="shared" si="72"/>
        <v>5.2192977958184277E-7</v>
      </c>
      <c r="H229">
        <f t="shared" ca="1" si="75"/>
        <v>6.9144533207241661E-4</v>
      </c>
      <c r="I229">
        <f t="shared" ca="1" si="73"/>
        <v>5.7633428656242915E-2</v>
      </c>
      <c r="J229">
        <f t="shared" ca="1" si="107"/>
        <v>3.3105424295291168E-2</v>
      </c>
      <c r="K229">
        <f t="shared" ca="1" si="92"/>
        <v>-9.7504602660874601E-3</v>
      </c>
      <c r="L229">
        <f t="shared" ca="1" si="93"/>
        <v>4.3133817275924767E-2</v>
      </c>
      <c r="M229">
        <f t="shared" ca="1" si="76"/>
        <v>6.6488781305128475E-2</v>
      </c>
      <c r="Q229">
        <f t="shared" ref="Q229:Q238" si="109">Q228+1</f>
        <v>190</v>
      </c>
      <c r="R229" s="26">
        <f t="shared" si="102"/>
        <v>6.9127782584274415</v>
      </c>
      <c r="S229">
        <f t="shared" ca="1" si="95"/>
        <v>0.3817760946546222</v>
      </c>
      <c r="T229" s="23">
        <f t="shared" ca="1" si="96"/>
        <v>2499.9999985870713</v>
      </c>
      <c r="U229">
        <f t="shared" ca="1" si="104"/>
        <v>1508.0895764891213</v>
      </c>
      <c r="V229">
        <f t="shared" si="78"/>
        <v>550</v>
      </c>
      <c r="W229">
        <f t="shared" si="97"/>
        <v>5.2192977958184277E-7</v>
      </c>
      <c r="X229">
        <f t="shared" ca="1" si="79"/>
        <v>7.8711686024664175E-4</v>
      </c>
      <c r="Y229">
        <f t="shared" ca="1" si="98"/>
        <v>5.0357648632419344E-2</v>
      </c>
      <c r="Z229" s="6">
        <f t="shared" ca="1" si="80"/>
        <v>-1.7427329987428151E-4</v>
      </c>
      <c r="AA229">
        <f t="shared" ca="1" si="99"/>
        <v>4.4650361561885926E-2</v>
      </c>
      <c r="AB229">
        <f t="shared" ca="1" si="100"/>
        <v>1.7944770005073017E-3</v>
      </c>
      <c r="AC229">
        <f t="shared" ca="1" si="101"/>
        <v>3.1588880009330002E-2</v>
      </c>
      <c r="AD229">
        <f t="shared" ca="1" si="81"/>
        <v>7.8033718571723226E-2</v>
      </c>
      <c r="AE229">
        <f t="shared" ca="1" si="82"/>
        <v>0.14272991404583441</v>
      </c>
      <c r="AG229">
        <f t="shared" ca="1" si="83"/>
        <v>3.0889408384431282E-2</v>
      </c>
      <c r="AI229">
        <f t="shared" ca="1" si="84"/>
        <v>9.4315879812096756E-2</v>
      </c>
      <c r="AK229">
        <f t="shared" ca="1" si="85"/>
        <v>51.564655323327628</v>
      </c>
      <c r="AL229" s="6">
        <f t="shared" si="86"/>
        <v>3.0000000000000001E-5</v>
      </c>
      <c r="AM229" s="6">
        <f t="shared" ca="1" si="87"/>
        <v>128779.94078883999</v>
      </c>
      <c r="AN229" s="6">
        <f t="shared" ca="1" si="88"/>
        <v>4.2957334457796236E-3</v>
      </c>
    </row>
    <row r="230" spans="1:40" x14ac:dyDescent="0.25">
      <c r="A230">
        <f t="shared" si="108"/>
        <v>191</v>
      </c>
      <c r="B230">
        <f t="shared" si="69"/>
        <v>7.9319064308672083</v>
      </c>
      <c r="C230">
        <f t="shared" ca="1" si="90"/>
        <v>0.54401942167141881</v>
      </c>
      <c r="D230">
        <f t="shared" si="70"/>
        <v>2500</v>
      </c>
      <c r="E230">
        <f t="shared" ca="1" si="103"/>
        <v>1321.5253243944401</v>
      </c>
      <c r="F230">
        <f t="shared" si="71"/>
        <v>550</v>
      </c>
      <c r="G230">
        <f t="shared" si="72"/>
        <v>5.2192977958184277E-7</v>
      </c>
      <c r="H230">
        <f t="shared" ca="1" si="75"/>
        <v>6.8974342127301337E-4</v>
      </c>
      <c r="I230">
        <f t="shared" ca="1" si="73"/>
        <v>5.7491570796934351E-2</v>
      </c>
      <c r="J230">
        <f t="shared" ca="1" si="107"/>
        <v>3.2932562962273065E-2</v>
      </c>
      <c r="K230">
        <f t="shared" ca="1" si="92"/>
        <v>-9.9233215991055626E-3</v>
      </c>
      <c r="L230">
        <f t="shared" ca="1" si="93"/>
        <v>4.330667860894287E-2</v>
      </c>
      <c r="M230">
        <f t="shared" ca="1" si="76"/>
        <v>6.6315919972110365E-2</v>
      </c>
      <c r="Q230">
        <f t="shared" si="109"/>
        <v>191</v>
      </c>
      <c r="R230" s="26">
        <f t="shared" si="102"/>
        <v>6.9491613018928504</v>
      </c>
      <c r="S230">
        <f t="shared" ca="1" si="95"/>
        <v>0.38360825917363128</v>
      </c>
      <c r="T230" s="23">
        <f t="shared" ca="1" si="96"/>
        <v>2499.9999985807308</v>
      </c>
      <c r="U230">
        <f t="shared" ca="1" si="104"/>
        <v>1506.3131167818701</v>
      </c>
      <c r="V230">
        <f t="shared" si="78"/>
        <v>550</v>
      </c>
      <c r="W230">
        <f t="shared" si="97"/>
        <v>5.2192977958184277E-7</v>
      </c>
      <c r="X230">
        <f t="shared" ca="1" si="79"/>
        <v>7.8618967302320007E-4</v>
      </c>
      <c r="Y230">
        <f t="shared" ca="1" si="98"/>
        <v>5.0298329653532377E-2</v>
      </c>
      <c r="Z230" s="6">
        <f t="shared" ca="1" si="80"/>
        <v>-1.7397777624934856E-4</v>
      </c>
      <c r="AA230">
        <f t="shared" ca="1" si="99"/>
        <v>4.4518036028196137E-2</v>
      </c>
      <c r="AB230">
        <f t="shared" ca="1" si="100"/>
        <v>1.6621514668175089E-3</v>
      </c>
      <c r="AC230">
        <f t="shared" ca="1" si="101"/>
        <v>3.1721205543019798E-2</v>
      </c>
      <c r="AD230">
        <f t="shared" ca="1" si="81"/>
        <v>7.7901393038033451E-2</v>
      </c>
      <c r="AE230">
        <f t="shared" ca="1" si="82"/>
        <v>0.14248788005889768</v>
      </c>
      <c r="AG230">
        <f t="shared" ca="1" si="83"/>
        <v>3.0837027727472436E-2</v>
      </c>
      <c r="AI230">
        <f t="shared" ca="1" si="84"/>
        <v>9.4476087462368977E-2</v>
      </c>
      <c r="AK230">
        <f t="shared" ca="1" si="85"/>
        <v>51.652244521144063</v>
      </c>
      <c r="AL230" s="6">
        <f t="shared" si="86"/>
        <v>3.0000000000000001E-5</v>
      </c>
      <c r="AM230" s="6">
        <f t="shared" ca="1" si="87"/>
        <v>128779.94078883999</v>
      </c>
      <c r="AN230" s="6">
        <f t="shared" ca="1" si="88"/>
        <v>4.2957334457796236E-3</v>
      </c>
    </row>
    <row r="231" spans="1:40" x14ac:dyDescent="0.25">
      <c r="A231">
        <f t="shared" si="108"/>
        <v>192</v>
      </c>
      <c r="B231">
        <f t="shared" ref="B231:B239" si="110">$B$33*A231/$B$36</f>
        <v>7.9734347367879783</v>
      </c>
      <c r="C231">
        <f t="shared" ca="1" si="90"/>
        <v>0.54640694921133948</v>
      </c>
      <c r="D231">
        <f t="shared" ref="D231:D239" si="111">$B$26</f>
        <v>2500</v>
      </c>
      <c r="E231">
        <f t="shared" ca="1" si="103"/>
        <v>1318.254467864238</v>
      </c>
      <c r="F231">
        <f t="shared" ref="F231:F239" si="112">$B$27</f>
        <v>550</v>
      </c>
      <c r="G231">
        <f t="shared" ref="G231:G239" si="113">$B$24*EXP(-$B$25/F231)</f>
        <v>5.2192977958184277E-7</v>
      </c>
      <c r="H231">
        <f t="shared" ca="1" si="75"/>
        <v>6.8803626384516116E-4</v>
      </c>
      <c r="I231">
        <f t="shared" ref="I231:I239" ca="1" si="114">H231*$B$32/$B$9</f>
        <v>5.734927562006447E-2</v>
      </c>
      <c r="J231">
        <f t="shared" ca="1" si="107"/>
        <v>3.2760127106954813E-2</v>
      </c>
      <c r="K231">
        <f t="shared" ca="1" si="92"/>
        <v>-1.0095757454423815E-2</v>
      </c>
      <c r="L231">
        <f t="shared" ca="1" si="93"/>
        <v>4.3479114464261122E-2</v>
      </c>
      <c r="M231">
        <f t="shared" ca="1" si="76"/>
        <v>6.614348411679212E-2</v>
      </c>
      <c r="Q231">
        <f t="shared" si="109"/>
        <v>192</v>
      </c>
      <c r="R231" s="26">
        <f t="shared" si="102"/>
        <v>6.9855443453582575</v>
      </c>
      <c r="S231">
        <f t="shared" ca="1" si="95"/>
        <v>0.38543826548765314</v>
      </c>
      <c r="T231" s="23">
        <f t="shared" ca="1" si="96"/>
        <v>2499.9999985744012</v>
      </c>
      <c r="U231">
        <f t="shared" ca="1" si="104"/>
        <v>1504.5323864249642</v>
      </c>
      <c r="V231">
        <f t="shared" si="78"/>
        <v>550</v>
      </c>
      <c r="W231">
        <f t="shared" si="97"/>
        <v>5.2192977958184277E-7</v>
      </c>
      <c r="X231">
        <f t="shared" ca="1" si="79"/>
        <v>7.8526025682052543E-4</v>
      </c>
      <c r="Y231">
        <f t="shared" ca="1" si="98"/>
        <v>5.0238868070467187E-2</v>
      </c>
      <c r="Z231" s="6">
        <f t="shared" ca="1" si="80"/>
        <v>-1.7368260073756344E-4</v>
      </c>
      <c r="AA231">
        <f t="shared" ca="1" si="99"/>
        <v>4.4385866367859302E-2</v>
      </c>
      <c r="AB231">
        <f t="shared" ca="1" si="100"/>
        <v>1.5299818064806736E-3</v>
      </c>
      <c r="AC231">
        <f t="shared" ca="1" si="101"/>
        <v>3.1853375203356633E-2</v>
      </c>
      <c r="AD231">
        <f t="shared" ca="1" si="81"/>
        <v>7.7769223377696609E-2</v>
      </c>
      <c r="AE231">
        <f t="shared" ca="1" si="82"/>
        <v>0.14224613117679169</v>
      </c>
      <c r="AG231">
        <f t="shared" ca="1" si="83"/>
        <v>3.0784708772502327E-2</v>
      </c>
      <c r="AI231">
        <f t="shared" ca="1" si="84"/>
        <v>9.4636650624086702E-2</v>
      </c>
      <c r="AK231">
        <f t="shared" ca="1" si="85"/>
        <v>51.740028085223791</v>
      </c>
      <c r="AL231" s="6">
        <f t="shared" si="86"/>
        <v>3.0000000000000001E-5</v>
      </c>
      <c r="AM231" s="6">
        <f t="shared" ca="1" si="87"/>
        <v>128779.94078883999</v>
      </c>
      <c r="AN231" s="6">
        <f t="shared" ca="1" si="88"/>
        <v>4.2957334457796236E-3</v>
      </c>
    </row>
    <row r="232" spans="1:40" x14ac:dyDescent="0.25">
      <c r="A232">
        <f t="shared" si="108"/>
        <v>193</v>
      </c>
      <c r="B232">
        <f t="shared" si="110"/>
        <v>8.0149630427087502</v>
      </c>
      <c r="C232">
        <f t="shared" ca="1" si="90"/>
        <v>0.54878856747362414</v>
      </c>
      <c r="D232">
        <f t="shared" si="111"/>
        <v>2500</v>
      </c>
      <c r="E232">
        <f t="shared" ca="1" si="103"/>
        <v>1314.9735675112051</v>
      </c>
      <c r="F232">
        <f t="shared" si="112"/>
        <v>550</v>
      </c>
      <c r="G232">
        <f t="shared" si="113"/>
        <v>5.2192977958184277E-7</v>
      </c>
      <c r="H232">
        <f t="shared" ref="H232:H239" ca="1" si="115">G232*E232</f>
        <v>6.8632386424707275E-4</v>
      </c>
      <c r="I232">
        <f t="shared" ca="1" si="114"/>
        <v>5.7206543497234738E-2</v>
      </c>
      <c r="J232">
        <f t="shared" ca="1" si="107"/>
        <v>3.2588118040993527E-2</v>
      </c>
      <c r="K232">
        <f t="shared" ca="1" si="92"/>
        <v>-1.0267766520385101E-2</v>
      </c>
      <c r="L232">
        <f t="shared" ca="1" si="93"/>
        <v>4.3651123530222408E-2</v>
      </c>
      <c r="M232">
        <f t="shared" ref="M232:M239" ca="1" si="116">J232+K232+L232</f>
        <v>6.5971475050830841E-2</v>
      </c>
      <c r="Q232">
        <f t="shared" si="109"/>
        <v>193</v>
      </c>
      <c r="R232" s="26">
        <f t="shared" si="102"/>
        <v>7.0219273888236646</v>
      </c>
      <c r="S232">
        <f t="shared" ca="1" si="95"/>
        <v>0.38726610840831382</v>
      </c>
      <c r="T232" s="23">
        <f t="shared" ca="1" si="96"/>
        <v>2499.999998568082</v>
      </c>
      <c r="U232">
        <f t="shared" ca="1" si="104"/>
        <v>1502.747378804145</v>
      </c>
      <c r="V232">
        <f t="shared" ref="V232:V239" si="117">$R$27</f>
        <v>550</v>
      </c>
      <c r="W232">
        <f t="shared" si="97"/>
        <v>5.2192977958184277E-7</v>
      </c>
      <c r="X232">
        <f t="shared" ref="X232:X239" ca="1" si="118">W232*U232</f>
        <v>7.843286081864394E-4</v>
      </c>
      <c r="Y232">
        <f t="shared" ca="1" si="98"/>
        <v>5.0179263662362555E-2</v>
      </c>
      <c r="Z232" s="6">
        <f t="shared" ref="Z232:Z239" ca="1" si="119">-32*AN232*AK232*AE232^2/PI()^2/$R$31^5</f>
        <v>-1.7338777417579807E-4</v>
      </c>
      <c r="AA232">
        <f t="shared" ca="1" si="99"/>
        <v>4.425385295559852E-2</v>
      </c>
      <c r="AB232">
        <f t="shared" ca="1" si="100"/>
        <v>1.3979683942198888E-3</v>
      </c>
      <c r="AC232">
        <f t="shared" ca="1" si="101"/>
        <v>3.1985388615617415E-2</v>
      </c>
      <c r="AD232">
        <f t="shared" ref="AD232:AD239" ca="1" si="120">AA232+AB232+AC232</f>
        <v>7.7637209965435827E-2</v>
      </c>
      <c r="AE232">
        <f t="shared" ref="AE232:AE239" ca="1" si="121">8.314*AD232*V232/T232</f>
        <v>0.14200466808491499</v>
      </c>
      <c r="AG232">
        <f t="shared" ref="AG232:AG239" ca="1" si="122">AE232/$R$32</f>
        <v>3.073245166785395E-2</v>
      </c>
      <c r="AI232">
        <f t="shared" ref="AI232:AI239" ca="1" si="123">(AA232*$B$5+AB232*$B$6+AC232*$B$7)/AD232/1000</f>
        <v>9.4797569688274866E-2</v>
      </c>
      <c r="AK232">
        <f t="shared" ref="AK232:AK239" ca="1" si="124">AD232*1000*AI232/AE232</f>
        <v>51.828006229349135</v>
      </c>
      <c r="AL232" s="6">
        <f t="shared" ref="AL232:AL239" si="125">$R$34</f>
        <v>3.0000000000000001E-5</v>
      </c>
      <c r="AM232" s="6">
        <f t="shared" ref="AM232:AM239" ca="1" si="126">$R$31*AG232*AK232/AL232</f>
        <v>128779.94078883999</v>
      </c>
      <c r="AN232" s="6">
        <f t="shared" ref="AN232:AN239" ca="1" si="127">0.0014+0.125*AM232^-0.32</f>
        <v>4.2957334457796236E-3</v>
      </c>
    </row>
    <row r="233" spans="1:40" x14ac:dyDescent="0.25">
      <c r="A233">
        <f t="shared" si="108"/>
        <v>194</v>
      </c>
      <c r="B233">
        <f t="shared" si="110"/>
        <v>8.0564913486295211</v>
      </c>
      <c r="C233">
        <f t="shared" ref="C233:C239" ca="1" si="128">C232+(B233-B232)*I232</f>
        <v>0.55116425831264715</v>
      </c>
      <c r="D233">
        <f t="shared" si="111"/>
        <v>2500</v>
      </c>
      <c r="E233">
        <f t="shared" ca="1" si="103"/>
        <v>1311.6826326453966</v>
      </c>
      <c r="F233">
        <f t="shared" si="112"/>
        <v>550</v>
      </c>
      <c r="G233">
        <f t="shared" si="113"/>
        <v>5.2192977958184277E-7</v>
      </c>
      <c r="H233">
        <f t="shared" ca="1" si="115"/>
        <v>6.8460622733794311E-4</v>
      </c>
      <c r="I233">
        <f t="shared" ca="1" si="114"/>
        <v>5.7063374833469308E-2</v>
      </c>
      <c r="J233">
        <f t="shared" ca="1" si="107"/>
        <v>3.2416537074931757E-2</v>
      </c>
      <c r="K233">
        <f t="shared" ref="K233:K239" ca="1" si="129">$B$10-$B$9*C233</f>
        <v>-1.043934748644687E-2</v>
      </c>
      <c r="L233">
        <f t="shared" ref="L233:L239" ca="1" si="130">$B$11+$B$9*C233</f>
        <v>4.3822704496284177E-2</v>
      </c>
      <c r="M233">
        <f t="shared" ca="1" si="116"/>
        <v>6.5799894084769064E-2</v>
      </c>
      <c r="Q233">
        <f t="shared" si="109"/>
        <v>194</v>
      </c>
      <c r="R233" s="26">
        <f t="shared" si="102"/>
        <v>7.0583104322890726</v>
      </c>
      <c r="S233">
        <f t="shared" ref="S233:S239" ca="1" si="131">S232+(R233-R232)*Y232</f>
        <v>0.38909178273920375</v>
      </c>
      <c r="T233" s="23">
        <f t="shared" ref="T233:T239" ca="1" si="132">T232+(R233-R232)*Z232/1000</f>
        <v>2499.9999985617737</v>
      </c>
      <c r="U233">
        <f t="shared" ca="1" si="104"/>
        <v>1500.9580873564173</v>
      </c>
      <c r="V233">
        <f t="shared" si="117"/>
        <v>550</v>
      </c>
      <c r="W233">
        <f t="shared" ref="W233:W239" si="133">$R$24*EXP(-$R$25/V233)</f>
        <v>5.2192977958184277E-7</v>
      </c>
      <c r="X233">
        <f t="shared" ca="1" si="118"/>
        <v>7.8339472369551918E-4</v>
      </c>
      <c r="Y233">
        <f t="shared" ref="Y233:Y239" ca="1" si="134">X233*$R$32/$B$9</f>
        <v>5.0119516210069014E-2</v>
      </c>
      <c r="Z233" s="6">
        <f t="shared" ca="1" si="119"/>
        <v>-1.7309329740222045E-4</v>
      </c>
      <c r="AA233">
        <f t="shared" ref="AA233:AA239" ca="1" si="135">$B$9*(1-S233)</f>
        <v>4.4121996166717227E-2</v>
      </c>
      <c r="AB233">
        <f t="shared" ref="AB233:AB239" ca="1" si="136">$B$10-$B$9*S233</f>
        <v>1.2661116053386025E-3</v>
      </c>
      <c r="AC233">
        <f t="shared" ref="AC233:AC239" ca="1" si="137">$B$11+$B$9*S233</f>
        <v>3.2117245404498701E-2</v>
      </c>
      <c r="AD233">
        <f t="shared" ca="1" si="120"/>
        <v>7.7505353176554534E-2</v>
      </c>
      <c r="AE233">
        <f t="shared" ca="1" si="121"/>
        <v>0.14176349146972755</v>
      </c>
      <c r="AG233">
        <f t="shared" ca="1" si="122"/>
        <v>3.0680256562090016E-2</v>
      </c>
      <c r="AI233">
        <f t="shared" ca="1" si="123"/>
        <v>9.495884504049952E-2</v>
      </c>
      <c r="AK233">
        <f t="shared" ca="1" si="124"/>
        <v>51.91617916431791</v>
      </c>
      <c r="AL233" s="6">
        <f t="shared" si="125"/>
        <v>3.0000000000000001E-5</v>
      </c>
      <c r="AM233" s="6">
        <f t="shared" ca="1" si="126"/>
        <v>128779.94078883997</v>
      </c>
      <c r="AN233" s="6">
        <f t="shared" ca="1" si="127"/>
        <v>4.2957334457796236E-3</v>
      </c>
    </row>
    <row r="234" spans="1:40" x14ac:dyDescent="0.25">
      <c r="A234">
        <f t="shared" si="108"/>
        <v>195</v>
      </c>
      <c r="B234">
        <f t="shared" si="110"/>
        <v>8.098019654550292</v>
      </c>
      <c r="C234">
        <f t="shared" ca="1" si="128"/>
        <v>0.55353400359960303</v>
      </c>
      <c r="D234">
        <f t="shared" si="111"/>
        <v>2500</v>
      </c>
      <c r="E234">
        <f t="shared" ca="1" si="103"/>
        <v>1308.3816733551098</v>
      </c>
      <c r="F234">
        <f t="shared" si="112"/>
        <v>550</v>
      </c>
      <c r="G234">
        <f t="shared" si="113"/>
        <v>5.2192977958184277E-7</v>
      </c>
      <c r="H234">
        <f t="shared" ca="1" si="115"/>
        <v>6.8288335838315509E-4</v>
      </c>
      <c r="I234">
        <f t="shared" ca="1" si="114"/>
        <v>5.691977006764895E-2</v>
      </c>
      <c r="J234">
        <f t="shared" ca="1" si="107"/>
        <v>3.2245385518097275E-2</v>
      </c>
      <c r="K234">
        <f t="shared" ca="1" si="129"/>
        <v>-1.0610499043281353E-2</v>
      </c>
      <c r="L234">
        <f t="shared" ca="1" si="130"/>
        <v>4.399385605311866E-2</v>
      </c>
      <c r="M234">
        <f t="shared" ca="1" si="116"/>
        <v>6.5628742527934575E-2</v>
      </c>
      <c r="Q234">
        <f t="shared" si="109"/>
        <v>195</v>
      </c>
      <c r="R234" s="26">
        <f t="shared" si="102"/>
        <v>7.0946934757544797</v>
      </c>
      <c r="S234">
        <f t="shared" ca="1" si="131"/>
        <v>0.39091528327593988</v>
      </c>
      <c r="T234" s="23">
        <f t="shared" ca="1" si="132"/>
        <v>2499.9999985554759</v>
      </c>
      <c r="U234">
        <f t="shared" ca="1" si="104"/>
        <v>1499.1645055708771</v>
      </c>
      <c r="V234">
        <f t="shared" si="117"/>
        <v>550</v>
      </c>
      <c r="W234">
        <f t="shared" si="133"/>
        <v>5.2192977958184277E-7</v>
      </c>
      <c r="X234">
        <f t="shared" ca="1" si="118"/>
        <v>7.8245859994953014E-4</v>
      </c>
      <c r="Y234">
        <f t="shared" ca="1" si="134"/>
        <v>5.0059625496176534E-2</v>
      </c>
      <c r="Z234" s="6">
        <f t="shared" ca="1" si="119"/>
        <v>-1.7279917125628502E-4</v>
      </c>
      <c r="AA234">
        <f t="shared" ca="1" si="135"/>
        <v>4.399029637709477E-2</v>
      </c>
      <c r="AB234">
        <f t="shared" ca="1" si="136"/>
        <v>1.1344118157161423E-3</v>
      </c>
      <c r="AC234">
        <f t="shared" ca="1" si="137"/>
        <v>3.2248945194121165E-2</v>
      </c>
      <c r="AD234">
        <f t="shared" ca="1" si="120"/>
        <v>7.7373653386932084E-2</v>
      </c>
      <c r="AE234">
        <f t="shared" ca="1" si="121"/>
        <v>0.14152260201874287</v>
      </c>
      <c r="AG234">
        <f t="shared" ca="1" si="122"/>
        <v>3.0628123604001231E-2</v>
      </c>
      <c r="AI234">
        <f t="shared" ca="1" si="123"/>
        <v>9.5120477060795697E-2</v>
      </c>
      <c r="AK234">
        <f t="shared" ca="1" si="124"/>
        <v>52.004547097903959</v>
      </c>
      <c r="AL234" s="6">
        <f t="shared" si="125"/>
        <v>3.0000000000000001E-5</v>
      </c>
      <c r="AM234" s="6">
        <f t="shared" ca="1" si="126"/>
        <v>128779.94078884002</v>
      </c>
      <c r="AN234" s="6">
        <f t="shared" ca="1" si="127"/>
        <v>4.2957334457796236E-3</v>
      </c>
    </row>
    <row r="235" spans="1:40" x14ac:dyDescent="0.25">
      <c r="A235">
        <f t="shared" si="108"/>
        <v>196</v>
      </c>
      <c r="B235">
        <f t="shared" si="110"/>
        <v>8.139547960471063</v>
      </c>
      <c r="C235">
        <f t="shared" ca="1" si="128"/>
        <v>0.55589778522391231</v>
      </c>
      <c r="D235">
        <f t="shared" si="111"/>
        <v>2500</v>
      </c>
      <c r="E235">
        <f t="shared" ca="1" si="103"/>
        <v>1305.0707005168877</v>
      </c>
      <c r="F235">
        <f t="shared" si="112"/>
        <v>550</v>
      </c>
      <c r="G235">
        <f t="shared" si="113"/>
        <v>5.2192977958184277E-7</v>
      </c>
      <c r="H235">
        <f t="shared" ca="1" si="115"/>
        <v>6.8115526305950031E-4</v>
      </c>
      <c r="I235">
        <f t="shared" ca="1" si="114"/>
        <v>5.6775729672946265E-2</v>
      </c>
      <c r="J235">
        <f t="shared" ca="1" si="107"/>
        <v>3.2074664678501487E-2</v>
      </c>
      <c r="K235">
        <f t="shared" ca="1" si="129"/>
        <v>-1.0781219882877141E-2</v>
      </c>
      <c r="L235">
        <f t="shared" ca="1" si="130"/>
        <v>4.4164576892714448E-2</v>
      </c>
      <c r="M235">
        <f t="shared" ca="1" si="116"/>
        <v>6.5458021688338794E-2</v>
      </c>
      <c r="Q235">
        <f t="shared" si="109"/>
        <v>196</v>
      </c>
      <c r="R235" s="26">
        <f t="shared" si="102"/>
        <v>7.1310765192198877</v>
      </c>
      <c r="S235">
        <f t="shared" ca="1" si="131"/>
        <v>0.39273660480622929</v>
      </c>
      <c r="T235" s="23">
        <f t="shared" ca="1" si="132"/>
        <v>2499.9999985491891</v>
      </c>
      <c r="U235">
        <f t="shared" ca="1" si="104"/>
        <v>1497.3666269895496</v>
      </c>
      <c r="V235">
        <f t="shared" si="117"/>
        <v>550</v>
      </c>
      <c r="W235">
        <f t="shared" si="133"/>
        <v>5.2192977958184277E-7</v>
      </c>
      <c r="X235">
        <f t="shared" ca="1" si="118"/>
        <v>7.8152023357786296E-4</v>
      </c>
      <c r="Y235">
        <f t="shared" ca="1" si="134"/>
        <v>4.9999591305042466E-2</v>
      </c>
      <c r="Z235" s="6">
        <f t="shared" ca="1" si="119"/>
        <v>-1.7250539657872146E-4</v>
      </c>
      <c r="AA235">
        <f t="shared" ca="1" si="135"/>
        <v>4.3858753963181743E-2</v>
      </c>
      <c r="AB235">
        <f t="shared" ca="1" si="136"/>
        <v>1.0028694018031151E-3</v>
      </c>
      <c r="AC235">
        <f t="shared" ca="1" si="137"/>
        <v>3.2380487608034192E-2</v>
      </c>
      <c r="AD235">
        <f t="shared" ca="1" si="120"/>
        <v>7.7242110973019057E-2</v>
      </c>
      <c r="AE235">
        <f t="shared" ca="1" si="121"/>
        <v>0.14128200042051908</v>
      </c>
      <c r="AG235">
        <f t="shared" ca="1" si="122"/>
        <v>3.0576052942604386E-2</v>
      </c>
      <c r="AI235">
        <f t="shared" ca="1" si="123"/>
        <v>9.5282466123594686E-2</v>
      </c>
      <c r="AK235">
        <f t="shared" ca="1" si="124"/>
        <v>52.093110234817473</v>
      </c>
      <c r="AL235" s="6">
        <f t="shared" si="125"/>
        <v>3.0000000000000001E-5</v>
      </c>
      <c r="AM235" s="6">
        <f t="shared" ca="1" si="126"/>
        <v>128779.94078883997</v>
      </c>
      <c r="AN235" s="6">
        <f t="shared" ca="1" si="127"/>
        <v>4.2957334457796236E-3</v>
      </c>
    </row>
    <row r="236" spans="1:40" x14ac:dyDescent="0.25">
      <c r="A236">
        <f t="shared" si="108"/>
        <v>197</v>
      </c>
      <c r="B236">
        <f t="shared" si="110"/>
        <v>8.1810762663918339</v>
      </c>
      <c r="C236">
        <f t="shared" ca="1" si="128"/>
        <v>0.55825558509464546</v>
      </c>
      <c r="D236">
        <f t="shared" si="111"/>
        <v>2500</v>
      </c>
      <c r="E236">
        <f t="shared" ca="1" si="103"/>
        <v>1301.7497258055344</v>
      </c>
      <c r="F236">
        <f t="shared" si="112"/>
        <v>550</v>
      </c>
      <c r="G236">
        <f t="shared" si="113"/>
        <v>5.2192977958184277E-7</v>
      </c>
      <c r="H236">
        <f t="shared" ca="1" si="115"/>
        <v>6.7942194746040683E-4</v>
      </c>
      <c r="I236">
        <f t="shared" ca="1" si="114"/>
        <v>5.6631254157261335E-2</v>
      </c>
      <c r="J236">
        <f t="shared" ca="1" si="107"/>
        <v>3.190437586273661E-2</v>
      </c>
      <c r="K236">
        <f t="shared" ca="1" si="129"/>
        <v>-1.0951508698642018E-2</v>
      </c>
      <c r="L236">
        <f t="shared" ca="1" si="130"/>
        <v>4.4334865708479325E-2</v>
      </c>
      <c r="M236">
        <f t="shared" ca="1" si="116"/>
        <v>6.5287732872573917E-2</v>
      </c>
      <c r="Q236">
        <f t="shared" si="109"/>
        <v>197</v>
      </c>
      <c r="R236" s="26">
        <f t="shared" si="102"/>
        <v>7.1674595626852957</v>
      </c>
      <c r="S236">
        <f t="shared" ca="1" si="131"/>
        <v>0.39455574210993327</v>
      </c>
      <c r="T236" s="23">
        <f t="shared" ca="1" si="132"/>
        <v>2499.9999985429126</v>
      </c>
      <c r="U236">
        <f t="shared" ca="1" si="104"/>
        <v>1495.5644452082299</v>
      </c>
      <c r="V236">
        <f t="shared" si="117"/>
        <v>550</v>
      </c>
      <c r="W236">
        <f t="shared" si="133"/>
        <v>5.2192977958184277E-7</v>
      </c>
      <c r="X236">
        <f t="shared" ca="1" si="118"/>
        <v>7.8057962123797241E-4</v>
      </c>
      <c r="Y236">
        <f t="shared" ca="1" si="134"/>
        <v>4.9939413422819635E-2</v>
      </c>
      <c r="Z236" s="6">
        <f t="shared" ca="1" si="119"/>
        <v>-1.7221197421152552E-4</v>
      </c>
      <c r="AA236">
        <f t="shared" ca="1" si="135"/>
        <v>4.372736930199541E-2</v>
      </c>
      <c r="AB236">
        <f t="shared" ca="1" si="136"/>
        <v>8.7148474061677847E-4</v>
      </c>
      <c r="AC236">
        <f t="shared" ca="1" si="137"/>
        <v>3.2511872269220525E-2</v>
      </c>
      <c r="AD236">
        <f t="shared" ca="1" si="120"/>
        <v>7.7110726311832717E-2</v>
      </c>
      <c r="AE236">
        <f t="shared" ca="1" si="121"/>
        <v>0.141041687364651</v>
      </c>
      <c r="AG236">
        <f t="shared" ca="1" si="122"/>
        <v>3.0524044727140626E-2</v>
      </c>
      <c r="AI236">
        <f t="shared" ca="1" si="123"/>
        <v>9.5444812597651002E-2</v>
      </c>
      <c r="AK236">
        <f t="shared" ca="1" si="124"/>
        <v>52.181868776665013</v>
      </c>
      <c r="AL236" s="6">
        <f t="shared" si="125"/>
        <v>3.0000000000000001E-5</v>
      </c>
      <c r="AM236" s="6">
        <f t="shared" ca="1" si="126"/>
        <v>128779.94078883999</v>
      </c>
      <c r="AN236" s="6">
        <f t="shared" ca="1" si="127"/>
        <v>4.2957334457796236E-3</v>
      </c>
    </row>
    <row r="237" spans="1:40" x14ac:dyDescent="0.25">
      <c r="A237">
        <f t="shared" si="108"/>
        <v>198</v>
      </c>
      <c r="B237">
        <f t="shared" si="110"/>
        <v>8.2226045723126031</v>
      </c>
      <c r="C237">
        <f t="shared" ca="1" si="128"/>
        <v>0.56060738514196506</v>
      </c>
      <c r="D237">
        <f t="shared" si="111"/>
        <v>2500</v>
      </c>
      <c r="E237">
        <f t="shared" ca="1" si="103"/>
        <v>1298.4187617041518</v>
      </c>
      <c r="F237">
        <f t="shared" si="112"/>
        <v>550</v>
      </c>
      <c r="G237">
        <f t="shared" si="113"/>
        <v>5.2192977958184277E-7</v>
      </c>
      <c r="H237">
        <f t="shared" ca="1" si="115"/>
        <v>6.7768341810117716E-4</v>
      </c>
      <c r="I237">
        <f t="shared" ca="1" si="114"/>
        <v>5.6486344063658357E-2</v>
      </c>
      <c r="J237">
        <f t="shared" ca="1" si="107"/>
        <v>3.173452037587151E-2</v>
      </c>
      <c r="K237">
        <f t="shared" ca="1" si="129"/>
        <v>-1.1121364185507118E-2</v>
      </c>
      <c r="L237">
        <f t="shared" ca="1" si="130"/>
        <v>4.4504721195344425E-2</v>
      </c>
      <c r="M237">
        <f t="shared" ca="1" si="116"/>
        <v>6.5117877385708817E-2</v>
      </c>
      <c r="Q237">
        <f t="shared" si="109"/>
        <v>198</v>
      </c>
      <c r="R237" s="26">
        <f t="shared" si="102"/>
        <v>7.2038426061507028</v>
      </c>
      <c r="S237">
        <f t="shared" ca="1" si="131"/>
        <v>0.39637268995913266</v>
      </c>
      <c r="T237" s="23">
        <f t="shared" ca="1" si="132"/>
        <v>2499.9999985366471</v>
      </c>
      <c r="U237">
        <f t="shared" ca="1" si="104"/>
        <v>1493.7579538773359</v>
      </c>
      <c r="V237">
        <f t="shared" si="117"/>
        <v>550</v>
      </c>
      <c r="W237">
        <f t="shared" si="133"/>
        <v>5.2192977958184277E-7</v>
      </c>
      <c r="X237">
        <f t="shared" ca="1" si="118"/>
        <v>7.7963675961582239E-4</v>
      </c>
      <c r="Y237">
        <f t="shared" ca="1" si="134"/>
        <v>4.9879091637484808E-2</v>
      </c>
      <c r="Z237" s="6">
        <f t="shared" ca="1" si="119"/>
        <v>-1.7191890499794764E-4</v>
      </c>
      <c r="AA237">
        <f t="shared" ca="1" si="135"/>
        <v>4.3596142771114947E-2</v>
      </c>
      <c r="AB237">
        <f t="shared" ca="1" si="136"/>
        <v>7.4025820973631917E-4</v>
      </c>
      <c r="AC237">
        <f t="shared" ca="1" si="137"/>
        <v>3.2643098800100988E-2</v>
      </c>
      <c r="AD237">
        <f t="shared" ca="1" si="120"/>
        <v>7.6979499780952254E-2</v>
      </c>
      <c r="AE237">
        <f t="shared" ca="1" si="121"/>
        <v>0.14080166354176116</v>
      </c>
      <c r="AG237">
        <f t="shared" ca="1" si="122"/>
        <v>3.0472099107073512E-2</v>
      </c>
      <c r="AI237">
        <f t="shared" ca="1" si="123"/>
        <v>9.5607516845968618E-2</v>
      </c>
      <c r="AK237">
        <f t="shared" ca="1" si="124"/>
        <v>52.270822921909158</v>
      </c>
      <c r="AL237" s="6">
        <f t="shared" si="125"/>
        <v>3.0000000000000001E-5</v>
      </c>
      <c r="AM237" s="6">
        <f t="shared" ca="1" si="126"/>
        <v>128779.94078883999</v>
      </c>
      <c r="AN237" s="6">
        <f t="shared" ca="1" si="127"/>
        <v>4.2957334457796236E-3</v>
      </c>
    </row>
    <row r="238" spans="1:40" x14ac:dyDescent="0.25">
      <c r="A238">
        <f t="shared" si="108"/>
        <v>199</v>
      </c>
      <c r="B238">
        <f t="shared" si="110"/>
        <v>8.2641328782333741</v>
      </c>
      <c r="C238">
        <f t="shared" ca="1" si="128"/>
        <v>0.56295316731858658</v>
      </c>
      <c r="D238">
        <f t="shared" si="111"/>
        <v>2500</v>
      </c>
      <c r="E238">
        <f t="shared" ca="1" si="103"/>
        <v>1295.077821514187</v>
      </c>
      <c r="F238">
        <f t="shared" si="112"/>
        <v>550</v>
      </c>
      <c r="G238">
        <f t="shared" si="113"/>
        <v>5.2192977958184277E-7</v>
      </c>
      <c r="H238">
        <f t="shared" ca="1" si="115"/>
        <v>6.7593968192423276E-4</v>
      </c>
      <c r="I238">
        <f t="shared" ca="1" si="114"/>
        <v>5.6340999970802864E-2</v>
      </c>
      <c r="J238">
        <f t="shared" ca="1" si="107"/>
        <v>3.1565099521346215E-2</v>
      </c>
      <c r="K238">
        <f t="shared" ca="1" si="129"/>
        <v>-1.1290785040032413E-2</v>
      </c>
      <c r="L238">
        <f t="shared" ca="1" si="130"/>
        <v>4.4674142049869719E-2</v>
      </c>
      <c r="M238">
        <f t="shared" ca="1" si="116"/>
        <v>6.4948456531183529E-2</v>
      </c>
      <c r="Q238">
        <f t="shared" si="109"/>
        <v>199</v>
      </c>
      <c r="R238" s="26">
        <f t="shared" si="102"/>
        <v>7.2402256496161099</v>
      </c>
      <c r="S238">
        <f t="shared" ca="1" si="131"/>
        <v>0.39818744311819432</v>
      </c>
      <c r="T238" s="23">
        <f t="shared" ca="1" si="132"/>
        <v>2499.9999985303921</v>
      </c>
      <c r="U238">
        <f t="shared" ca="1" si="104"/>
        <v>1491.9471467027631</v>
      </c>
      <c r="V238">
        <f t="shared" si="117"/>
        <v>550</v>
      </c>
      <c r="W238">
        <f t="shared" si="133"/>
        <v>5.2192977958184277E-7</v>
      </c>
      <c r="X238">
        <f t="shared" ca="1" si="118"/>
        <v>7.7869164542633236E-4</v>
      </c>
      <c r="Y238">
        <f t="shared" ca="1" si="134"/>
        <v>4.9818625738867237E-2</v>
      </c>
      <c r="Z238" s="6">
        <f t="shared" ca="1" si="119"/>
        <v>-1.7162618978248253E-4</v>
      </c>
      <c r="AA238">
        <f t="shared" ca="1" si="135"/>
        <v>4.3465074748676683E-2</v>
      </c>
      <c r="AB238">
        <f t="shared" ca="1" si="136"/>
        <v>6.0919018729805804E-4</v>
      </c>
      <c r="AC238">
        <f t="shared" ca="1" si="137"/>
        <v>3.2774166822539245E-2</v>
      </c>
      <c r="AD238">
        <f t="shared" ca="1" si="120"/>
        <v>7.6848431758513996E-2</v>
      </c>
      <c r="AE238">
        <f t="shared" ca="1" si="121"/>
        <v>0.14056192964349115</v>
      </c>
      <c r="AG238">
        <f t="shared" ca="1" si="122"/>
        <v>3.0420216232087152E-2</v>
      </c>
      <c r="AI238">
        <f t="shared" ca="1" si="123"/>
        <v>9.5770579225726876E-2</v>
      </c>
      <c r="AK238">
        <f t="shared" ca="1" si="124"/>
        <v>52.359972865828063</v>
      </c>
      <c r="AL238" s="6">
        <f t="shared" si="125"/>
        <v>3.0000000000000001E-5</v>
      </c>
      <c r="AM238" s="6">
        <f t="shared" ca="1" si="126"/>
        <v>128779.94078883997</v>
      </c>
      <c r="AN238" s="6">
        <f t="shared" ca="1" si="127"/>
        <v>4.2957334457796236E-3</v>
      </c>
    </row>
    <row r="239" spans="1:40" x14ac:dyDescent="0.25">
      <c r="A239">
        <f>A238+1</f>
        <v>200</v>
      </c>
      <c r="B239">
        <f t="shared" si="110"/>
        <v>8.305661184154145</v>
      </c>
      <c r="C239">
        <f t="shared" ca="1" si="128"/>
        <v>0.56529291360125622</v>
      </c>
      <c r="D239">
        <f t="shared" si="111"/>
        <v>2500</v>
      </c>
      <c r="E239">
        <f t="shared" ca="1" si="103"/>
        <v>1291.7269193654918</v>
      </c>
      <c r="F239">
        <f t="shared" si="112"/>
        <v>550</v>
      </c>
      <c r="G239">
        <f t="shared" si="113"/>
        <v>5.2192977958184277E-7</v>
      </c>
      <c r="H239">
        <f t="shared" ca="1" si="115"/>
        <v>6.7419074630436387E-4</v>
      </c>
      <c r="I239">
        <f t="shared" ca="1" si="114"/>
        <v>5.6195222493399179E-2</v>
      </c>
      <c r="J239">
        <f t="shared" ca="1" si="107"/>
        <v>3.1396114600865159E-2</v>
      </c>
      <c r="K239">
        <f t="shared" ca="1" si="129"/>
        <v>-1.1459769960513469E-2</v>
      </c>
      <c r="L239">
        <f t="shared" ca="1" si="130"/>
        <v>4.4843126970350776E-2</v>
      </c>
      <c r="M239">
        <f t="shared" ca="1" si="116"/>
        <v>6.4779471610702466E-2</v>
      </c>
      <c r="Q239">
        <f>Q238+1</f>
        <v>200</v>
      </c>
      <c r="R239" s="26">
        <f t="shared" si="102"/>
        <v>7.276608693081517</v>
      </c>
      <c r="S239">
        <f t="shared" ca="1" si="131"/>
        <v>0.39999999634383837</v>
      </c>
      <c r="T239" s="23">
        <f t="shared" ca="1" si="132"/>
        <v>2499.9999985241479</v>
      </c>
      <c r="U239">
        <f t="shared" ca="1" si="104"/>
        <v>1490.1320174467483</v>
      </c>
      <c r="V239">
        <f t="shared" si="117"/>
        <v>550</v>
      </c>
      <c r="W239">
        <f t="shared" si="133"/>
        <v>5.2192977958184277E-7</v>
      </c>
      <c r="X239">
        <f t="shared" ca="1" si="118"/>
        <v>7.7774427541382795E-4</v>
      </c>
      <c r="Y239">
        <f t="shared" ca="1" si="134"/>
        <v>4.975801551867752E-2</v>
      </c>
      <c r="Z239" s="6">
        <f t="shared" ca="1" si="119"/>
        <v>-1.713338294108584E-4</v>
      </c>
      <c r="AA239">
        <f t="shared" ca="1" si="135"/>
        <v>4.3334165613369217E-2</v>
      </c>
      <c r="AB239">
        <f t="shared" ca="1" si="136"/>
        <v>4.7828105199058946E-4</v>
      </c>
      <c r="AC239">
        <f t="shared" ca="1" si="137"/>
        <v>3.2905075957846718E-2</v>
      </c>
      <c r="AD239">
        <f t="shared" ca="1" si="120"/>
        <v>7.6717522623206524E-2</v>
      </c>
      <c r="AE239">
        <f t="shared" ca="1" si="121"/>
        <v>0.1403224863624927</v>
      </c>
      <c r="AG239">
        <f t="shared" ca="1" si="122"/>
        <v>3.0368396252084262E-2</v>
      </c>
      <c r="AI239">
        <f t="shared" ca="1" si="123"/>
        <v>9.5934000088205865E-2</v>
      </c>
      <c r="AK239">
        <f t="shared" ca="1" si="124"/>
        <v>52.449318800474607</v>
      </c>
      <c r="AL239" s="6">
        <f t="shared" si="125"/>
        <v>3.0000000000000001E-5</v>
      </c>
      <c r="AM239" s="6">
        <f t="shared" ca="1" si="126"/>
        <v>128779.94078883999</v>
      </c>
      <c r="AN239" s="6">
        <f t="shared" ca="1" si="127"/>
        <v>4.2957334457796236E-3</v>
      </c>
    </row>
    <row r="240" spans="1:40" x14ac:dyDescent="0.25">
      <c r="T240" s="6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VolumeSeek_Iso_yes_P">
                <anchor moveWithCells="1" sizeWithCells="1">
                  <from>
                    <xdr:col>20</xdr:col>
                    <xdr:colOff>647700</xdr:colOff>
                    <xdr:row>20</xdr:row>
                    <xdr:rowOff>190500</xdr:rowOff>
                  </from>
                  <to>
                    <xdr:col>22</xdr:col>
                    <xdr:colOff>142875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autoFill="0" autoPict="0" macro="[0]!VolumeSeek_Iso_no_P">
                <anchor moveWithCells="1" sizeWithCells="1">
                  <from>
                    <xdr:col>6</xdr:col>
                    <xdr:colOff>114300</xdr:colOff>
                    <xdr:row>18</xdr:row>
                    <xdr:rowOff>114300</xdr:rowOff>
                  </from>
                  <to>
                    <xdr:col>7</xdr:col>
                    <xdr:colOff>695325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239"/>
  <sheetViews>
    <sheetView zoomScale="55" zoomScaleNormal="55" workbookViewId="0">
      <selection activeCell="R30" sqref="R30"/>
    </sheetView>
  </sheetViews>
  <sheetFormatPr defaultColWidth="11" defaultRowHeight="15.75" x14ac:dyDescent="0.25"/>
  <cols>
    <col min="1" max="1" width="18.875" customWidth="1"/>
    <col min="2" max="3" width="13.375" bestFit="1" customWidth="1"/>
    <col min="6" max="6" width="15.125" customWidth="1"/>
    <col min="7" max="7" width="15.375" bestFit="1" customWidth="1"/>
    <col min="8" max="8" width="13.875" customWidth="1"/>
    <col min="9" max="9" width="12.125" customWidth="1"/>
    <col min="10" max="10" width="10.875" customWidth="1"/>
    <col min="11" max="11" width="13.5" customWidth="1"/>
    <col min="12" max="12" width="13.375" customWidth="1"/>
    <col min="13" max="13" width="8.125" customWidth="1"/>
    <col min="14" max="14" width="11.375" customWidth="1"/>
    <col min="17" max="17" width="12.125" bestFit="1" customWidth="1"/>
    <col min="18" max="18" width="14.625" customWidth="1"/>
    <col min="20" max="20" width="24.5" customWidth="1"/>
    <col min="21" max="22" width="14.125" bestFit="1" customWidth="1"/>
    <col min="23" max="23" width="13.5" bestFit="1" customWidth="1"/>
    <col min="24" max="24" width="14.625" bestFit="1" customWidth="1"/>
    <col min="25" max="25" width="13.5" bestFit="1" customWidth="1"/>
    <col min="26" max="26" width="12" bestFit="1" customWidth="1"/>
    <col min="27" max="28" width="11" bestFit="1" customWidth="1"/>
    <col min="31" max="31" width="12.5" bestFit="1" customWidth="1"/>
  </cols>
  <sheetData>
    <row r="1" spans="1:30" x14ac:dyDescent="0.25">
      <c r="A1" t="s">
        <v>0</v>
      </c>
      <c r="D1" t="s">
        <v>2</v>
      </c>
    </row>
    <row r="3" spans="1:30" x14ac:dyDescent="0.25">
      <c r="A3" t="s">
        <v>1</v>
      </c>
      <c r="D3" t="s">
        <v>3</v>
      </c>
      <c r="K3" t="s">
        <v>35</v>
      </c>
      <c r="L3" t="s">
        <v>36</v>
      </c>
      <c r="M3" t="s">
        <v>37</v>
      </c>
      <c r="N3" t="s">
        <v>38</v>
      </c>
    </row>
    <row r="4" spans="1:30" x14ac:dyDescent="0.25">
      <c r="K4" t="s">
        <v>33</v>
      </c>
      <c r="L4">
        <f ca="1">B9</f>
        <v>7.2223608915513382E-2</v>
      </c>
      <c r="M4" s="2" t="s">
        <v>40</v>
      </c>
      <c r="N4" s="2" t="s">
        <v>41</v>
      </c>
    </row>
    <row r="5" spans="1:30" x14ac:dyDescent="0.25">
      <c r="A5" t="s">
        <v>4</v>
      </c>
      <c r="B5">
        <v>78.11</v>
      </c>
      <c r="C5" t="s">
        <v>5</v>
      </c>
      <c r="K5" t="s">
        <v>32</v>
      </c>
      <c r="L5">
        <f ca="1">B10</f>
        <v>2.9367724354134754E-2</v>
      </c>
      <c r="M5" s="2" t="s">
        <v>40</v>
      </c>
      <c r="N5" t="s">
        <v>42</v>
      </c>
    </row>
    <row r="6" spans="1:30" x14ac:dyDescent="0.25">
      <c r="A6" t="s">
        <v>7</v>
      </c>
      <c r="B6">
        <v>42.08</v>
      </c>
      <c r="C6" t="s">
        <v>5</v>
      </c>
      <c r="F6" t="s">
        <v>22</v>
      </c>
      <c r="K6" t="s">
        <v>34</v>
      </c>
      <c r="L6">
        <f>B12</f>
        <v>0</v>
      </c>
      <c r="M6" t="s">
        <v>43</v>
      </c>
      <c r="N6" t="s">
        <v>44</v>
      </c>
    </row>
    <row r="7" spans="1:30" x14ac:dyDescent="0.25">
      <c r="A7" t="s">
        <v>6</v>
      </c>
      <c r="B7" s="5">
        <v>120.19</v>
      </c>
      <c r="C7" t="s">
        <v>5</v>
      </c>
      <c r="F7" t="s">
        <v>28</v>
      </c>
      <c r="K7" t="s">
        <v>45</v>
      </c>
      <c r="L7" s="2" t="s">
        <v>46</v>
      </c>
      <c r="N7" t="s">
        <v>47</v>
      </c>
    </row>
    <row r="8" spans="1:30" x14ac:dyDescent="0.25">
      <c r="F8" t="s">
        <v>51</v>
      </c>
      <c r="K8" t="s">
        <v>45</v>
      </c>
      <c r="L8">
        <f ca="1">SUM(L4:L6)</f>
        <v>0.10159133326964814</v>
      </c>
      <c r="N8">
        <f ca="1">L8</f>
        <v>0.10159133326964814</v>
      </c>
      <c r="O8">
        <f ca="1">-L4</f>
        <v>-7.2223608915513382E-2</v>
      </c>
      <c r="P8" t="s">
        <v>48</v>
      </c>
    </row>
    <row r="9" spans="1:30" x14ac:dyDescent="0.25">
      <c r="A9" t="s">
        <v>24</v>
      </c>
      <c r="B9" s="3">
        <f ca="1">Balance_With_Recycle!E4/1000</f>
        <v>7.2223608915513382E-2</v>
      </c>
      <c r="C9" t="s">
        <v>12</v>
      </c>
    </row>
    <row r="10" spans="1:30" x14ac:dyDescent="0.25">
      <c r="A10" t="s">
        <v>27</v>
      </c>
      <c r="B10" s="3">
        <f ca="1">Balance_With_Recycle!E5/1000</f>
        <v>2.9367724354134754E-2</v>
      </c>
      <c r="C10" t="s">
        <v>12</v>
      </c>
      <c r="F10" t="s">
        <v>29</v>
      </c>
      <c r="L10" t="s">
        <v>52</v>
      </c>
    </row>
    <row r="11" spans="1:30" x14ac:dyDescent="0.25">
      <c r="A11" t="s">
        <v>39</v>
      </c>
      <c r="B11" s="3">
        <f ca="1">Balance_With_Recycle!E6/1000</f>
        <v>4.0156326557025503E-3</v>
      </c>
      <c r="C11" t="s">
        <v>12</v>
      </c>
      <c r="L11" t="s">
        <v>53</v>
      </c>
    </row>
    <row r="12" spans="1:30" x14ac:dyDescent="0.25">
      <c r="A12" t="s">
        <v>25</v>
      </c>
      <c r="B12" s="4">
        <v>0</v>
      </c>
      <c r="F12" t="s">
        <v>66</v>
      </c>
      <c r="L12" t="s">
        <v>55</v>
      </c>
    </row>
    <row r="13" spans="1:30" x14ac:dyDescent="0.25">
      <c r="A13" t="s">
        <v>143</v>
      </c>
      <c r="B13" s="4">
        <v>0</v>
      </c>
    </row>
    <row r="14" spans="1:30" x14ac:dyDescent="0.25">
      <c r="A14" t="s">
        <v>142</v>
      </c>
      <c r="B14" s="3">
        <v>0.4</v>
      </c>
      <c r="F14" t="s">
        <v>67</v>
      </c>
    </row>
    <row r="15" spans="1:30" x14ac:dyDescent="0.25">
      <c r="A15" t="s">
        <v>8</v>
      </c>
      <c r="B15">
        <v>300</v>
      </c>
      <c r="C15" t="s">
        <v>9</v>
      </c>
      <c r="F15" t="s">
        <v>68</v>
      </c>
      <c r="Q15" t="s">
        <v>103</v>
      </c>
      <c r="S15" t="s">
        <v>105</v>
      </c>
      <c r="T15" t="s">
        <v>106</v>
      </c>
      <c r="U15" t="s">
        <v>107</v>
      </c>
      <c r="V15" t="s">
        <v>108</v>
      </c>
      <c r="W15" t="s">
        <v>109</v>
      </c>
      <c r="X15" t="s">
        <v>110</v>
      </c>
      <c r="Y15" t="s">
        <v>111</v>
      </c>
      <c r="Z15" t="s">
        <v>112</v>
      </c>
      <c r="AA15" t="s">
        <v>113</v>
      </c>
      <c r="AB15" t="s">
        <v>118</v>
      </c>
      <c r="AC15" t="s">
        <v>139</v>
      </c>
      <c r="AD15" t="s">
        <v>140</v>
      </c>
    </row>
    <row r="16" spans="1:30" x14ac:dyDescent="0.25">
      <c r="A16" t="s">
        <v>8</v>
      </c>
      <c r="B16">
        <f>B15*1000/24/3600</f>
        <v>3.4722222222222223</v>
      </c>
      <c r="C16" t="s">
        <v>73</v>
      </c>
      <c r="K16" t="s">
        <v>115</v>
      </c>
      <c r="Q16" t="s">
        <v>104</v>
      </c>
      <c r="R16" t="s">
        <v>88</v>
      </c>
      <c r="S16">
        <f>C39</f>
        <v>0</v>
      </c>
      <c r="T16" s="12">
        <f ca="1">C239</f>
        <v>6501805264.4331064</v>
      </c>
      <c r="U16" s="15">
        <f>D39</f>
        <v>10000000</v>
      </c>
      <c r="V16" s="15">
        <f>D239</f>
        <v>10000000</v>
      </c>
      <c r="W16" s="15">
        <f ca="1">E39</f>
        <v>6838905.775075987</v>
      </c>
      <c r="X16" s="15">
        <f ca="1">E239</f>
        <v>10000000.000710916</v>
      </c>
      <c r="Y16" s="15">
        <f>F39</f>
        <v>675</v>
      </c>
      <c r="Z16" s="13">
        <f ca="1">F239</f>
        <v>3673069110.5316648</v>
      </c>
      <c r="AA16" s="13">
        <f>B33</f>
        <v>8.305661184154145</v>
      </c>
      <c r="AB16" s="13">
        <f>B30</f>
        <v>50</v>
      </c>
      <c r="AC16">
        <f ca="1">MAX(F39:F239)</f>
        <v>3673069110.5316648</v>
      </c>
      <c r="AD16">
        <f>MAX(D39:D239)</f>
        <v>10000000</v>
      </c>
    </row>
    <row r="17" spans="1:30" x14ac:dyDescent="0.25">
      <c r="A17" t="s">
        <v>8</v>
      </c>
      <c r="B17">
        <f>B15*1000*1000/B7</f>
        <v>2496047.9241201431</v>
      </c>
      <c r="C17" t="s">
        <v>10</v>
      </c>
      <c r="F17" t="s">
        <v>120</v>
      </c>
      <c r="G17" t="s">
        <v>122</v>
      </c>
      <c r="H17" t="s">
        <v>124</v>
      </c>
      <c r="K17" t="s">
        <v>117</v>
      </c>
      <c r="Q17" t="s">
        <v>104</v>
      </c>
      <c r="R17" t="s">
        <v>87</v>
      </c>
      <c r="S17">
        <f>S39</f>
        <v>0</v>
      </c>
      <c r="T17" s="12" t="e">
        <f ca="1">S239</f>
        <v>#DIV/0!</v>
      </c>
      <c r="U17" s="15">
        <f>T39</f>
        <v>500000</v>
      </c>
      <c r="V17" s="15" t="e">
        <f ca="1">T239</f>
        <v>#DIV/0!</v>
      </c>
      <c r="W17" s="15">
        <f ca="1">U39</f>
        <v>355447.41809472535</v>
      </c>
      <c r="X17" s="15" t="e">
        <f ca="1">U239</f>
        <v>#DIV/0!</v>
      </c>
      <c r="Y17" s="15">
        <f>V39</f>
        <v>350</v>
      </c>
      <c r="Z17" s="13" t="e">
        <f ca="1">V239</f>
        <v>#DIV/0!</v>
      </c>
      <c r="AA17" s="13">
        <f>R33</f>
        <v>290.56120869750049</v>
      </c>
      <c r="AB17" s="13">
        <f>R30</f>
        <v>2140722</v>
      </c>
      <c r="AC17" t="e">
        <f ca="1">MAX(V39:V239)</f>
        <v>#DIV/0!</v>
      </c>
      <c r="AD17" t="e">
        <f ca="1">MAX(T39:T239)</f>
        <v>#DIV/0!</v>
      </c>
    </row>
    <row r="18" spans="1:30" x14ac:dyDescent="0.25">
      <c r="A18" t="s">
        <v>8</v>
      </c>
      <c r="B18">
        <f>B17/24/3600</f>
        <v>28.889443566205362</v>
      </c>
      <c r="C18" t="s">
        <v>11</v>
      </c>
      <c r="F18" t="s">
        <v>119</v>
      </c>
      <c r="G18" s="3">
        <v>160.09</v>
      </c>
      <c r="H18">
        <v>82.9</v>
      </c>
      <c r="K18" t="s">
        <v>116</v>
      </c>
      <c r="L18">
        <f>B33/B31</f>
        <v>3</v>
      </c>
    </row>
    <row r="19" spans="1:30" x14ac:dyDescent="0.25">
      <c r="A19" t="s">
        <v>8</v>
      </c>
      <c r="B19">
        <f>B18/1000</f>
        <v>2.8889443566205361E-2</v>
      </c>
      <c r="C19" t="s">
        <v>12</v>
      </c>
      <c r="F19" t="s">
        <v>121</v>
      </c>
      <c r="G19" s="3">
        <v>108</v>
      </c>
      <c r="H19">
        <v>20.41</v>
      </c>
      <c r="K19" t="s">
        <v>31</v>
      </c>
      <c r="L19">
        <f xml:space="preserve"> (4*B30*L18^2/(PI()))^(1/3)</f>
        <v>8.305661184154145</v>
      </c>
    </row>
    <row r="20" spans="1:30" x14ac:dyDescent="0.25">
      <c r="A20" t="s">
        <v>8</v>
      </c>
      <c r="B20">
        <f>B18*3600/1000</f>
        <v>104.00199683833929</v>
      </c>
      <c r="C20" t="s">
        <v>79</v>
      </c>
      <c r="F20" t="s">
        <v>123</v>
      </c>
      <c r="G20" s="16">
        <f>2276.093487/1000*$B$7</f>
        <v>273.56367620253002</v>
      </c>
      <c r="H20">
        <v>3.9</v>
      </c>
    </row>
    <row r="21" spans="1:30" x14ac:dyDescent="0.25">
      <c r="A21" t="s">
        <v>13</v>
      </c>
    </row>
    <row r="22" spans="1:30" x14ac:dyDescent="0.25">
      <c r="G22" t="s">
        <v>125</v>
      </c>
      <c r="H22" s="3">
        <f>H20-H19-H18</f>
        <v>-99.410000000000011</v>
      </c>
    </row>
    <row r="23" spans="1:30" x14ac:dyDescent="0.25">
      <c r="A23" t="s">
        <v>16</v>
      </c>
      <c r="Q23" t="s">
        <v>16</v>
      </c>
    </row>
    <row r="24" spans="1:30" x14ac:dyDescent="0.25">
      <c r="A24" t="s">
        <v>17</v>
      </c>
      <c r="B24">
        <v>950</v>
      </c>
      <c r="C24" t="s">
        <v>18</v>
      </c>
      <c r="F24" t="s">
        <v>98</v>
      </c>
      <c r="Q24" t="s">
        <v>17</v>
      </c>
      <c r="R24">
        <v>950</v>
      </c>
      <c r="S24" t="s">
        <v>18</v>
      </c>
    </row>
    <row r="25" spans="1:30" x14ac:dyDescent="0.25">
      <c r="A25" s="7" t="s">
        <v>19</v>
      </c>
      <c r="B25" s="3">
        <f>97500/8.314</f>
        <v>11727.207120519606</v>
      </c>
      <c r="C25" t="s">
        <v>20</v>
      </c>
      <c r="F25" t="s">
        <v>100</v>
      </c>
      <c r="Q25" s="7" t="s">
        <v>19</v>
      </c>
      <c r="R25" s="3">
        <f>97500/8.314</f>
        <v>11727.207120519606</v>
      </c>
      <c r="S25" t="s">
        <v>20</v>
      </c>
    </row>
    <row r="26" spans="1:30" x14ac:dyDescent="0.25">
      <c r="A26" s="4" t="s">
        <v>49</v>
      </c>
      <c r="B26" s="1">
        <v>10000</v>
      </c>
      <c r="C26" s="4" t="s">
        <v>50</v>
      </c>
      <c r="F26" t="s">
        <v>101</v>
      </c>
      <c r="Q26" s="4" t="s">
        <v>89</v>
      </c>
      <c r="R26" s="1">
        <v>500</v>
      </c>
      <c r="S26" s="4" t="s">
        <v>50</v>
      </c>
    </row>
    <row r="27" spans="1:30" x14ac:dyDescent="0.25">
      <c r="A27" s="4" t="s">
        <v>14</v>
      </c>
      <c r="B27" s="1">
        <v>675</v>
      </c>
      <c r="C27" s="4" t="s">
        <v>15</v>
      </c>
      <c r="Q27" s="4" t="s">
        <v>14</v>
      </c>
      <c r="R27" s="1">
        <v>350</v>
      </c>
      <c r="S27" s="4" t="s">
        <v>15</v>
      </c>
    </row>
    <row r="28" spans="1:30" x14ac:dyDescent="0.25">
      <c r="A28" t="s">
        <v>21</v>
      </c>
      <c r="B28">
        <f>B24*EXP(-B25/B27)</f>
        <v>2.7067462587554183E-5</v>
      </c>
      <c r="F28" t="s">
        <v>78</v>
      </c>
      <c r="Q28" t="s">
        <v>21</v>
      </c>
      <c r="R28">
        <f>R24*EXP(-R25/R27)</f>
        <v>2.6675942649854124E-12</v>
      </c>
      <c r="T28" t="s">
        <v>78</v>
      </c>
    </row>
    <row r="29" spans="1:30" x14ac:dyDescent="0.25">
      <c r="A29" t="s">
        <v>114</v>
      </c>
      <c r="B29" s="1">
        <v>3</v>
      </c>
      <c r="F29" t="s">
        <v>75</v>
      </c>
      <c r="G29" t="s">
        <v>76</v>
      </c>
      <c r="H29" t="s">
        <v>77</v>
      </c>
      <c r="Q29" t="s">
        <v>114</v>
      </c>
      <c r="R29" s="1">
        <v>3</v>
      </c>
      <c r="T29" t="s">
        <v>75</v>
      </c>
      <c r="U29" t="s">
        <v>76</v>
      </c>
      <c r="V29" t="s">
        <v>77</v>
      </c>
    </row>
    <row r="30" spans="1:30" x14ac:dyDescent="0.25">
      <c r="A30" t="s">
        <v>62</v>
      </c>
      <c r="B30" s="14">
        <v>50</v>
      </c>
      <c r="C30" t="s">
        <v>64</v>
      </c>
      <c r="F30">
        <f>B14</f>
        <v>0.4</v>
      </c>
      <c r="G30">
        <f ca="1">C239</f>
        <v>6501805264.4331064</v>
      </c>
      <c r="H30">
        <f ca="1">G30-F30</f>
        <v>6501805264.0331068</v>
      </c>
      <c r="Q30" t="s">
        <v>62</v>
      </c>
      <c r="R30" s="3">
        <v>2140722</v>
      </c>
      <c r="S30" t="s">
        <v>64</v>
      </c>
      <c r="T30">
        <f>B14</f>
        <v>0.4</v>
      </c>
      <c r="U30" t="e">
        <f ca="1">S239</f>
        <v>#DIV/0!</v>
      </c>
      <c r="V30" t="e">
        <f ca="1">U30-T30</f>
        <v>#DIV/0!</v>
      </c>
    </row>
    <row r="31" spans="1:30" x14ac:dyDescent="0.25">
      <c r="A31" t="s">
        <v>74</v>
      </c>
      <c r="B31" s="3">
        <f>B33/B29</f>
        <v>2.7685537280513817</v>
      </c>
      <c r="C31" t="s">
        <v>65</v>
      </c>
      <c r="Q31" t="s">
        <v>74</v>
      </c>
      <c r="R31" s="3">
        <f>R33/R29</f>
        <v>96.853736232500168</v>
      </c>
      <c r="S31" t="s">
        <v>65</v>
      </c>
    </row>
    <row r="32" spans="1:30" x14ac:dyDescent="0.25">
      <c r="A32" t="s">
        <v>63</v>
      </c>
      <c r="B32" s="3">
        <f>PI()*B31^2/4</f>
        <v>6.0199903284511338</v>
      </c>
      <c r="C32" t="s">
        <v>64</v>
      </c>
      <c r="F32" t="s">
        <v>70</v>
      </c>
      <c r="Q32" t="s">
        <v>63</v>
      </c>
      <c r="R32" s="3">
        <f>PI()*R31^2/4</f>
        <v>7367.542314392942</v>
      </c>
      <c r="S32" t="s">
        <v>64</v>
      </c>
    </row>
    <row r="33" spans="1:42" x14ac:dyDescent="0.25">
      <c r="A33" t="s">
        <v>31</v>
      </c>
      <c r="B33">
        <f xml:space="preserve"> (4*B30*B29^2/(PI()))^(1/3)</f>
        <v>8.305661184154145</v>
      </c>
      <c r="C33" t="s">
        <v>65</v>
      </c>
      <c r="F33" t="s">
        <v>68</v>
      </c>
      <c r="Q33" t="s">
        <v>31</v>
      </c>
      <c r="R33">
        <f xml:space="preserve"> (4*R30*R29^2/(PI()))^(1/3)</f>
        <v>290.56120869750049</v>
      </c>
      <c r="S33" t="s">
        <v>65</v>
      </c>
      <c r="Z33" t="s">
        <v>97</v>
      </c>
    </row>
    <row r="34" spans="1:42" x14ac:dyDescent="0.25">
      <c r="F34" t="s">
        <v>55</v>
      </c>
      <c r="Q34" s="11" t="s">
        <v>93</v>
      </c>
      <c r="R34" s="10">
        <v>1.9495613999999998E-5</v>
      </c>
      <c r="S34" s="11" t="s">
        <v>94</v>
      </c>
    </row>
    <row r="35" spans="1:42" x14ac:dyDescent="0.25">
      <c r="A35" s="9" t="s">
        <v>88</v>
      </c>
      <c r="F35" t="s">
        <v>129</v>
      </c>
      <c r="Q35" s="9" t="s">
        <v>87</v>
      </c>
      <c r="AK35" t="s">
        <v>96</v>
      </c>
    </row>
    <row r="36" spans="1:42" x14ac:dyDescent="0.25">
      <c r="A36" t="s">
        <v>54</v>
      </c>
      <c r="B36">
        <v>200</v>
      </c>
      <c r="Q36" t="s">
        <v>54</v>
      </c>
      <c r="R36">
        <v>200</v>
      </c>
    </row>
    <row r="37" spans="1:42" x14ac:dyDescent="0.25">
      <c r="AH37" t="s">
        <v>129</v>
      </c>
    </row>
    <row r="38" spans="1:42" x14ac:dyDescent="0.25">
      <c r="A38" t="s">
        <v>30</v>
      </c>
      <c r="B38" t="s">
        <v>126</v>
      </c>
      <c r="C38" t="s">
        <v>26</v>
      </c>
      <c r="D38" t="s">
        <v>132</v>
      </c>
      <c r="E38" t="s">
        <v>138</v>
      </c>
      <c r="F38" t="s">
        <v>127</v>
      </c>
      <c r="G38" t="s">
        <v>69</v>
      </c>
      <c r="H38" t="s">
        <v>133</v>
      </c>
      <c r="I38" t="s">
        <v>131</v>
      </c>
      <c r="J38" t="s">
        <v>130</v>
      </c>
      <c r="K38" t="s">
        <v>128</v>
      </c>
      <c r="L38" t="s">
        <v>134</v>
      </c>
      <c r="M38" t="s">
        <v>135</v>
      </c>
      <c r="N38" t="s">
        <v>136</v>
      </c>
      <c r="O38" t="s">
        <v>137</v>
      </c>
      <c r="Q38" t="s">
        <v>30</v>
      </c>
      <c r="R38" t="s">
        <v>126</v>
      </c>
      <c r="S38" s="8" t="s">
        <v>56</v>
      </c>
      <c r="T38" s="8" t="s">
        <v>132</v>
      </c>
      <c r="U38" s="8" t="s">
        <v>138</v>
      </c>
      <c r="V38" s="8" t="s">
        <v>127</v>
      </c>
      <c r="W38" s="8" t="s">
        <v>69</v>
      </c>
      <c r="X38" s="8" t="s">
        <v>226</v>
      </c>
      <c r="Y38" s="8" t="s">
        <v>72</v>
      </c>
      <c r="Z38" s="8" t="s">
        <v>102</v>
      </c>
      <c r="AA38" s="8" t="s">
        <v>99</v>
      </c>
      <c r="AB38" s="8" t="s">
        <v>83</v>
      </c>
      <c r="AC38" s="8" t="s">
        <v>58</v>
      </c>
      <c r="AD38" s="8" t="s">
        <v>59</v>
      </c>
      <c r="AE38" s="8" t="s">
        <v>60</v>
      </c>
      <c r="AF38" s="8" t="s">
        <v>61</v>
      </c>
      <c r="AG38" s="8" t="s">
        <v>90</v>
      </c>
      <c r="AH38" s="8"/>
      <c r="AI38" s="8" t="s">
        <v>91</v>
      </c>
      <c r="AJ38" s="8"/>
      <c r="AK38" s="8" t="s">
        <v>92</v>
      </c>
      <c r="AL38" s="8"/>
      <c r="AM38" s="8" t="s">
        <v>86</v>
      </c>
      <c r="AN38" s="8" t="s">
        <v>95</v>
      </c>
      <c r="AO38" s="8" t="s">
        <v>84</v>
      </c>
      <c r="AP38" s="8" t="s">
        <v>23</v>
      </c>
    </row>
    <row r="39" spans="1:42" x14ac:dyDescent="0.25">
      <c r="A39">
        <v>0</v>
      </c>
      <c r="B39">
        <f t="shared" ref="B39:B102" si="0">$B$33*A39/$B$36</f>
        <v>0</v>
      </c>
      <c r="C39">
        <v>0</v>
      </c>
      <c r="D39">
        <f>$B$26*1000</f>
        <v>10000000</v>
      </c>
      <c r="E39">
        <f ca="1">D39*(L39/O39)</f>
        <v>6838905.775075987</v>
      </c>
      <c r="F39">
        <f>$B$27</f>
        <v>675</v>
      </c>
      <c r="G39">
        <f t="shared" ref="G39:G102" si="1">$B$24*EXP(-$B$25/F39)</f>
        <v>2.7067462587554183E-5</v>
      </c>
      <c r="H39">
        <f ca="1">G39*E39</f>
        <v>185.11182620667751</v>
      </c>
      <c r="I39">
        <f ca="1">H39*$B$32/($B$9*1000)</f>
        <v>15.429461642517873</v>
      </c>
      <c r="J39">
        <f ca="1">(L39*$G$18+M39*$G$19+N39*$G$20)</f>
        <v>15832.52301310401</v>
      </c>
      <c r="K39">
        <f ca="1">-$H$22*1000*$B$9*1000/J39</f>
        <v>453.4810375041784</v>
      </c>
      <c r="L39">
        <f ca="1">B9*1000</f>
        <v>72.223608915513381</v>
      </c>
      <c r="M39">
        <f ca="1">B10*1000</f>
        <v>29.367724354134754</v>
      </c>
      <c r="N39">
        <f ca="1">$B$11*1000+$B$9*C39*1000</f>
        <v>4.0156326557025501</v>
      </c>
      <c r="O39">
        <f ca="1">L39+M39+N39</f>
        <v>105.60696592535068</v>
      </c>
      <c r="Q39">
        <v>0</v>
      </c>
      <c r="R39" s="23">
        <f t="shared" ref="R39:R47" si="2">$R$33*Q39/$R$36</f>
        <v>0</v>
      </c>
      <c r="S39">
        <v>0</v>
      </c>
      <c r="T39" s="23">
        <f>R26*1000</f>
        <v>500000</v>
      </c>
      <c r="U39">
        <f ca="1">T39*(AC39/AF39)</f>
        <v>355447.41809472535</v>
      </c>
      <c r="V39">
        <f>$R$27</f>
        <v>350</v>
      </c>
      <c r="W39">
        <f>$R$24*EXP(-$R$25/V39)</f>
        <v>2.6675942649854124E-12</v>
      </c>
      <c r="X39">
        <f ca="1">W39*U39</f>
        <v>9.481894940133614E-7</v>
      </c>
      <c r="Y39">
        <f ca="1">X39*$R$32/($B$9*1000)</f>
        <v>9.6724967418593535E-5</v>
      </c>
      <c r="Z39">
        <f ca="1">(AC39*$G$18+AD39*$G$19+AE39*$G$20)/AF39</f>
        <v>145.03705604606199</v>
      </c>
      <c r="AA39">
        <f ca="1">-$H$22*1000*$AC$39/(Z39*AF39)</f>
        <v>487.25517183104824</v>
      </c>
      <c r="AB39" s="6">
        <f ca="1">-32*AP39*AM39*AG39^2/PI()^2/$R$31^5</f>
        <v>-3.5887414349361508E-9</v>
      </c>
      <c r="AC39">
        <f ca="1">$B$9*(1-S39)*1000</f>
        <v>72.223608915513381</v>
      </c>
      <c r="AD39">
        <f ca="1">$B$10*1000</f>
        <v>29.367724354134754</v>
      </c>
      <c r="AE39">
        <f ca="1">$B$11+$AC$39*S39</f>
        <v>4.0156326557025503E-3</v>
      </c>
      <c r="AF39">
        <f ca="1">AC39+AD39+AE39</f>
        <v>101.59534890230384</v>
      </c>
      <c r="AG39">
        <f t="shared" ref="AG39:AG102" ca="1" si="3">8.314*AF39*V39/T39</f>
        <v>0.5912646115416279</v>
      </c>
      <c r="AI39">
        <f ca="1">AG39/$R$32</f>
        <v>8.0252625137497557E-5</v>
      </c>
      <c r="AK39">
        <f ca="1">(AC39*$B$5+AD39*$B$6+AE39*$B$7)/AF39/1000</f>
        <v>6.769662830446431E-2</v>
      </c>
      <c r="AM39">
        <f ca="1">AF39*1000*AK39/AG39</f>
        <v>11632.122805674475</v>
      </c>
      <c r="AN39" s="6">
        <f>$R$34</f>
        <v>1.9495613999999998E-5</v>
      </c>
      <c r="AO39" s="6">
        <f ca="1">$R$31*AI39*AM39/AN39</f>
        <v>4637646.9846094595</v>
      </c>
      <c r="AP39" s="6">
        <f ca="1">0.0014+0.125*AO39^-0.32</f>
        <v>2.319802854620101E-3</v>
      </c>
    </row>
    <row r="40" spans="1:42" x14ac:dyDescent="0.25">
      <c r="A40">
        <f>A39+1</f>
        <v>1</v>
      </c>
      <c r="B40">
        <f t="shared" si="0"/>
        <v>4.1528305920770725E-2</v>
      </c>
      <c r="C40">
        <f ca="1">C39+(B40-B39)*I39</f>
        <v>0.64075940328327985</v>
      </c>
      <c r="D40">
        <f t="shared" ref="D40:D103" si="4">$B$26*1000</f>
        <v>10000000</v>
      </c>
      <c r="E40">
        <f t="shared" ref="E40:E103" ca="1" si="5">D40*(L40/O40)</f>
        <v>4373181.4567181487</v>
      </c>
      <c r="F40">
        <f ca="1">F39+(C40-C39)*K39</f>
        <v>965.57223899145993</v>
      </c>
      <c r="G40">
        <f t="shared" ca="1" si="1"/>
        <v>5.0473993888584439E-3</v>
      </c>
      <c r="H40">
        <f ca="1">G40*E40</f>
        <v>22073.193412006261</v>
      </c>
      <c r="I40">
        <f t="shared" ref="I40:I103" ca="1" si="6">H40*$B$32/($B$9*1000)</f>
        <v>1839.8472861381306</v>
      </c>
      <c r="J40">
        <f ca="1">(L40*$G$18+M40*$G$19+N40*$G$20)</f>
        <v>16085.8335625826</v>
      </c>
      <c r="K40">
        <f t="shared" ref="K40:K103" ca="1" si="7">-$H$22*1000*1000*$B$9/J40</f>
        <v>446.33987628667649</v>
      </c>
      <c r="L40">
        <f ca="1">$B$9*1000*(1-C40)</f>
        <v>25.945652363844058</v>
      </c>
      <c r="M40">
        <f ca="1">$B$10*1000-$B$9*C40*1000</f>
        <v>-16.910232197534572</v>
      </c>
      <c r="N40">
        <f t="shared" ref="N40:N103" ca="1" si="8">$B$11*1000+$B$9*C40*1000</f>
        <v>50.29358920737188</v>
      </c>
      <c r="O40">
        <f t="shared" ref="O40:O103" ca="1" si="9">L40+M40+N40</f>
        <v>59.329009373681366</v>
      </c>
      <c r="Q40">
        <f>Q39+1</f>
        <v>1</v>
      </c>
      <c r="R40" s="23">
        <f t="shared" si="2"/>
        <v>1.4528060434875025</v>
      </c>
      <c r="S40">
        <f ca="1">S39+(R40-R39)*Y39</f>
        <v>1.4052261722186446E-4</v>
      </c>
      <c r="T40" s="23">
        <f ca="1">T39+(R40-R39)*AB39</f>
        <v>499999.99999999476</v>
      </c>
      <c r="U40">
        <f ca="1">T40*(AC40/AF40)</f>
        <v>355432.97631124302</v>
      </c>
      <c r="V40">
        <f ca="1">V39+(S40-S39)*AA39</f>
        <v>350.0684703720006</v>
      </c>
      <c r="W40">
        <f ca="1">$R$24*EXP(-$R$25/V40)</f>
        <v>2.6851338727867491E-12</v>
      </c>
      <c r="X40">
        <f t="shared" ref="X40:X103" ca="1" si="10">W40*U40</f>
        <v>9.5438512419872892E-7</v>
      </c>
      <c r="Y40">
        <f t="shared" ref="Y40:Y103" ca="1" si="11">X40*$R$32/($B$9*1000)</f>
        <v>9.7356984680544846E-5</v>
      </c>
      <c r="Z40">
        <f t="shared" ref="Z40:Z103" ca="1" si="12">(AC40*$G$18+AD40*$G$19+AE40*$G$20)/AF40</f>
        <v>145.05209308917591</v>
      </c>
      <c r="AA40">
        <f t="shared" ref="AA40:AA103" ca="1" si="13">-$H$22*1000*$AC$39/(Z40*AF40)</f>
        <v>487.2533348421286</v>
      </c>
      <c r="AB40" s="6">
        <f ca="1">-32*AP40*AM40*AG40^2/PI()^2/$R$31^5</f>
        <v>-3.5890849251807238E-9</v>
      </c>
      <c r="AC40">
        <f t="shared" ref="AC40:AC103" ca="1" si="14">$B$9*(1-S40)*1000</f>
        <v>72.213459864963369</v>
      </c>
      <c r="AD40">
        <f ca="1">$AD$39-$AC$39*S40</f>
        <v>29.357575303584738</v>
      </c>
      <c r="AE40">
        <f t="shared" ref="AE40:AE103" ca="1" si="15">$B$11+$AC$39*S40</f>
        <v>1.4164683205718873E-2</v>
      </c>
      <c r="AF40">
        <f t="shared" ref="AF40:AF103" ca="1" si="16">AC40+AD40+AE40</f>
        <v>101.58519985175383</v>
      </c>
      <c r="AG40">
        <f t="shared" ca="1" si="3"/>
        <v>0.59132120342201488</v>
      </c>
      <c r="AI40">
        <f t="shared" ref="AI40:AI103" ca="1" si="17">AG40/$R$32</f>
        <v>8.0260306380166009E-5</v>
      </c>
      <c r="AK40">
        <f ca="1">(AC40*$B$5+AD40*$B$6+AE40*$B$7)/AF40/1000</f>
        <v>6.7703391656839751E-2</v>
      </c>
      <c r="AM40">
        <f t="shared" ref="AM40:AM103" ca="1" si="18">AF40*1000*AK40/AG40</f>
        <v>11631.009563499738</v>
      </c>
      <c r="AN40" s="6">
        <f t="shared" ref="AN40:AN103" si="19">$R$34</f>
        <v>1.9495613999999998E-5</v>
      </c>
      <c r="AO40" s="6">
        <f t="shared" ref="AO40:AO103" ca="1" si="20">$R$31*AI40*AM40/AN40</f>
        <v>4637646.9846094595</v>
      </c>
      <c r="AP40" s="6">
        <f t="shared" ref="AP40:AP103" ca="1" si="21">0.0014+0.125*AO40^-0.32</f>
        <v>2.319802854620101E-3</v>
      </c>
    </row>
    <row r="41" spans="1:42" x14ac:dyDescent="0.25">
      <c r="A41">
        <f t="shared" ref="A41:A104" si="22">A40+1</f>
        <v>2</v>
      </c>
      <c r="B41">
        <f t="shared" si="0"/>
        <v>8.305661184154145E-2</v>
      </c>
      <c r="C41">
        <f ca="1">C40+(B41-B40)*I40</f>
        <v>77.046500349527363</v>
      </c>
      <c r="D41">
        <f t="shared" si="4"/>
        <v>10000000</v>
      </c>
      <c r="E41">
        <f t="shared" ca="1" si="5"/>
        <v>10061153.223087439</v>
      </c>
      <c r="F41">
        <f t="shared" ref="F41:F104" ca="1" si="23">F40+(C41-C40)*K40</f>
        <v>35068.501200529892</v>
      </c>
      <c r="G41">
        <f t="shared" ca="1" si="1"/>
        <v>679.97322392282149</v>
      </c>
      <c r="H41">
        <f t="shared" ref="H41:H103" ca="1" si="24">G41*E41</f>
        <v>6841314793.4842529</v>
      </c>
      <c r="I41">
        <f t="shared" ca="1" si="6"/>
        <v>570238035.85947025</v>
      </c>
      <c r="J41">
        <f ca="1">(L41*$G$18+M41*$G$19+N41*$G$20)</f>
        <v>46291.211935867788</v>
      </c>
      <c r="K41">
        <f ca="1">-$H$22*1000*1000*$B$9/J41</f>
        <v>155.09961096369798</v>
      </c>
      <c r="L41">
        <f t="shared" ref="L41:L104" ca="1" si="25">$B$9*1000*(1-C41)</f>
        <v>-5492.3527006377162</v>
      </c>
      <c r="M41">
        <f t="shared" ref="M41:M104" ca="1" si="26">$B$10*1000-$B$9*C41*1000</f>
        <v>-5535.2085851990942</v>
      </c>
      <c r="N41">
        <f t="shared" ca="1" si="8"/>
        <v>5568.5919422089319</v>
      </c>
      <c r="O41">
        <f t="shared" ca="1" si="9"/>
        <v>-5458.9693436278794</v>
      </c>
      <c r="Q41">
        <f t="shared" ref="Q41:Q104" si="27">Q40+1</f>
        <v>2</v>
      </c>
      <c r="R41" s="23">
        <f t="shared" si="2"/>
        <v>2.9056120869750051</v>
      </c>
      <c r="S41">
        <f t="shared" ref="S41:S104" ca="1" si="28">S40+(R41-R40)*Y40</f>
        <v>2.8196343294148018E-4</v>
      </c>
      <c r="T41" s="23">
        <f ca="1">T40+(R41-R40)*AB40</f>
        <v>499999.99999998952</v>
      </c>
      <c r="U41">
        <f ca="1">T41*(AC41/AF41)</f>
        <v>355418.43724840792</v>
      </c>
      <c r="V41">
        <f ca="1">V40+(S41-S40)*AA40</f>
        <v>350.13738788114279</v>
      </c>
      <c r="W41">
        <f t="shared" ref="W41:W104" ca="1" si="29">$R$24*EXP(-$R$25/V41)</f>
        <v>2.70289748275675E-12</v>
      </c>
      <c r="X41">
        <f t="shared" ca="1" si="10"/>
        <v>9.6065959936405969E-7</v>
      </c>
      <c r="Y41">
        <f t="shared" ca="1" si="11"/>
        <v>9.7997044931968428E-5</v>
      </c>
      <c r="Z41">
        <f t="shared" ca="1" si="12"/>
        <v>145.06723142129087</v>
      </c>
      <c r="AA41">
        <f t="shared" ca="1" si="13"/>
        <v>487.25148586400041</v>
      </c>
      <c r="AB41" s="6">
        <f t="shared" ref="AB41:AB103" ca="1" si="30">-32*AP41*AM41*AG41^2/PI()^2/$R$31^5</f>
        <v>-3.589430515539201E-9</v>
      </c>
      <c r="AC41">
        <f t="shared" ca="1" si="14"/>
        <v>72.203244498804139</v>
      </c>
      <c r="AD41">
        <f t="shared" ref="AD41:AD104" ca="1" si="31">$AD$39-$AC$39*S41</f>
        <v>29.347359937425512</v>
      </c>
      <c r="AE41">
        <f t="shared" ca="1" si="15"/>
        <v>2.4380049364943597E-2</v>
      </c>
      <c r="AF41">
        <f t="shared" ca="1" si="16"/>
        <v>101.5749844855946</v>
      </c>
      <c r="AG41" s="6">
        <f ca="1">8.314*AF41*V41/T41</f>
        <v>0.59137814130755562</v>
      </c>
      <c r="AI41">
        <f t="shared" ca="1" si="17"/>
        <v>8.0268034586277498E-5</v>
      </c>
      <c r="AK41">
        <f t="shared" ref="AK41:AK103" ca="1" si="32">(AC41*$B$5+AD41*$B$6+AE41*$B$7)/AF41/1000</f>
        <v>6.7710200566922285E-2</v>
      </c>
      <c r="AM41" s="6">
        <f ca="1">AF41*1000*AK41/AG41</f>
        <v>11629.88972993642</v>
      </c>
      <c r="AN41" s="6">
        <f t="shared" si="19"/>
        <v>1.9495613999999998E-5</v>
      </c>
      <c r="AO41" s="6">
        <f t="shared" ca="1" si="20"/>
        <v>4637646.9846094595</v>
      </c>
      <c r="AP41" s="6">
        <f t="shared" ca="1" si="21"/>
        <v>2.319802854620101E-3</v>
      </c>
    </row>
    <row r="42" spans="1:42" x14ac:dyDescent="0.25">
      <c r="A42">
        <f t="shared" si="22"/>
        <v>3</v>
      </c>
      <c r="B42">
        <f>$B$33*A42/$B$36</f>
        <v>0.12458491776231216</v>
      </c>
      <c r="C42">
        <f t="shared" ref="C42:C104" ca="1" si="33">C41+(B42-B41)*I41</f>
        <v>23681096.647331852</v>
      </c>
      <c r="D42">
        <f t="shared" si="4"/>
        <v>10000000</v>
      </c>
      <c r="E42">
        <f t="shared" ca="1" si="5"/>
        <v>10000000.195186168</v>
      </c>
      <c r="F42">
        <f t="shared" ca="1" si="23"/>
        <v>3672951995.8138728</v>
      </c>
      <c r="G42">
        <f t="shared" ca="1" si="1"/>
        <v>949.99696679156386</v>
      </c>
      <c r="H42">
        <f t="shared" ca="1" si="24"/>
        <v>9499969853.3419056</v>
      </c>
      <c r="I42">
        <f t="shared" ca="1" si="6"/>
        <v>791842549.77615023</v>
      </c>
      <c r="J42">
        <f t="shared" ref="J42:J105" ca="1" si="34">(L42*$G$18+M42*$G$19+N42*$G$20)</f>
        <v>9361831785.9897461</v>
      </c>
      <c r="K42">
        <f t="shared" ca="1" si="7"/>
        <v>7.6691710836290501E-4</v>
      </c>
      <c r="L42">
        <f t="shared" ca="1" si="25"/>
        <v>-1710334190.7237618</v>
      </c>
      <c r="M42">
        <f t="shared" ca="1" si="26"/>
        <v>-1710334233.5796463</v>
      </c>
      <c r="N42">
        <f t="shared" ca="1" si="8"/>
        <v>1710334266.9630034</v>
      </c>
      <c r="O42">
        <f t="shared" ca="1" si="9"/>
        <v>-1710334157.3404047</v>
      </c>
      <c r="Q42">
        <f t="shared" si="27"/>
        <v>3</v>
      </c>
      <c r="R42" s="23">
        <f t="shared" si="2"/>
        <v>4.3584181304625078</v>
      </c>
      <c r="S42">
        <f t="shared" ca="1" si="28"/>
        <v>4.2433413206256028E-4</v>
      </c>
      <c r="T42" s="23">
        <f ca="1">T41+(R42-R41)*AB41</f>
        <v>499999.99999998428</v>
      </c>
      <c r="U42">
        <f ca="1">T42*(AC42/AF42)</f>
        <v>355403.79964690254</v>
      </c>
      <c r="V42">
        <f t="shared" ref="V42:V104" ca="1" si="35">V41+(S42-S41)*AA41</f>
        <v>350.20675821583302</v>
      </c>
      <c r="W42">
        <f t="shared" ca="1" si="29"/>
        <v>2.7208893566927698E-12</v>
      </c>
      <c r="X42">
        <f t="shared" ca="1" si="10"/>
        <v>9.6701441578742671E-7</v>
      </c>
      <c r="Y42">
        <f t="shared" ca="1" si="11"/>
        <v>9.8645300808438476E-5</v>
      </c>
      <c r="Z42">
        <f t="shared" ca="1" si="12"/>
        <v>145.08247235363078</v>
      </c>
      <c r="AA42">
        <f ca="1">-$H$22*1000*$AC$39/(Z42*AF42)</f>
        <v>487.24962474418822</v>
      </c>
      <c r="AB42" s="6">
        <f t="shared" ca="1" si="30"/>
        <v>-3.5897782317252301E-9</v>
      </c>
      <c r="AC42">
        <f t="shared" ca="1" si="14"/>
        <v>72.192961973109789</v>
      </c>
      <c r="AD42">
        <f t="shared" ca="1" si="31"/>
        <v>29.337077411731165</v>
      </c>
      <c r="AE42">
        <f t="shared" ca="1" si="15"/>
        <v>3.4662575059292711E-2</v>
      </c>
      <c r="AF42">
        <f t="shared" ca="1" si="16"/>
        <v>101.56470195990025</v>
      </c>
      <c r="AG42">
        <f t="shared" ca="1" si="3"/>
        <v>0.59143542943471283</v>
      </c>
      <c r="AI42">
        <f t="shared" ca="1" si="17"/>
        <v>8.0275810330849106E-5</v>
      </c>
      <c r="AK42">
        <f t="shared" ca="1" si="32"/>
        <v>6.7717055624473416E-2</v>
      </c>
      <c r="AM42">
        <f t="shared" ca="1" si="18"/>
        <v>11628.763225556542</v>
      </c>
      <c r="AN42" s="6">
        <f t="shared" si="19"/>
        <v>1.9495613999999998E-5</v>
      </c>
      <c r="AO42" s="6">
        <f ca="1">$R$31*AI42*AM42/AN42</f>
        <v>4637646.9846094595</v>
      </c>
      <c r="AP42" s="6">
        <f t="shared" ca="1" si="21"/>
        <v>2.319802854620101E-3</v>
      </c>
    </row>
    <row r="43" spans="1:42" x14ac:dyDescent="0.25">
      <c r="A43">
        <f t="shared" si="22"/>
        <v>4</v>
      </c>
      <c r="B43" s="6">
        <f t="shared" si="0"/>
        <v>0.1661132236830829</v>
      </c>
      <c r="C43">
        <f t="shared" ca="1" si="33"/>
        <v>56564976.29551895</v>
      </c>
      <c r="D43">
        <f t="shared" si="4"/>
        <v>10000000</v>
      </c>
      <c r="E43">
        <f t="shared" ca="1" si="5"/>
        <v>10000000.081715271</v>
      </c>
      <c r="F43">
        <f t="shared" ca="1" si="23"/>
        <v>3672977215.0237641</v>
      </c>
      <c r="G43">
        <f t="shared" ca="1" si="1"/>
        <v>949.99696681239038</v>
      </c>
      <c r="H43">
        <f t="shared" ca="1" si="24"/>
        <v>9499969745.7531624</v>
      </c>
      <c r="I43">
        <f t="shared" ca="1" si="6"/>
        <v>791842540.80840123</v>
      </c>
      <c r="J43">
        <f t="shared" ca="1" si="34"/>
        <v>22361771513.737305</v>
      </c>
      <c r="K43">
        <f t="shared" ca="1" si="7"/>
        <v>3.2107245876653896E-4</v>
      </c>
      <c r="L43">
        <f t="shared" ca="1" si="25"/>
        <v>-4085326654.0592365</v>
      </c>
      <c r="M43">
        <f t="shared" ca="1" si="26"/>
        <v>-4085326696.9151211</v>
      </c>
      <c r="N43">
        <f t="shared" ca="1" si="8"/>
        <v>4085326730.2984781</v>
      </c>
      <c r="O43">
        <f t="shared" ca="1" si="9"/>
        <v>-4085326620.6758795</v>
      </c>
      <c r="Q43">
        <f t="shared" si="27"/>
        <v>4</v>
      </c>
      <c r="R43" s="23">
        <f t="shared" si="2"/>
        <v>5.8112241739500101</v>
      </c>
      <c r="S43" s="6">
        <f ca="1">S42+(R43-R42)*Y42</f>
        <v>5.6764662123870229E-4</v>
      </c>
      <c r="T43" s="23">
        <f t="shared" ref="T43:T104" ca="1" si="36">T42+(R43-R42)*AB42</f>
        <v>499999.99999997905</v>
      </c>
      <c r="U43">
        <f t="shared" ref="U43:U106" ca="1" si="37">T43*(AC43/AF43)</f>
        <v>355389.06222321931</v>
      </c>
      <c r="V43">
        <f t="shared" ca="1" si="35"/>
        <v>350.27658717240524</v>
      </c>
      <c r="W43">
        <f t="shared" ca="1" si="29"/>
        <v>2.7391138644195932E-12</v>
      </c>
      <c r="X43">
        <f t="shared" ca="1" si="10"/>
        <v>9.7345110759869757E-7</v>
      </c>
      <c r="Y43">
        <f t="shared" ca="1" si="11"/>
        <v>9.9301908806797006E-5</v>
      </c>
      <c r="Z43">
        <f t="shared" ca="1" si="12"/>
        <v>145.09781722260675</v>
      </c>
      <c r="AA43">
        <f ca="1">-$H$22*1000*$AC$39/(Z43*AF43)</f>
        <v>487.24775132732429</v>
      </c>
      <c r="AB43" s="6">
        <f ca="1">-32*AP43*AM43*AG43^2/PI()^2/$R$31^5</f>
        <v>-3.5901280999269551E-9</v>
      </c>
      <c r="AC43">
        <f t="shared" ca="1" si="14"/>
        <v>72.182611427938838</v>
      </c>
      <c r="AD43">
        <f t="shared" ca="1" si="31"/>
        <v>29.326726866560197</v>
      </c>
      <c r="AE43">
        <f t="shared" ca="1" si="15"/>
        <v>4.5013120230259142E-2</v>
      </c>
      <c r="AF43">
        <f t="shared" ca="1" si="16"/>
        <v>101.5543514147293</v>
      </c>
      <c r="AG43">
        <f t="shared" ca="1" si="3"/>
        <v>0.59149307211812552</v>
      </c>
      <c r="AI43">
        <f t="shared" ca="1" si="17"/>
        <v>8.0283634199508817E-5</v>
      </c>
      <c r="AK43">
        <f t="shared" ca="1" si="32"/>
        <v>6.7723957430583362E-2</v>
      </c>
      <c r="AM43">
        <f t="shared" ca="1" si="18"/>
        <v>11627.629969481894</v>
      </c>
      <c r="AN43" s="6">
        <f t="shared" si="19"/>
        <v>1.9495613999999998E-5</v>
      </c>
      <c r="AO43" s="6">
        <f t="shared" ca="1" si="20"/>
        <v>4637646.9846094605</v>
      </c>
      <c r="AP43" s="6">
        <f t="shared" ca="1" si="21"/>
        <v>2.3198028546201001E-3</v>
      </c>
    </row>
    <row r="44" spans="1:42" x14ac:dyDescent="0.25">
      <c r="A44">
        <f t="shared" si="22"/>
        <v>5</v>
      </c>
      <c r="B44">
        <f t="shared" si="0"/>
        <v>0.20764152960385363</v>
      </c>
      <c r="C44">
        <f t="shared" ca="1" si="33"/>
        <v>89448855.571290612</v>
      </c>
      <c r="D44">
        <f t="shared" si="4"/>
        <v>10000000</v>
      </c>
      <c r="E44">
        <f t="shared" ca="1" si="5"/>
        <v>10000000.051674474</v>
      </c>
      <c r="F44">
        <f t="shared" ca="1" si="23"/>
        <v>3672987773.1317368</v>
      </c>
      <c r="G44">
        <f t="shared" ca="1" si="1"/>
        <v>949.99696682110937</v>
      </c>
      <c r="H44">
        <f t="shared" ca="1" si="24"/>
        <v>9499969717.3016872</v>
      </c>
      <c r="I44">
        <f t="shared" ca="1" si="6"/>
        <v>791842538.43691063</v>
      </c>
      <c r="J44">
        <f t="shared" ca="1" si="34"/>
        <v>35361711094.258545</v>
      </c>
      <c r="K44">
        <f ca="1">-$H$22*1000*1000*$B$9/J44</f>
        <v>2.0303737404429268E-4</v>
      </c>
      <c r="L44">
        <f t="shared" ca="1" si="25"/>
        <v>-6460319090.4975243</v>
      </c>
      <c r="M44">
        <f t="shared" ca="1" si="26"/>
        <v>-6460319133.3534098</v>
      </c>
      <c r="N44">
        <f t="shared" ca="1" si="8"/>
        <v>6460319166.7367668</v>
      </c>
      <c r="O44">
        <f t="shared" ca="1" si="9"/>
        <v>-6460319057.1141663</v>
      </c>
      <c r="Q44">
        <f t="shared" si="27"/>
        <v>5</v>
      </c>
      <c r="R44" s="23">
        <f t="shared" si="2"/>
        <v>7.2640302174375115</v>
      </c>
      <c r="S44">
        <f t="shared" ca="1" si="28"/>
        <v>7.119130344830617E-4</v>
      </c>
      <c r="T44" s="23">
        <f t="shared" ca="1" si="36"/>
        <v>499999.99999997381</v>
      </c>
      <c r="U44">
        <f t="shared" ca="1" si="37"/>
        <v>355374.22366904246</v>
      </c>
      <c r="V44">
        <f t="shared" ca="1" si="35"/>
        <v>350.34688065785059</v>
      </c>
      <c r="W44">
        <f t="shared" ca="1" si="29"/>
        <v>2.7575754872183113E-12</v>
      </c>
      <c r="X44">
        <f t="shared" ca="1" si="10"/>
        <v>9.7997124797898896E-7</v>
      </c>
      <c r="Y44">
        <f t="shared" ca="1" si="11"/>
        <v>9.9967029407510444E-5</v>
      </c>
      <c r="Z44">
        <f t="shared" ca="1" si="12"/>
        <v>145.11326739046029</v>
      </c>
      <c r="AA44">
        <f t="shared" ca="1" si="13"/>
        <v>487.24586545507566</v>
      </c>
      <c r="AB44" s="6">
        <f ca="1">-32*AP44*AM44*AG44^2/PI()^2/$R$31^5</f>
        <v>-3.5904801468187678E-9</v>
      </c>
      <c r="AC44">
        <f ca="1">$B$9*(1-S44)*1000</f>
        <v>72.172191986929022</v>
      </c>
      <c r="AD44">
        <f t="shared" ca="1" si="31"/>
        <v>29.316307425550395</v>
      </c>
      <c r="AE44">
        <f t="shared" ca="1" si="15"/>
        <v>5.5432561240063592E-2</v>
      </c>
      <c r="AF44">
        <f ca="1">AC44+AD44+AE44</f>
        <v>101.54393197371948</v>
      </c>
      <c r="AG44">
        <f t="shared" ca="1" si="3"/>
        <v>0.59155107375254423</v>
      </c>
      <c r="AI44">
        <f t="shared" ca="1" si="17"/>
        <v>8.029150678875821E-5</v>
      </c>
      <c r="AK44">
        <f t="shared" ca="1" si="32"/>
        <v>6.77309065979603E-2</v>
      </c>
      <c r="AM44">
        <f t="shared" ca="1" si="18"/>
        <v>11626.48987934839</v>
      </c>
      <c r="AN44" s="6">
        <f>$R$34</f>
        <v>1.9495613999999998E-5</v>
      </c>
      <c r="AO44" s="6">
        <f t="shared" ca="1" si="20"/>
        <v>4637646.9846094595</v>
      </c>
      <c r="AP44" s="6">
        <f t="shared" ca="1" si="21"/>
        <v>2.319802854620101E-3</v>
      </c>
    </row>
    <row r="45" spans="1:42" x14ac:dyDescent="0.25">
      <c r="A45">
        <f t="shared" si="22"/>
        <v>6</v>
      </c>
      <c r="B45">
        <f t="shared" si="0"/>
        <v>0.24916983552462432</v>
      </c>
      <c r="C45">
        <f t="shared" ca="1" si="33"/>
        <v>122332734.74857827</v>
      </c>
      <c r="D45">
        <f t="shared" si="4"/>
        <v>10000000</v>
      </c>
      <c r="E45">
        <f t="shared" ca="1" si="5"/>
        <v>10000000.037784018</v>
      </c>
      <c r="F45">
        <f t="shared" ca="1" si="23"/>
        <v>3672994449.7882133</v>
      </c>
      <c r="G45">
        <f t="shared" ca="1" si="1"/>
        <v>949.99696682662295</v>
      </c>
      <c r="H45">
        <f t="shared" ca="1" si="24"/>
        <v>9499969704.1609325</v>
      </c>
      <c r="I45">
        <f t="shared" ca="1" si="6"/>
        <v>791842537.34160101</v>
      </c>
      <c r="J45">
        <f t="shared" ca="1" si="34"/>
        <v>48361650635.845703</v>
      </c>
      <c r="K45">
        <f t="shared" ca="1" si="7"/>
        <v>1.4845955148126293E-4</v>
      </c>
      <c r="L45">
        <f t="shared" ca="1" si="25"/>
        <v>-8835311519.8229427</v>
      </c>
      <c r="M45">
        <f t="shared" ca="1" si="26"/>
        <v>-8835311562.6788273</v>
      </c>
      <c r="N45">
        <f t="shared" ca="1" si="8"/>
        <v>8835311596.0621834</v>
      </c>
      <c r="O45">
        <f t="shared" ca="1" si="9"/>
        <v>-8835311486.4395866</v>
      </c>
      <c r="Q45">
        <f t="shared" si="27"/>
        <v>6</v>
      </c>
      <c r="R45" s="23">
        <f t="shared" si="2"/>
        <v>8.7168362609250156</v>
      </c>
      <c r="S45">
        <f t="shared" ca="1" si="28"/>
        <v>8.5714573895578591E-4</v>
      </c>
      <c r="T45" s="23">
        <f t="shared" ca="1" si="36"/>
        <v>499999.99999996857</v>
      </c>
      <c r="U45">
        <f t="shared" ca="1" si="37"/>
        <v>355359.28265061131</v>
      </c>
      <c r="V45">
        <f t="shared" ca="1" si="35"/>
        <v>350.41764469263376</v>
      </c>
      <c r="W45">
        <f t="shared" ca="1" si="29"/>
        <v>2.7762788213863953E-12</v>
      </c>
      <c r="X45">
        <f t="shared" ca="1" si="10"/>
        <v>9.8657645040595401E-7</v>
      </c>
      <c r="Y45">
        <f t="shared" ca="1" si="11"/>
        <v>1.0064082720170157E-4</v>
      </c>
      <c r="Z45">
        <f t="shared" ca="1" si="12"/>
        <v>145.12882424592706</v>
      </c>
      <c r="AA45">
        <f ca="1">-$H$22*1000*$AC$39/(Z45*AF45)</f>
        <v>487.24396696606817</v>
      </c>
      <c r="AB45" s="6">
        <f t="shared" ca="1" si="30"/>
        <v>-3.590834399573405E-9</v>
      </c>
      <c r="AC45">
        <f t="shared" ca="1" si="14"/>
        <v>72.161702756879436</v>
      </c>
      <c r="AD45">
        <f t="shared" ca="1" si="31"/>
        <v>29.305818195500812</v>
      </c>
      <c r="AE45">
        <f t="shared" ca="1" si="15"/>
        <v>6.5921791289643955E-2</v>
      </c>
      <c r="AF45">
        <f t="shared" ca="1" si="16"/>
        <v>101.53344274366989</v>
      </c>
      <c r="AG45">
        <f t="shared" ca="1" si="3"/>
        <v>0.59160943881482453</v>
      </c>
      <c r="AI45">
        <f t="shared" ca="1" si="17"/>
        <v>8.0299428706242989E-5</v>
      </c>
      <c r="AK45">
        <f t="shared" ca="1" si="32"/>
        <v>6.773790375122897E-2</v>
      </c>
      <c r="AM45">
        <f t="shared" ca="1" si="18"/>
        <v>11625.342871269429</v>
      </c>
      <c r="AN45" s="6">
        <f t="shared" si="19"/>
        <v>1.9495613999999998E-5</v>
      </c>
      <c r="AO45" s="6">
        <f t="shared" ca="1" si="20"/>
        <v>4637646.9846094586</v>
      </c>
      <c r="AP45" s="6">
        <f t="shared" ca="1" si="21"/>
        <v>2.319802854620101E-3</v>
      </c>
    </row>
    <row r="46" spans="1:42" x14ac:dyDescent="0.25">
      <c r="A46">
        <f t="shared" si="22"/>
        <v>7</v>
      </c>
      <c r="B46">
        <f t="shared" si="0"/>
        <v>0.29069814144539508</v>
      </c>
      <c r="C46">
        <f t="shared" ca="1" si="33"/>
        <v>155216613.88037962</v>
      </c>
      <c r="D46">
        <f t="shared" si="4"/>
        <v>10000000</v>
      </c>
      <c r="E46">
        <f t="shared" ca="1" si="5"/>
        <v>10000000.02977917</v>
      </c>
      <c r="F46">
        <f t="shared" ca="1" si="23"/>
        <v>3672999331.71416</v>
      </c>
      <c r="G46">
        <f t="shared" ca="1" si="1"/>
        <v>949.99696683065451</v>
      </c>
      <c r="H46">
        <f t="shared" ca="1" si="24"/>
        <v>9499969696.5966663</v>
      </c>
      <c r="I46">
        <f t="shared" ca="1" si="6"/>
        <v>791842536.71110344</v>
      </c>
      <c r="J46">
        <f t="shared" ca="1" si="34"/>
        <v>61361590159.451172</v>
      </c>
      <c r="K46">
        <f t="shared" ca="1" si="7"/>
        <v>1.1700721809252741E-4</v>
      </c>
      <c r="L46">
        <f t="shared" ca="1" si="25"/>
        <v>-11210303945.863174</v>
      </c>
      <c r="M46">
        <f t="shared" ca="1" si="26"/>
        <v>-11210303988.719061</v>
      </c>
      <c r="N46">
        <f t="shared" ca="1" si="8"/>
        <v>11210304022.102417</v>
      </c>
      <c r="O46">
        <f t="shared" ca="1" si="9"/>
        <v>-11210303912.47982</v>
      </c>
      <c r="Q46">
        <f t="shared" si="27"/>
        <v>7</v>
      </c>
      <c r="R46" s="23">
        <f t="shared" si="2"/>
        <v>10.169642304412518</v>
      </c>
      <c r="S46">
        <f t="shared" ca="1" si="28"/>
        <v>1.0033573409359993E-3</v>
      </c>
      <c r="T46" s="23">
        <f t="shared" ca="1" si="36"/>
        <v>499999.99999996333</v>
      </c>
      <c r="U46">
        <f t="shared" ca="1" si="37"/>
        <v>355344.23780806147</v>
      </c>
      <c r="V46">
        <f t="shared" ca="1" si="35"/>
        <v>350.48888541359906</v>
      </c>
      <c r="W46">
        <f t="shared" ca="1" si="29"/>
        <v>2.7952285819345834E-12</v>
      </c>
      <c r="X46">
        <f t="shared" ca="1" si="10"/>
        <v>9.9326836994685304E-7</v>
      </c>
      <c r="Y46">
        <f t="shared" ca="1" si="11"/>
        <v>1.0132347102305592E-4</v>
      </c>
      <c r="Z46">
        <f t="shared" ca="1" si="12"/>
        <v>145.14448920492214</v>
      </c>
      <c r="AA46">
        <f t="shared" ca="1" si="13"/>
        <v>487.2420556958088</v>
      </c>
      <c r="AB46" s="6">
        <f ca="1">-32*AP46*AM46*AG46^2/PI()^2/$R$31^5</f>
        <v>-3.5911908858744312E-9</v>
      </c>
      <c r="AC46">
        <f t="shared" ca="1" si="14"/>
        <v>72.151142827319106</v>
      </c>
      <c r="AD46">
        <f t="shared" ca="1" si="31"/>
        <v>29.295258265940483</v>
      </c>
      <c r="AE46">
        <f t="shared" ca="1" si="15"/>
        <v>7.6481720849973595E-2</v>
      </c>
      <c r="AF46">
        <f t="shared" ca="1" si="16"/>
        <v>101.52288281410956</v>
      </c>
      <c r="AG46">
        <f t="shared" ca="1" si="3"/>
        <v>0.59166817186598397</v>
      </c>
      <c r="AI46">
        <f t="shared" ca="1" si="17"/>
        <v>8.0307400571032238E-5</v>
      </c>
      <c r="AK46">
        <f t="shared" ca="1" si="32"/>
        <v>6.7744949527238779E-2</v>
      </c>
      <c r="AM46">
        <f t="shared" ca="1" si="18"/>
        <v>11624.188859798016</v>
      </c>
      <c r="AN46" s="6">
        <f t="shared" si="19"/>
        <v>1.9495613999999998E-5</v>
      </c>
      <c r="AO46" s="6">
        <f t="shared" ca="1" si="20"/>
        <v>4637646.9846094586</v>
      </c>
      <c r="AP46" s="6">
        <f t="shared" ca="1" si="21"/>
        <v>2.319802854620101E-3</v>
      </c>
    </row>
    <row r="47" spans="1:42" x14ac:dyDescent="0.25">
      <c r="A47">
        <f t="shared" si="22"/>
        <v>8</v>
      </c>
      <c r="B47">
        <f t="shared" si="0"/>
        <v>0.3322264473661658</v>
      </c>
      <c r="C47">
        <f t="shared" ca="1" si="33"/>
        <v>188100492.98599744</v>
      </c>
      <c r="D47">
        <f t="shared" si="4"/>
        <v>10000000</v>
      </c>
      <c r="E47">
        <f t="shared" ca="1" si="5"/>
        <v>10000000.024573153</v>
      </c>
      <c r="F47">
        <f t="shared" ca="1" si="23"/>
        <v>3673003179.3653741</v>
      </c>
      <c r="G47">
        <f t="shared" ca="1" si="1"/>
        <v>949.99696683383183</v>
      </c>
      <c r="H47">
        <f t="shared" ca="1" si="24"/>
        <v>9499969691.6827393</v>
      </c>
      <c r="I47">
        <f t="shared" ca="1" si="6"/>
        <v>791842536.30151725</v>
      </c>
      <c r="J47">
        <f t="shared" ca="1" si="34"/>
        <v>74361529672.705566</v>
      </c>
      <c r="K47">
        <f t="shared" ca="1" si="7"/>
        <v>9.6551926700433612E-5</v>
      </c>
      <c r="L47">
        <f t="shared" ca="1" si="25"/>
        <v>-13585296370.012339</v>
      </c>
      <c r="M47">
        <f t="shared" ca="1" si="26"/>
        <v>-13585296412.868223</v>
      </c>
      <c r="N47">
        <f t="shared" ca="1" si="8"/>
        <v>13585296446.251579</v>
      </c>
      <c r="O47">
        <f t="shared" ca="1" si="9"/>
        <v>-13585296336.628983</v>
      </c>
      <c r="Q47">
        <f t="shared" si="27"/>
        <v>8</v>
      </c>
      <c r="R47" s="23">
        <f t="shared" si="2"/>
        <v>11.62244834790002</v>
      </c>
      <c r="S47">
        <f t="shared" ca="1" si="28"/>
        <v>1.1505606919854257E-3</v>
      </c>
      <c r="T47" s="23">
        <f t="shared" ca="1" si="36"/>
        <v>499999.99999995809</v>
      </c>
      <c r="U47">
        <f t="shared" ca="1" si="37"/>
        <v>355329.08775474608</v>
      </c>
      <c r="V47">
        <f t="shared" ca="1" si="35"/>
        <v>350.56060907696968</v>
      </c>
      <c r="W47">
        <f t="shared" ca="1" si="29"/>
        <v>2.814429606426852E-12</v>
      </c>
      <c r="X47">
        <f t="shared" ca="1" si="10"/>
        <v>1.0000487046016024E-6</v>
      </c>
      <c r="Y47">
        <f t="shared" ca="1" si="11"/>
        <v>1.020151340848263E-4</v>
      </c>
      <c r="Z47">
        <f t="shared" ca="1" si="12"/>
        <v>145.1602637112471</v>
      </c>
      <c r="AA47">
        <f t="shared" ca="1" si="13"/>
        <v>487.24013147660571</v>
      </c>
      <c r="AB47" s="6">
        <f t="shared" ca="1" si="30"/>
        <v>-3.591549633929114E-9</v>
      </c>
      <c r="AC47">
        <f t="shared" ca="1" si="14"/>
        <v>72.140511270061864</v>
      </c>
      <c r="AD47">
        <f t="shared" ca="1" si="31"/>
        <v>29.284626708683238</v>
      </c>
      <c r="AE47">
        <f t="shared" ca="1" si="15"/>
        <v>8.7113278107220388E-2</v>
      </c>
      <c r="AF47">
        <f t="shared" ca="1" si="16"/>
        <v>101.51225125685232</v>
      </c>
      <c r="AG47">
        <f t="shared" ca="1" si="3"/>
        <v>0.59172727755332266</v>
      </c>
      <c r="AI47">
        <f t="shared" ca="1" si="17"/>
        <v>8.0315423013906204E-5</v>
      </c>
      <c r="AK47">
        <f t="shared" ca="1" si="32"/>
        <v>6.7752044575381948E-2</v>
      </c>
      <c r="AM47">
        <f t="shared" ca="1" si="18"/>
        <v>11623.02775788777</v>
      </c>
      <c r="AN47" s="6">
        <f t="shared" si="19"/>
        <v>1.9495613999999998E-5</v>
      </c>
      <c r="AO47" s="6">
        <f t="shared" ca="1" si="20"/>
        <v>4637646.9846094595</v>
      </c>
      <c r="AP47" s="6">
        <f t="shared" ca="1" si="21"/>
        <v>2.319802854620101E-3</v>
      </c>
    </row>
    <row r="48" spans="1:42" x14ac:dyDescent="0.25">
      <c r="A48">
        <f t="shared" si="22"/>
        <v>9</v>
      </c>
      <c r="B48">
        <f t="shared" si="0"/>
        <v>0.37375475328693653</v>
      </c>
      <c r="C48">
        <f t="shared" ca="1" si="33"/>
        <v>220984372.07460585</v>
      </c>
      <c r="D48">
        <f t="shared" si="4"/>
        <v>10000000</v>
      </c>
      <c r="E48">
        <f t="shared" ca="1" si="5"/>
        <v>10000000.020916512</v>
      </c>
      <c r="F48">
        <f t="shared" ca="1" si="23"/>
        <v>3673006354.3672576</v>
      </c>
      <c r="G48">
        <f t="shared" ca="1" si="1"/>
        <v>949.99696683645379</v>
      </c>
      <c r="H48">
        <f t="shared" ca="1" si="24"/>
        <v>9499969688.2351608</v>
      </c>
      <c r="I48">
        <f t="shared" ca="1" si="6"/>
        <v>791842536.01415431</v>
      </c>
      <c r="J48">
        <f t="shared" ca="1" si="34"/>
        <v>87361469179.236328</v>
      </c>
      <c r="K48">
        <f t="shared" ca="1" si="7"/>
        <v>8.2184388950244853E-5</v>
      </c>
      <c r="L48">
        <f t="shared" ca="1" si="25"/>
        <v>-15960288792.93302</v>
      </c>
      <c r="M48">
        <f t="shared" ca="1" si="26"/>
        <v>-15960288835.788906</v>
      </c>
      <c r="N48">
        <f t="shared" ca="1" si="8"/>
        <v>15960288869.172262</v>
      </c>
      <c r="O48">
        <f t="shared" ca="1" si="9"/>
        <v>-15960288759.549662</v>
      </c>
      <c r="Q48">
        <f t="shared" si="27"/>
        <v>9</v>
      </c>
      <c r="R48" s="23">
        <f t="shared" ref="R48:R111" si="38">$R$33*Q48/$R$36</f>
        <v>13.075254391387523</v>
      </c>
      <c r="S48">
        <f t="shared" ca="1" si="28"/>
        <v>1.2987688953110493E-3</v>
      </c>
      <c r="T48" s="23">
        <f t="shared" ca="1" si="36"/>
        <v>499999.99999995285</v>
      </c>
      <c r="U48">
        <f t="shared" ca="1" si="37"/>
        <v>355313.83107653406</v>
      </c>
      <c r="V48">
        <f t="shared" ca="1" si="35"/>
        <v>350.63282206144396</v>
      </c>
      <c r="W48">
        <f t="shared" ca="1" si="29"/>
        <v>2.8338868589699348E-12</v>
      </c>
      <c r="X48">
        <f t="shared" ca="1" si="10"/>
        <v>1.0069191966980532E-6</v>
      </c>
      <c r="Y48">
        <f t="shared" ca="1" si="11"/>
        <v>1.0271599412216556E-4</v>
      </c>
      <c r="Z48">
        <f t="shared" ca="1" si="12"/>
        <v>145.17614923732043</v>
      </c>
      <c r="AA48">
        <f t="shared" ca="1" si="13"/>
        <v>487.23819413748481</v>
      </c>
      <c r="AB48" s="6">
        <f t="shared" ca="1" si="30"/>
        <v>-3.5919106724817041E-9</v>
      </c>
      <c r="AC48">
        <f t="shared" ca="1" si="14"/>
        <v>72.129807138746813</v>
      </c>
      <c r="AD48">
        <f t="shared" ca="1" si="31"/>
        <v>29.273922577368175</v>
      </c>
      <c r="AE48">
        <f t="shared" ca="1" si="15"/>
        <v>9.7817409422281121E-2</v>
      </c>
      <c r="AF48">
        <f t="shared" ca="1" si="16"/>
        <v>101.50154712553726</v>
      </c>
      <c r="AG48">
        <f t="shared" ca="1" si="3"/>
        <v>0.59178676061261248</v>
      </c>
      <c r="AI48">
        <f t="shared" ca="1" si="17"/>
        <v>8.0323496677653429E-5</v>
      </c>
      <c r="AK48">
        <f t="shared" ca="1" si="32"/>
        <v>6.7759189557921984E-2</v>
      </c>
      <c r="AM48">
        <f ca="1">AF48*1000*AK48/AG48</f>
        <v>11621.859476852665</v>
      </c>
      <c r="AN48" s="6">
        <f t="shared" si="19"/>
        <v>1.9495613999999998E-5</v>
      </c>
      <c r="AO48" s="6">
        <f t="shared" ca="1" si="20"/>
        <v>4637646.9846094605</v>
      </c>
      <c r="AP48" s="6">
        <f t="shared" ca="1" si="21"/>
        <v>2.3198028546201001E-3</v>
      </c>
    </row>
    <row r="49" spans="1:42" x14ac:dyDescent="0.25">
      <c r="A49">
        <f t="shared" si="22"/>
        <v>10</v>
      </c>
      <c r="B49">
        <f t="shared" si="0"/>
        <v>0.41528305920770725</v>
      </c>
      <c r="C49">
        <f ca="1">C48+(B49-B48)*I48</f>
        <v>253868251.15128055</v>
      </c>
      <c r="D49">
        <f t="shared" si="4"/>
        <v>10000000</v>
      </c>
      <c r="E49">
        <f t="shared" ca="1" si="5"/>
        <v>10000000.018207172</v>
      </c>
      <c r="F49">
        <f t="shared" ca="1" si="23"/>
        <v>3673009056.9087658</v>
      </c>
      <c r="G49">
        <f t="shared" ca="1" si="1"/>
        <v>949.99696683868547</v>
      </c>
      <c r="H49">
        <f t="shared" ca="1" si="24"/>
        <v>9499969685.6836128</v>
      </c>
      <c r="I49">
        <f t="shared" ca="1" si="6"/>
        <v>791842535.80147743</v>
      </c>
      <c r="J49">
        <f t="shared" ca="1" si="34"/>
        <v>100361408681.04785</v>
      </c>
      <c r="K49">
        <f t="shared" ca="1" si="7"/>
        <v>7.1538941677360131E-5</v>
      </c>
      <c r="L49">
        <f t="shared" ca="1" si="25"/>
        <v>-18335281214.991806</v>
      </c>
      <c r="M49">
        <f t="shared" ca="1" si="26"/>
        <v>-18335281257.847691</v>
      </c>
      <c r="N49">
        <f t="shared" ca="1" si="8"/>
        <v>18335281291.231049</v>
      </c>
      <c r="O49">
        <f t="shared" ca="1" si="9"/>
        <v>-18335281181.608444</v>
      </c>
      <c r="Q49">
        <f t="shared" si="27"/>
        <v>10</v>
      </c>
      <c r="R49" s="23">
        <f t="shared" si="38"/>
        <v>14.528060434875023</v>
      </c>
      <c r="S49">
        <f t="shared" ca="1" si="28"/>
        <v>1.4479953123345581E-3</v>
      </c>
      <c r="T49" s="23">
        <f t="shared" ca="1" si="36"/>
        <v>499999.99999994761</v>
      </c>
      <c r="U49">
        <f t="shared" ca="1" si="37"/>
        <v>355298.46633108589</v>
      </c>
      <c r="V49">
        <f t="shared" ca="1" si="35"/>
        <v>350.70553087139211</v>
      </c>
      <c r="W49">
        <f t="shared" ca="1" si="29"/>
        <v>2.8536054343591667E-12</v>
      </c>
      <c r="X49">
        <f t="shared" ca="1" si="10"/>
        <v>1.0138816343418642E-6</v>
      </c>
      <c r="Y49">
        <f t="shared" ca="1" si="11"/>
        <v>1.0342623354002829E-4</v>
      </c>
      <c r="Z49">
        <f t="shared" ca="1" si="12"/>
        <v>145.19214728493159</v>
      </c>
      <c r="AA49">
        <f t="shared" ca="1" si="13"/>
        <v>487.23624350410466</v>
      </c>
      <c r="AB49" s="6">
        <f t="shared" ca="1" si="30"/>
        <v>-3.592274030827162E-9</v>
      </c>
      <c r="AC49">
        <f t="shared" ca="1" si="14"/>
        <v>72.119029468363834</v>
      </c>
      <c r="AD49">
        <f t="shared" ca="1" si="31"/>
        <v>29.263144906985207</v>
      </c>
      <c r="AE49">
        <f t="shared" ca="1" si="15"/>
        <v>0.10859507980525032</v>
      </c>
      <c r="AF49">
        <f t="shared" ca="1" si="16"/>
        <v>101.49076945515429</v>
      </c>
      <c r="AG49">
        <f t="shared" ca="1" si="3"/>
        <v>0.59184662587035575</v>
      </c>
      <c r="AI49">
        <f t="shared" ca="1" si="17"/>
        <v>8.033162221737734E-5</v>
      </c>
      <c r="AK49">
        <f t="shared" ca="1" si="32"/>
        <v>6.7766385150332925E-2</v>
      </c>
      <c r="AM49">
        <f t="shared" ca="1" si="18"/>
        <v>11620.68392632551</v>
      </c>
      <c r="AN49" s="6">
        <f t="shared" si="19"/>
        <v>1.9495613999999998E-5</v>
      </c>
      <c r="AO49" s="6">
        <f t="shared" ca="1" si="20"/>
        <v>4637646.9846094595</v>
      </c>
      <c r="AP49" s="6">
        <f t="shared" ca="1" si="21"/>
        <v>2.319802854620101E-3</v>
      </c>
    </row>
    <row r="50" spans="1:42" x14ac:dyDescent="0.25">
      <c r="A50">
        <f t="shared" si="22"/>
        <v>11</v>
      </c>
      <c r="B50">
        <f t="shared" si="0"/>
        <v>0.45681136512847798</v>
      </c>
      <c r="C50">
        <f t="shared" ca="1" si="33"/>
        <v>286752130.21912313</v>
      </c>
      <c r="D50">
        <f t="shared" si="4"/>
        <v>10000000</v>
      </c>
      <c r="E50">
        <f t="shared" ca="1" si="5"/>
        <v>10000000.016119229</v>
      </c>
      <c r="F50">
        <f t="shared" ca="1" si="23"/>
        <v>3673011409.3866725</v>
      </c>
      <c r="G50">
        <f t="shared" ca="1" si="1"/>
        <v>949.99696684062815</v>
      </c>
      <c r="H50">
        <f t="shared" ca="1" si="24"/>
        <v>9499969683.7194996</v>
      </c>
      <c r="I50">
        <f t="shared" ca="1" si="6"/>
        <v>791842535.63776445</v>
      </c>
      <c r="J50">
        <f t="shared" ca="1" si="34"/>
        <v>113361348179.36816</v>
      </c>
      <c r="K50">
        <f ca="1">-$H$22*1000*1000*$B$9/J50</f>
        <v>6.3335070353352636E-5</v>
      </c>
      <c r="L50">
        <f t="shared" ca="1" si="25"/>
        <v>-20710273636.412704</v>
      </c>
      <c r="M50">
        <f t="shared" ca="1" si="26"/>
        <v>-20710273679.268589</v>
      </c>
      <c r="N50">
        <f t="shared" ca="1" si="8"/>
        <v>20710273712.651947</v>
      </c>
      <c r="O50">
        <f t="shared" ca="1" si="9"/>
        <v>-20710273603.029343</v>
      </c>
      <c r="Q50">
        <f t="shared" si="27"/>
        <v>11</v>
      </c>
      <c r="R50" s="23">
        <f t="shared" si="38"/>
        <v>15.980866478362527</v>
      </c>
      <c r="S50">
        <f t="shared" ca="1" si="28"/>
        <v>1.5982535694766611E-3</v>
      </c>
      <c r="T50" s="23">
        <f t="shared" ca="1" si="36"/>
        <v>499999.99999994237</v>
      </c>
      <c r="U50">
        <f t="shared" ca="1" si="37"/>
        <v>355282.99204710568</v>
      </c>
      <c r="V50">
        <f t="shared" ca="1" si="35"/>
        <v>350.77874214015753</v>
      </c>
      <c r="W50">
        <f t="shared" ca="1" si="29"/>
        <v>2.8735905623879162E-12</v>
      </c>
      <c r="X50">
        <f t="shared" ca="1" si="10"/>
        <v>1.0209378529235041E-6</v>
      </c>
      <c r="Y50">
        <f t="shared" ca="1" si="11"/>
        <v>1.0414603956690035E-4</v>
      </c>
      <c r="Z50">
        <f t="shared" ca="1" si="12"/>
        <v>145.20825938602053</v>
      </c>
      <c r="AA50">
        <f t="shared" ca="1" si="13"/>
        <v>487.23427939866684</v>
      </c>
      <c r="AB50" s="6">
        <f t="shared" ca="1" si="30"/>
        <v>-3.5926397388252706E-9</v>
      </c>
      <c r="AC50">
        <f t="shared" ca="1" si="14"/>
        <v>72.108177274763676</v>
      </c>
      <c r="AD50">
        <f t="shared" ca="1" si="31"/>
        <v>29.252292713385049</v>
      </c>
      <c r="AE50">
        <f t="shared" ca="1" si="15"/>
        <v>0.11944727340540823</v>
      </c>
      <c r="AF50">
        <f t="shared" ca="1" si="16"/>
        <v>101.47991726155414</v>
      </c>
      <c r="AG50">
        <f t="shared" ca="1" si="3"/>
        <v>0.59190687824611465</v>
      </c>
      <c r="AI50">
        <f t="shared" ca="1" si="17"/>
        <v>8.0339800300812468E-5</v>
      </c>
      <c r="AK50">
        <f t="shared" ca="1" si="32"/>
        <v>6.777363204164974E-2</v>
      </c>
      <c r="AM50">
        <f t="shared" ca="1" si="18"/>
        <v>11619.501014215111</v>
      </c>
      <c r="AN50" s="6">
        <f t="shared" si="19"/>
        <v>1.9495613999999998E-5</v>
      </c>
      <c r="AO50" s="6">
        <f t="shared" ca="1" si="20"/>
        <v>4637646.9846094595</v>
      </c>
      <c r="AP50" s="6">
        <f t="shared" ca="1" si="21"/>
        <v>2.319802854620101E-3</v>
      </c>
    </row>
    <row r="51" spans="1:42" x14ac:dyDescent="0.25">
      <c r="A51">
        <f t="shared" si="22"/>
        <v>12</v>
      </c>
      <c r="B51">
        <f t="shared" si="0"/>
        <v>0.49833967104924864</v>
      </c>
      <c r="C51">
        <f t="shared" ca="1" si="33"/>
        <v>319636009.28016698</v>
      </c>
      <c r="D51">
        <f t="shared" si="4"/>
        <v>10000000</v>
      </c>
      <c r="E51">
        <f t="shared" ca="1" si="5"/>
        <v>10000000.014460895</v>
      </c>
      <c r="F51">
        <f t="shared" ca="1" si="23"/>
        <v>3673013492.0894661</v>
      </c>
      <c r="G51">
        <f t="shared" ca="1" si="1"/>
        <v>949.996966842348</v>
      </c>
      <c r="H51">
        <f t="shared" ca="1" si="24"/>
        <v>9499969682.1612873</v>
      </c>
      <c r="I51">
        <f t="shared" ca="1" si="6"/>
        <v>791842535.50788414</v>
      </c>
      <c r="J51">
        <f t="shared" ca="1" si="34"/>
        <v>126361287675.00098</v>
      </c>
      <c r="K51">
        <f t="shared" ca="1" si="7"/>
        <v>5.6819213339748292E-5</v>
      </c>
      <c r="L51">
        <f t="shared" ca="1" si="25"/>
        <v>-23085266057.342579</v>
      </c>
      <c r="M51">
        <f t="shared" ca="1" si="26"/>
        <v>-23085266100.19846</v>
      </c>
      <c r="N51">
        <f t="shared" ca="1" si="8"/>
        <v>23085266133.581818</v>
      </c>
      <c r="O51">
        <f t="shared" ca="1" si="9"/>
        <v>-23085266023.959221</v>
      </c>
      <c r="Q51">
        <f t="shared" si="27"/>
        <v>12</v>
      </c>
      <c r="R51" s="23">
        <f t="shared" si="38"/>
        <v>17.433672521850031</v>
      </c>
      <c r="S51">
        <f t="shared" ca="1" si="28"/>
        <v>1.7495575651647428E-3</v>
      </c>
      <c r="T51" s="23">
        <f t="shared" ca="1" si="36"/>
        <v>499999.99999993714</v>
      </c>
      <c r="U51">
        <f t="shared" ca="1" si="37"/>
        <v>355267.40672356763</v>
      </c>
      <c r="V51">
        <f t="shared" ca="1" si="35"/>
        <v>350.85246263346676</v>
      </c>
      <c r="W51">
        <f t="shared" ca="1" si="29"/>
        <v>2.8938476123280515E-12</v>
      </c>
      <c r="X51">
        <f t="shared" ca="1" si="10"/>
        <v>1.028089736684975E-6</v>
      </c>
      <c r="Y51">
        <f t="shared" ca="1" si="11"/>
        <v>1.0487560441462066E-4</v>
      </c>
      <c r="Z51">
        <f t="shared" ca="1" si="12"/>
        <v>145.22448710348203</v>
      </c>
      <c r="AA51">
        <f t="shared" ca="1" si="13"/>
        <v>487.23230163982618</v>
      </c>
      <c r="AB51" s="6">
        <f t="shared" ca="1" si="30"/>
        <v>-3.5930078269152721E-9</v>
      </c>
      <c r="AC51">
        <f t="shared" ca="1" si="14"/>
        <v>72.097249554151759</v>
      </c>
      <c r="AD51">
        <f t="shared" ca="1" si="31"/>
        <v>29.241364992773118</v>
      </c>
      <c r="AE51">
        <f t="shared" ca="1" si="15"/>
        <v>0.13037499401733874</v>
      </c>
      <c r="AF51">
        <f t="shared" ca="1" si="16"/>
        <v>101.46898954094222</v>
      </c>
      <c r="AG51">
        <f t="shared" ca="1" si="3"/>
        <v>0.59196752275491915</v>
      </c>
      <c r="AI51">
        <f t="shared" ca="1" si="17"/>
        <v>8.0348031608651173E-5</v>
      </c>
      <c r="AK51">
        <f t="shared" ca="1" si="32"/>
        <v>6.7780930934830383E-2</v>
      </c>
      <c r="AM51">
        <f t="shared" ca="1" si="18"/>
        <v>11618.310646662041</v>
      </c>
      <c r="AN51" s="6">
        <f t="shared" si="19"/>
        <v>1.9495613999999998E-5</v>
      </c>
      <c r="AO51" s="6">
        <f t="shared" ca="1" si="20"/>
        <v>4637646.9846094605</v>
      </c>
      <c r="AP51" s="6">
        <f t="shared" ca="1" si="21"/>
        <v>2.3198028546201001E-3</v>
      </c>
    </row>
    <row r="52" spans="1:42" x14ac:dyDescent="0.25">
      <c r="A52">
        <f t="shared" si="22"/>
        <v>13</v>
      </c>
      <c r="B52">
        <f t="shared" si="0"/>
        <v>0.53986797697001943</v>
      </c>
      <c r="C52">
        <f t="shared" ca="1" si="33"/>
        <v>352519888.33581722</v>
      </c>
      <c r="D52">
        <f t="shared" si="4"/>
        <v>10000000</v>
      </c>
      <c r="E52">
        <f t="shared" ca="1" si="5"/>
        <v>10000000.013111947</v>
      </c>
      <c r="F52">
        <f t="shared" ca="1" si="23"/>
        <v>3673015360.5256057</v>
      </c>
      <c r="G52">
        <f t="shared" ca="1" si="1"/>
        <v>949.99696684389096</v>
      </c>
      <c r="H52">
        <f t="shared" ca="1" si="24"/>
        <v>9499969680.8952198</v>
      </c>
      <c r="I52">
        <f t="shared" ca="1" si="6"/>
        <v>791842535.40235472</v>
      </c>
      <c r="J52">
        <f t="shared" ca="1" si="34"/>
        <v>139361227168.50293</v>
      </c>
      <c r="K52">
        <f t="shared" ca="1" si="7"/>
        <v>5.1518984929790311E-5</v>
      </c>
      <c r="L52">
        <f t="shared" ca="1" si="25"/>
        <v>-25460258477.8829</v>
      </c>
      <c r="M52">
        <f t="shared" ca="1" si="26"/>
        <v>-25460258520.738785</v>
      </c>
      <c r="N52">
        <f t="shared" ca="1" si="8"/>
        <v>25460258554.122143</v>
      </c>
      <c r="O52">
        <f t="shared" ca="1" si="9"/>
        <v>-25460258444.499546</v>
      </c>
      <c r="Q52">
        <f t="shared" si="27"/>
        <v>13</v>
      </c>
      <c r="R52" s="23">
        <f t="shared" si="38"/>
        <v>18.88647856533753</v>
      </c>
      <c r="S52">
        <f t="shared" ca="1" si="28"/>
        <v>1.9019214770727079E-3</v>
      </c>
      <c r="T52" s="23">
        <f t="shared" ca="1" si="36"/>
        <v>499999.9999999319</v>
      </c>
      <c r="U52">
        <f t="shared" ca="1" si="37"/>
        <v>355251.70882891712</v>
      </c>
      <c r="V52">
        <f t="shared" ca="1" si="35"/>
        <v>350.92669925295252</v>
      </c>
      <c r="W52">
        <f t="shared" ca="1" si="29"/>
        <v>2.9143820975895096E-12</v>
      </c>
      <c r="X52">
        <f t="shared" ca="1" si="10"/>
        <v>1.0353392203490771E-6</v>
      </c>
      <c r="Y52">
        <f t="shared" ca="1" si="11"/>
        <v>1.0561512544458266E-4</v>
      </c>
      <c r="Z52">
        <f t="shared" ca="1" si="12"/>
        <v>145.24083203199802</v>
      </c>
      <c r="AA52">
        <f t="shared" ca="1" si="13"/>
        <v>487.23031004259514</v>
      </c>
      <c r="AB52" s="6">
        <f t="shared" ca="1" si="30"/>
        <v>-3.5933783261309277E-9</v>
      </c>
      <c r="AC52">
        <f t="shared" ca="1" si="14"/>
        <v>72.086245282565272</v>
      </c>
      <c r="AD52">
        <f t="shared" ca="1" si="31"/>
        <v>29.230360721186639</v>
      </c>
      <c r="AE52">
        <f t="shared" ca="1" si="15"/>
        <v>0.14137926560381733</v>
      </c>
      <c r="AF52">
        <f t="shared" ca="1" si="16"/>
        <v>101.45798526935573</v>
      </c>
      <c r="AG52">
        <f t="shared" ca="1" si="3"/>
        <v>0.5920285645097495</v>
      </c>
      <c r="AI52">
        <f t="shared" ca="1" si="17"/>
        <v>8.0356316834880707E-5</v>
      </c>
      <c r="AK52">
        <f t="shared" ca="1" si="32"/>
        <v>6.7788282547129902E-2</v>
      </c>
      <c r="AM52">
        <f t="shared" ca="1" si="18"/>
        <v>11617.11272799299</v>
      </c>
      <c r="AN52" s="6">
        <f t="shared" si="19"/>
        <v>1.9495613999999998E-5</v>
      </c>
      <c r="AO52" s="6">
        <f t="shared" ca="1" si="20"/>
        <v>4637646.9846094595</v>
      </c>
      <c r="AP52" s="6">
        <f t="shared" ca="1" si="21"/>
        <v>2.319802854620101E-3</v>
      </c>
    </row>
    <row r="53" spans="1:42" x14ac:dyDescent="0.25">
      <c r="A53">
        <f t="shared" si="22"/>
        <v>14</v>
      </c>
      <c r="B53">
        <f t="shared" si="0"/>
        <v>0.58139628289079015</v>
      </c>
      <c r="C53">
        <f t="shared" ca="1" si="33"/>
        <v>385403767.3870849</v>
      </c>
      <c r="D53">
        <f t="shared" si="4"/>
        <v>10000000</v>
      </c>
      <c r="E53">
        <f t="shared" ca="1" si="5"/>
        <v>10000000.011993194</v>
      </c>
      <c r="F53">
        <f t="shared" ca="1" si="23"/>
        <v>3673017054.6696749</v>
      </c>
      <c r="G53">
        <f t="shared" ca="1" si="1"/>
        <v>949.99696684528999</v>
      </c>
      <c r="H53">
        <f t="shared" ca="1" si="24"/>
        <v>9499969679.8463974</v>
      </c>
      <c r="I53">
        <f t="shared" ca="1" si="6"/>
        <v>791842535.31493318</v>
      </c>
      <c r="J53">
        <f t="shared" ca="1" si="34"/>
        <v>152361166660.27148</v>
      </c>
      <c r="K53">
        <f t="shared" ca="1" si="7"/>
        <v>4.7123221222769239E-5</v>
      </c>
      <c r="L53">
        <f t="shared" ca="1" si="25"/>
        <v>-27835250898.106701</v>
      </c>
      <c r="M53">
        <f t="shared" ca="1" si="26"/>
        <v>-27835250940.962585</v>
      </c>
      <c r="N53">
        <f t="shared" ca="1" si="8"/>
        <v>27835250974.345943</v>
      </c>
      <c r="O53">
        <f t="shared" ca="1" si="9"/>
        <v>-27835250864.723347</v>
      </c>
      <c r="Q53">
        <f t="shared" si="27"/>
        <v>14</v>
      </c>
      <c r="R53" s="23">
        <f t="shared" si="38"/>
        <v>20.339284608825036</v>
      </c>
      <c r="S53">
        <f t="shared" ca="1" si="28"/>
        <v>2.0553597696022887E-3</v>
      </c>
      <c r="T53" s="23">
        <f t="shared" ca="1" si="36"/>
        <v>499999.99999992666</v>
      </c>
      <c r="U53">
        <f t="shared" ca="1" si="37"/>
        <v>355235.89680024557</v>
      </c>
      <c r="V53">
        <f t="shared" ca="1" si="35"/>
        <v>351.0014590397941</v>
      </c>
      <c r="W53">
        <f t="shared" ca="1" si="29"/>
        <v>2.9351996805673723E-12</v>
      </c>
      <c r="X53">
        <f t="shared" ca="1" si="10"/>
        <v>1.0426882908141448E-6</v>
      </c>
      <c r="Y53">
        <f t="shared" ca="1" si="11"/>
        <v>1.0636480534061471E-4</v>
      </c>
      <c r="Z53">
        <f t="shared" ca="1" si="12"/>
        <v>145.25729579889705</v>
      </c>
      <c r="AA53">
        <f t="shared" ca="1" si="13"/>
        <v>487.22830441824686</v>
      </c>
      <c r="AB53" s="6">
        <f t="shared" ca="1" si="30"/>
        <v>-3.5937512681160974E-9</v>
      </c>
      <c r="AC53">
        <f t="shared" ca="1" si="14"/>
        <v>72.075163415332952</v>
      </c>
      <c r="AD53">
        <f t="shared" ca="1" si="31"/>
        <v>29.219278853954318</v>
      </c>
      <c r="AE53">
        <f t="shared" ca="1" si="15"/>
        <v>0.15246113283613794</v>
      </c>
      <c r="AF53">
        <f t="shared" ca="1" si="16"/>
        <v>101.44690340212341</v>
      </c>
      <c r="AG53">
        <f t="shared" ca="1" si="3"/>
        <v>0.59209000872410333</v>
      </c>
      <c r="AI53">
        <f t="shared" ca="1" si="17"/>
        <v>8.0364656687131544E-5</v>
      </c>
      <c r="AK53">
        <f t="shared" ca="1" si="32"/>
        <v>6.7795687610487196E-2</v>
      </c>
      <c r="AM53">
        <f t="shared" ca="1" si="18"/>
        <v>11615.90716067364</v>
      </c>
      <c r="AN53" s="6">
        <f t="shared" si="19"/>
        <v>1.9495613999999998E-5</v>
      </c>
      <c r="AO53" s="6">
        <f t="shared" ca="1" si="20"/>
        <v>4637646.9846094595</v>
      </c>
      <c r="AP53" s="6">
        <f t="shared" ca="1" si="21"/>
        <v>2.319802854620101E-3</v>
      </c>
    </row>
    <row r="54" spans="1:42" x14ac:dyDescent="0.25">
      <c r="A54">
        <f t="shared" si="22"/>
        <v>15</v>
      </c>
      <c r="B54">
        <f t="shared" si="0"/>
        <v>0.62292458881156088</v>
      </c>
      <c r="C54">
        <f t="shared" ca="1" si="33"/>
        <v>418287646.43472213</v>
      </c>
      <c r="D54">
        <f t="shared" si="4"/>
        <v>10000000</v>
      </c>
      <c r="E54">
        <f t="shared" ca="1" si="5"/>
        <v>10000000.011050345</v>
      </c>
      <c r="F54">
        <f t="shared" ca="1" si="23"/>
        <v>3673018604.2639818</v>
      </c>
      <c r="G54">
        <f t="shared" ca="1" si="1"/>
        <v>949.99696684656965</v>
      </c>
      <c r="H54">
        <f t="shared" ca="1" si="24"/>
        <v>9499969678.9634914</v>
      </c>
      <c r="I54">
        <f t="shared" ca="1" si="6"/>
        <v>791842535.24134111</v>
      </c>
      <c r="J54">
        <f t="shared" ca="1" si="34"/>
        <v>165361106150.60449</v>
      </c>
      <c r="K54">
        <f t="shared" ca="1" si="7"/>
        <v>4.341860749136589E-5</v>
      </c>
      <c r="L54">
        <f t="shared" ca="1" si="25"/>
        <v>-30210243318.068298</v>
      </c>
      <c r="M54">
        <f t="shared" ca="1" si="26"/>
        <v>-30210243360.924183</v>
      </c>
      <c r="N54">
        <f t="shared" ca="1" si="8"/>
        <v>30210243394.307541</v>
      </c>
      <c r="O54">
        <f t="shared" ca="1" si="9"/>
        <v>-30210243284.684937</v>
      </c>
      <c r="Q54">
        <f t="shared" si="27"/>
        <v>15</v>
      </c>
      <c r="R54" s="23">
        <f t="shared" si="38"/>
        <v>21.792090652312535</v>
      </c>
      <c r="S54">
        <f t="shared" ca="1" si="28"/>
        <v>2.2098872016155053E-3</v>
      </c>
      <c r="T54" s="23">
        <f t="shared" ca="1" si="36"/>
        <v>499999.99999992142</v>
      </c>
      <c r="U54">
        <f t="shared" ca="1" si="37"/>
        <v>355219.96904243593</v>
      </c>
      <c r="V54">
        <f t="shared" ca="1" si="35"/>
        <v>351.07674917847999</v>
      </c>
      <c r="W54">
        <f t="shared" ca="1" si="29"/>
        <v>2.9563061776849804E-12</v>
      </c>
      <c r="X54">
        <f t="shared" ca="1" si="10"/>
        <v>1.0501389889172207E-6</v>
      </c>
      <c r="Y54">
        <f t="shared" ca="1" si="11"/>
        <v>1.0712485228884174E-4</v>
      </c>
      <c r="Z54">
        <f t="shared" ca="1" si="12"/>
        <v>145.2738800650433</v>
      </c>
      <c r="AA54">
        <f t="shared" ca="1" si="13"/>
        <v>487.22628457421416</v>
      </c>
      <c r="AB54" s="6">
        <f t="shared" ca="1" si="30"/>
        <v>-3.5941266851408241E-9</v>
      </c>
      <c r="AC54">
        <f t="shared" ca="1" si="14"/>
        <v>72.064002886516505</v>
      </c>
      <c r="AD54">
        <f t="shared" ca="1" si="31"/>
        <v>29.208118325137878</v>
      </c>
      <c r="AE54">
        <f t="shared" ca="1" si="15"/>
        <v>0.16362166165257908</v>
      </c>
      <c r="AF54">
        <f t="shared" ca="1" si="16"/>
        <v>101.43574287330696</v>
      </c>
      <c r="AG54">
        <f t="shared" ca="1" si="3"/>
        <v>0.59215186071464543</v>
      </c>
      <c r="AI54">
        <f t="shared" ca="1" si="17"/>
        <v>8.0373051887037118E-5</v>
      </c>
      <c r="AK54">
        <f t="shared" ca="1" si="32"/>
        <v>6.7803146871924777E-2</v>
      </c>
      <c r="AM54">
        <f t="shared" ca="1" si="18"/>
        <v>11614.693845259966</v>
      </c>
      <c r="AN54" s="6">
        <f t="shared" si="19"/>
        <v>1.9495613999999998E-5</v>
      </c>
      <c r="AO54" s="6">
        <f t="shared" ca="1" si="20"/>
        <v>4637646.9846094595</v>
      </c>
      <c r="AP54" s="6">
        <f t="shared" ca="1" si="21"/>
        <v>2.319802854620101E-3</v>
      </c>
    </row>
    <row r="55" spans="1:42" x14ac:dyDescent="0.25">
      <c r="A55">
        <f t="shared" si="22"/>
        <v>16</v>
      </c>
      <c r="B55">
        <f t="shared" si="0"/>
        <v>0.6644528947323316</v>
      </c>
      <c r="C55">
        <f t="shared" ca="1" si="33"/>
        <v>451171525.47930324</v>
      </c>
      <c r="D55">
        <f t="shared" si="4"/>
        <v>10000000</v>
      </c>
      <c r="E55">
        <f t="shared" ca="1" si="5"/>
        <v>10000000.010244934</v>
      </c>
      <c r="F55">
        <f t="shared" ca="1" si="23"/>
        <v>3673020032.0362186</v>
      </c>
      <c r="G55">
        <f t="shared" ca="1" si="1"/>
        <v>949.99696684774869</v>
      </c>
      <c r="H55">
        <f t="shared" ca="1" si="24"/>
        <v>9499969678.2101421</v>
      </c>
      <c r="I55">
        <f t="shared" ca="1" si="6"/>
        <v>791842535.17854786</v>
      </c>
      <c r="J55">
        <f t="shared" ca="1" si="34"/>
        <v>178361045639.72852</v>
      </c>
      <c r="K55">
        <f t="shared" ca="1" si="7"/>
        <v>4.0254019236877327E-5</v>
      </c>
      <c r="L55">
        <f t="shared" ca="1" si="25"/>
        <v>-32585235737.80917</v>
      </c>
      <c r="M55">
        <f t="shared" ca="1" si="26"/>
        <v>-32585235780.665051</v>
      </c>
      <c r="N55">
        <f t="shared" ca="1" si="8"/>
        <v>32585235814.048409</v>
      </c>
      <c r="O55">
        <f t="shared" ca="1" si="9"/>
        <v>-32585235704.425812</v>
      </c>
      <c r="Q55">
        <f t="shared" si="27"/>
        <v>16</v>
      </c>
      <c r="R55" s="23">
        <f t="shared" si="38"/>
        <v>23.24489669580004</v>
      </c>
      <c r="S55">
        <f t="shared" ca="1" si="28"/>
        <v>2.3655188344284409E-3</v>
      </c>
      <c r="T55" s="23">
        <f t="shared" ca="1" si="36"/>
        <v>499999.99999991618</v>
      </c>
      <c r="U55">
        <f t="shared" ca="1" si="37"/>
        <v>355203.9239272807</v>
      </c>
      <c r="V55">
        <f t="shared" ca="1" si="35"/>
        <v>351.15257700069765</v>
      </c>
      <c r="W55">
        <f t="shared" ca="1" si="29"/>
        <v>2.9777075646430194E-12</v>
      </c>
      <c r="X55">
        <f t="shared" ca="1" si="10"/>
        <v>1.0576934112691474E-6</v>
      </c>
      <c r="Y55">
        <f t="shared" ca="1" si="11"/>
        <v>1.0789548016488326E-4</v>
      </c>
      <c r="Z55">
        <f t="shared" ca="1" si="12"/>
        <v>145.29058652575569</v>
      </c>
      <c r="AA55">
        <f t="shared" ca="1" si="13"/>
        <v>487.22425031398558</v>
      </c>
      <c r="AB55" s="6">
        <f t="shared" ca="1" si="30"/>
        <v>-3.5945046101179527E-9</v>
      </c>
      <c r="AC55">
        <f t="shared" ca="1" si="14"/>
        <v>72.052762608333339</v>
      </c>
      <c r="AD55">
        <f t="shared" ca="1" si="31"/>
        <v>29.196878046954712</v>
      </c>
      <c r="AE55">
        <f t="shared" ca="1" si="15"/>
        <v>0.1748619398357433</v>
      </c>
      <c r="AF55">
        <f t="shared" ca="1" si="16"/>
        <v>101.42450259512378</v>
      </c>
      <c r="AG55">
        <f t="shared" ca="1" si="3"/>
        <v>0.59221412590394507</v>
      </c>
      <c r="AI55">
        <f t="shared" ca="1" si="17"/>
        <v>8.0381503170605308E-5</v>
      </c>
      <c r="AK55">
        <f t="shared" ca="1" si="32"/>
        <v>6.7810661093962207E-2</v>
      </c>
      <c r="AM55">
        <f t="shared" ca="1" si="18"/>
        <v>11613.472680347986</v>
      </c>
      <c r="AN55" s="6">
        <f t="shared" si="19"/>
        <v>1.9495613999999998E-5</v>
      </c>
      <c r="AO55" s="6">
        <f t="shared" ca="1" si="20"/>
        <v>4637646.9846094595</v>
      </c>
      <c r="AP55" s="6">
        <f t="shared" ca="1" si="21"/>
        <v>2.319802854620101E-3</v>
      </c>
    </row>
    <row r="56" spans="1:42" x14ac:dyDescent="0.25">
      <c r="A56">
        <f t="shared" si="22"/>
        <v>17</v>
      </c>
      <c r="B56">
        <f t="shared" si="0"/>
        <v>0.70598120065310221</v>
      </c>
      <c r="C56">
        <f t="shared" ca="1" si="33"/>
        <v>484055404.52127653</v>
      </c>
      <c r="D56">
        <f t="shared" si="4"/>
        <v>10000000</v>
      </c>
      <c r="E56">
        <f t="shared" ca="1" si="5"/>
        <v>10000000.009548951</v>
      </c>
      <c r="F56">
        <f t="shared" ca="1" si="23"/>
        <v>3673021355.7445183</v>
      </c>
      <c r="G56">
        <f t="shared" ca="1" si="1"/>
        <v>949.99696684884179</v>
      </c>
      <c r="H56">
        <f t="shared" ca="1" si="24"/>
        <v>9499969677.5598927</v>
      </c>
      <c r="I56">
        <f t="shared" ca="1" si="6"/>
        <v>791842535.12434816</v>
      </c>
      <c r="J56">
        <f t="shared" ca="1" si="34"/>
        <v>191360985127.82227</v>
      </c>
      <c r="K56">
        <f t="shared" ca="1" si="7"/>
        <v>3.7519397997953304E-5</v>
      </c>
      <c r="L56">
        <f t="shared" ca="1" si="25"/>
        <v>-34960228157.361694</v>
      </c>
      <c r="M56">
        <f t="shared" ca="1" si="26"/>
        <v>-34960228200.217583</v>
      </c>
      <c r="N56">
        <f t="shared" ca="1" si="8"/>
        <v>34960228233.600937</v>
      </c>
      <c r="O56">
        <f t="shared" ca="1" si="9"/>
        <v>-34960228123.978348</v>
      </c>
      <c r="Q56">
        <f t="shared" si="27"/>
        <v>17</v>
      </c>
      <c r="R56" s="23">
        <f t="shared" si="38"/>
        <v>24.697702739287543</v>
      </c>
      <c r="S56">
        <f t="shared" ca="1" si="28"/>
        <v>2.5222700400769692E-3</v>
      </c>
      <c r="T56" s="23">
        <f t="shared" ca="1" si="36"/>
        <v>499999.99999991094</v>
      </c>
      <c r="U56">
        <f t="shared" ca="1" si="37"/>
        <v>355187.7597925681</v>
      </c>
      <c r="V56">
        <f t="shared" ca="1" si="35"/>
        <v>351.22894998935556</v>
      </c>
      <c r="W56">
        <f t="shared" ca="1" si="29"/>
        <v>2.9994099818835507E-12</v>
      </c>
      <c r="X56">
        <f t="shared" ca="1" si="10"/>
        <v>1.0653537121646857E-6</v>
      </c>
      <c r="Y56">
        <f t="shared" ca="1" si="11"/>
        <v>1.0867690872870482E-4</v>
      </c>
      <c r="Z56">
        <f t="shared" ca="1" si="12"/>
        <v>145.30741691175859</v>
      </c>
      <c r="AA56">
        <f t="shared" ca="1" si="13"/>
        <v>487.2222014369969</v>
      </c>
      <c r="AB56" s="6">
        <f t="shared" ca="1" si="30"/>
        <v>-3.594885076620304E-9</v>
      </c>
      <c r="AC56">
        <f t="shared" ca="1" si="14"/>
        <v>72.041441470559548</v>
      </c>
      <c r="AD56">
        <f t="shared" ca="1" si="31"/>
        <v>29.185556909180921</v>
      </c>
      <c r="AE56">
        <f t="shared" ca="1" si="15"/>
        <v>0.18618307760953781</v>
      </c>
      <c r="AF56">
        <f t="shared" ca="1" si="16"/>
        <v>101.41318145735001</v>
      </c>
      <c r="AG56">
        <f t="shared" ca="1" si="3"/>
        <v>0.59227680982330666</v>
      </c>
      <c r="AI56">
        <f t="shared" ca="1" si="17"/>
        <v>8.0390011288602697E-5</v>
      </c>
      <c r="AK56">
        <f t="shared" ca="1" si="32"/>
        <v>6.7818231055043643E-2</v>
      </c>
      <c r="AM56">
        <f t="shared" ca="1" si="18"/>
        <v>11612.24356252178</v>
      </c>
      <c r="AN56" s="6">
        <f t="shared" si="19"/>
        <v>1.9495613999999998E-5</v>
      </c>
      <c r="AO56" s="6">
        <f t="shared" ca="1" si="20"/>
        <v>4637646.9846094595</v>
      </c>
      <c r="AP56" s="6">
        <f t="shared" ca="1" si="21"/>
        <v>2.319802854620101E-3</v>
      </c>
    </row>
    <row r="57" spans="1:42" x14ac:dyDescent="0.25">
      <c r="A57">
        <f t="shared" si="22"/>
        <v>18</v>
      </c>
      <c r="B57">
        <f t="shared" si="0"/>
        <v>0.74750950657387305</v>
      </c>
      <c r="C57">
        <f t="shared" ca="1" si="33"/>
        <v>516939283.56099921</v>
      </c>
      <c r="D57">
        <f t="shared" si="4"/>
        <v>10000000</v>
      </c>
      <c r="E57">
        <f t="shared" ca="1" si="5"/>
        <v>10000000.00894152</v>
      </c>
      <c r="F57">
        <f t="shared" ca="1" si="23"/>
        <v>3673022589.5278635</v>
      </c>
      <c r="G57">
        <f t="shared" ca="1" si="1"/>
        <v>949.99696684986066</v>
      </c>
      <c r="H57">
        <f t="shared" ca="1" si="24"/>
        <v>9499969676.9930229</v>
      </c>
      <c r="I57">
        <f t="shared" ca="1" si="6"/>
        <v>791842535.07709837</v>
      </c>
      <c r="J57">
        <f t="shared" ca="1" si="34"/>
        <v>204360924615.02734</v>
      </c>
      <c r="K57">
        <f t="shared" ca="1" si="7"/>
        <v>3.5132689753759488E-5</v>
      </c>
      <c r="L57">
        <f t="shared" ca="1" si="25"/>
        <v>-37335220576.751671</v>
      </c>
      <c r="M57">
        <f t="shared" ca="1" si="26"/>
        <v>-37335220619.607559</v>
      </c>
      <c r="N57">
        <f t="shared" ca="1" si="8"/>
        <v>37335220652.990913</v>
      </c>
      <c r="O57">
        <f t="shared" ca="1" si="9"/>
        <v>-37335220543.368309</v>
      </c>
      <c r="Q57">
        <f t="shared" si="27"/>
        <v>18</v>
      </c>
      <c r="R57" s="23">
        <f>$R$33*Q57/$R$36</f>
        <v>26.150508782775045</v>
      </c>
      <c r="S57">
        <f t="shared" ca="1" si="28"/>
        <v>2.6801565098655711E-3</v>
      </c>
      <c r="T57" s="23">
        <f t="shared" ca="1" si="36"/>
        <v>499999.9999999057</v>
      </c>
      <c r="U57">
        <f t="shared" ca="1" si="37"/>
        <v>355171.47494113853</v>
      </c>
      <c r="V57">
        <f t="shared" ca="1" si="35"/>
        <v>351.3058757827431</v>
      </c>
      <c r="W57">
        <f t="shared" ca="1" si="29"/>
        <v>3.0214197402802624E-12</v>
      </c>
      <c r="X57">
        <f t="shared" ca="1" si="10"/>
        <v>1.0731221055716125E-6</v>
      </c>
      <c r="Y57">
        <f t="shared" ca="1" si="11"/>
        <v>1.0946936382752628E-4</v>
      </c>
      <c r="Z57">
        <f t="shared" ca="1" si="12"/>
        <v>145.32437299016533</v>
      </c>
      <c r="AA57">
        <f t="shared" ca="1" si="13"/>
        <v>487.22013773852063</v>
      </c>
      <c r="AB57" s="6">
        <f t="shared" ca="1" si="30"/>
        <v>-3.5952681188984184E-9</v>
      </c>
      <c r="AC57">
        <f t="shared" ca="1" si="14"/>
        <v>72.030038339912494</v>
      </c>
      <c r="AD57">
        <f t="shared" ca="1" si="31"/>
        <v>29.174153778533856</v>
      </c>
      <c r="AE57">
        <f t="shared" ca="1" si="15"/>
        <v>0.19758620825660084</v>
      </c>
      <c r="AF57">
        <f t="shared" ca="1" si="16"/>
        <v>101.40177832670294</v>
      </c>
      <c r="AG57">
        <f t="shared" ca="1" si="3"/>
        <v>0.59233991811569264</v>
      </c>
      <c r="AI57">
        <f t="shared" ca="1" si="17"/>
        <v>8.0398577006951237E-5</v>
      </c>
      <c r="AK57">
        <f t="shared" ca="1" si="32"/>
        <v>6.7825857549980273E-2</v>
      </c>
      <c r="AM57">
        <f t="shared" ca="1" si="18"/>
        <v>11611.00638629984</v>
      </c>
      <c r="AN57" s="6">
        <f t="shared" si="19"/>
        <v>1.9495613999999998E-5</v>
      </c>
      <c r="AO57" s="6">
        <f t="shared" ca="1" si="20"/>
        <v>4637646.9846094614</v>
      </c>
      <c r="AP57" s="6">
        <f t="shared" ca="1" si="21"/>
        <v>2.3198028546201001E-3</v>
      </c>
    </row>
    <row r="58" spans="1:42" x14ac:dyDescent="0.25">
      <c r="A58">
        <f t="shared" si="22"/>
        <v>19</v>
      </c>
      <c r="B58">
        <f t="shared" si="0"/>
        <v>0.78903781249464378</v>
      </c>
      <c r="C58">
        <f t="shared" ca="1" si="33"/>
        <v>549823162.59875953</v>
      </c>
      <c r="D58">
        <f t="shared" si="4"/>
        <v>10000000</v>
      </c>
      <c r="E58">
        <f t="shared" ca="1" si="5"/>
        <v>10000000.00840674</v>
      </c>
      <c r="F58">
        <f t="shared" ca="1" si="23"/>
        <v>3673023744.8269835</v>
      </c>
      <c r="G58">
        <f t="shared" ca="1" si="1"/>
        <v>949.9969668508146</v>
      </c>
      <c r="H58">
        <f t="shared" ca="1" si="24"/>
        <v>9499969676.494524</v>
      </c>
      <c r="I58">
        <f t="shared" ca="1" si="6"/>
        <v>791842535.03554738</v>
      </c>
      <c r="J58">
        <f t="shared" ca="1" si="34"/>
        <v>217360864101.45508</v>
      </c>
      <c r="K58">
        <f t="shared" ca="1" si="7"/>
        <v>3.30314704625943E-5</v>
      </c>
      <c r="L58">
        <f t="shared" ca="1" si="25"/>
        <v>-39710212995.999924</v>
      </c>
      <c r="M58">
        <f t="shared" ca="1" si="26"/>
        <v>-39710213038.855812</v>
      </c>
      <c r="N58">
        <f t="shared" ca="1" si="8"/>
        <v>39710213072.239166</v>
      </c>
      <c r="O58">
        <f t="shared" ca="1" si="9"/>
        <v>-39710212962.616577</v>
      </c>
      <c r="Q58">
        <f t="shared" si="27"/>
        <v>19</v>
      </c>
      <c r="R58" s="23">
        <f t="shared" si="38"/>
        <v>27.603314826262544</v>
      </c>
      <c r="S58">
        <f t="shared" ca="1" si="28"/>
        <v>2.8391942632109333E-3</v>
      </c>
      <c r="T58" s="23">
        <f t="shared" ca="1" si="36"/>
        <v>499999.99999990046</v>
      </c>
      <c r="U58">
        <f t="shared" ca="1" si="37"/>
        <v>355155.06763990584</v>
      </c>
      <c r="V58">
        <f t="shared" ca="1" si="35"/>
        <v>351.38336217883364</v>
      </c>
      <c r="W58">
        <f t="shared" ca="1" si="29"/>
        <v>3.0437433270650508E-12</v>
      </c>
      <c r="X58">
        <f t="shared" ca="1" si="10"/>
        <v>1.0810008672023002E-6</v>
      </c>
      <c r="Y58">
        <f t="shared" ca="1" si="11"/>
        <v>1.1027307760714385E-4</v>
      </c>
      <c r="Z58">
        <f t="shared" ca="1" si="12"/>
        <v>145.34145656549575</v>
      </c>
      <c r="AA58">
        <f t="shared" ca="1" si="13"/>
        <v>487.21805900955007</v>
      </c>
      <c r="AB58" s="6">
        <f t="shared" ca="1" si="30"/>
        <v>-3.5956537718989219E-9</v>
      </c>
      <c r="AC58">
        <f t="shared" ca="1" si="14"/>
        <v>72.018552059412073</v>
      </c>
      <c r="AD58">
        <f t="shared" ca="1" si="31"/>
        <v>29.162667498033439</v>
      </c>
      <c r="AE58">
        <f t="shared" ca="1" si="15"/>
        <v>0.20907248875701814</v>
      </c>
      <c r="AF58">
        <f t="shared" ca="1" si="16"/>
        <v>101.39029204620253</v>
      </c>
      <c r="AG58">
        <f t="shared" ca="1" si="3"/>
        <v>0.59240345653874871</v>
      </c>
      <c r="AI58">
        <f t="shared" ca="1" si="17"/>
        <v>8.0407201107138881E-5</v>
      </c>
      <c r="AK58">
        <f t="shared" ca="1" si="32"/>
        <v>6.7833541390407953E-2</v>
      </c>
      <c r="AM58">
        <f t="shared" ca="1" si="18"/>
        <v>11609.761044079538</v>
      </c>
      <c r="AN58" s="6">
        <f t="shared" si="19"/>
        <v>1.9495613999999998E-5</v>
      </c>
      <c r="AO58" s="6">
        <f t="shared" ca="1" si="20"/>
        <v>4637646.9846094595</v>
      </c>
      <c r="AP58" s="6">
        <f t="shared" ca="1" si="21"/>
        <v>2.319802854620101E-3</v>
      </c>
    </row>
    <row r="59" spans="1:42" x14ac:dyDescent="0.25">
      <c r="A59">
        <f t="shared" si="22"/>
        <v>20</v>
      </c>
      <c r="B59">
        <f t="shared" si="0"/>
        <v>0.8305661184154145</v>
      </c>
      <c r="C59">
        <f t="shared" ca="1" si="33"/>
        <v>582707041.63479435</v>
      </c>
      <c r="D59">
        <f t="shared" si="4"/>
        <v>10000000</v>
      </c>
      <c r="E59">
        <f t="shared" ca="1" si="5"/>
        <v>10000000.007932324</v>
      </c>
      <c r="F59">
        <f t="shared" ca="1" si="23"/>
        <v>3673024831.0298624</v>
      </c>
      <c r="G59">
        <f t="shared" ca="1" si="1"/>
        <v>949.9969668517117</v>
      </c>
      <c r="H59">
        <f t="shared" ca="1" si="24"/>
        <v>9499969676.0528011</v>
      </c>
      <c r="I59">
        <f t="shared" ca="1" si="6"/>
        <v>791842534.99872899</v>
      </c>
      <c r="J59">
        <f t="shared" ca="1" si="34"/>
        <v>230360803587.20117</v>
      </c>
      <c r="K59">
        <f t="shared" ca="1" si="7"/>
        <v>3.1167407173822228E-5</v>
      </c>
      <c r="L59">
        <f t="shared" ca="1" si="25"/>
        <v>-42085205415.12355</v>
      </c>
      <c r="M59">
        <f t="shared" ca="1" si="26"/>
        <v>-42085205457.979439</v>
      </c>
      <c r="N59">
        <f t="shared" ca="1" si="8"/>
        <v>42085205491.362793</v>
      </c>
      <c r="O59">
        <f t="shared" ca="1" si="9"/>
        <v>-42085205381.740204</v>
      </c>
      <c r="Q59">
        <f t="shared" si="27"/>
        <v>20</v>
      </c>
      <c r="R59" s="23">
        <f t="shared" si="38"/>
        <v>29.056120869750046</v>
      </c>
      <c r="S59">
        <f t="shared" ca="1" si="28"/>
        <v>2.9993996567925581E-3</v>
      </c>
      <c r="T59" s="23">
        <f t="shared" ca="1" si="36"/>
        <v>499999.99999989523</v>
      </c>
      <c r="U59">
        <f t="shared" ca="1" si="37"/>
        <v>355138.53611884714</v>
      </c>
      <c r="V59">
        <f t="shared" ca="1" si="35"/>
        <v>351.46141713973736</v>
      </c>
      <c r="W59">
        <f t="shared" ca="1" si="29"/>
        <v>3.0663874120031314E-12</v>
      </c>
      <c r="X59">
        <f t="shared" ca="1" si="10"/>
        <v>1.0889923366720523E-6</v>
      </c>
      <c r="Y59">
        <f t="shared" ca="1" si="11"/>
        <v>1.110882887321023E-4</v>
      </c>
      <c r="Z59">
        <f t="shared" ca="1" si="12"/>
        <v>145.35866948072953</v>
      </c>
      <c r="AA59">
        <f t="shared" ca="1" si="13"/>
        <v>487.21596503668064</v>
      </c>
      <c r="AB59" s="6">
        <f t="shared" ca="1" si="30"/>
        <v>-3.596042071283481E-9</v>
      </c>
      <c r="AC59">
        <f t="shared" ca="1" si="14"/>
        <v>72.006981447719866</v>
      </c>
      <c r="AD59">
        <f t="shared" ca="1" si="31"/>
        <v>29.151096886341243</v>
      </c>
      <c r="AE59">
        <f t="shared" ca="1" si="15"/>
        <v>0.22064310044921331</v>
      </c>
      <c r="AF59">
        <f t="shared" ca="1" si="16"/>
        <v>101.37872143451033</v>
      </c>
      <c r="AG59">
        <f t="shared" ca="1" si="3"/>
        <v>0.59246743096792864</v>
      </c>
      <c r="AI59">
        <f t="shared" ca="1" si="17"/>
        <v>8.041588438664376E-5</v>
      </c>
      <c r="AK59">
        <f t="shared" ca="1" si="32"/>
        <v>6.7841283405261049E-2</v>
      </c>
      <c r="AM59">
        <f t="shared" ca="1" si="18"/>
        <v>11608.507426079812</v>
      </c>
      <c r="AN59" s="6">
        <f t="shared" si="19"/>
        <v>1.9495613999999998E-5</v>
      </c>
      <c r="AO59" s="6">
        <f t="shared" ca="1" si="20"/>
        <v>4637646.9846094586</v>
      </c>
      <c r="AP59" s="6">
        <f t="shared" ca="1" si="21"/>
        <v>2.319802854620101E-3</v>
      </c>
    </row>
    <row r="60" spans="1:42" x14ac:dyDescent="0.25">
      <c r="A60">
        <f t="shared" si="22"/>
        <v>21</v>
      </c>
      <c r="B60">
        <f t="shared" si="0"/>
        <v>0.87209442433618523</v>
      </c>
      <c r="C60">
        <f t="shared" ca="1" si="33"/>
        <v>615590920.6693002</v>
      </c>
      <c r="D60">
        <f t="shared" si="4"/>
        <v>10000000</v>
      </c>
      <c r="E60">
        <f t="shared" ca="1" si="5"/>
        <v>10000000.007508591</v>
      </c>
      <c r="F60">
        <f t="shared" ca="1" si="23"/>
        <v>3673025855.9351096</v>
      </c>
      <c r="G60">
        <f t="shared" ca="1" si="1"/>
        <v>949.99696685255799</v>
      </c>
      <c r="H60">
        <f t="shared" ca="1" si="24"/>
        <v>9499969675.6587181</v>
      </c>
      <c r="I60">
        <f t="shared" ca="1" si="6"/>
        <v>791842534.96588135</v>
      </c>
      <c r="J60">
        <f t="shared" ca="1" si="34"/>
        <v>243360743072.34375</v>
      </c>
      <c r="K60">
        <f t="shared" ca="1" si="7"/>
        <v>2.9502494410763963E-5</v>
      </c>
      <c r="L60">
        <f t="shared" ca="1" si="25"/>
        <v>-44460197834.136749</v>
      </c>
      <c r="M60">
        <f t="shared" ca="1" si="26"/>
        <v>-44460197876.992638</v>
      </c>
      <c r="N60">
        <f t="shared" ca="1" si="8"/>
        <v>44460197910.375992</v>
      </c>
      <c r="O60">
        <f t="shared" ca="1" si="9"/>
        <v>-44460197800.753403</v>
      </c>
      <c r="Q60">
        <f t="shared" si="27"/>
        <v>21</v>
      </c>
      <c r="R60" s="23">
        <f t="shared" si="38"/>
        <v>30.508926913237552</v>
      </c>
      <c r="S60">
        <f t="shared" ca="1" si="28"/>
        <v>3.1607893940232413E-3</v>
      </c>
      <c r="T60" s="23">
        <f t="shared" ca="1" si="36"/>
        <v>499999.99999988999</v>
      </c>
      <c r="U60">
        <f t="shared" ca="1" si="37"/>
        <v>355121.8785699546</v>
      </c>
      <c r="V60">
        <f t="shared" ca="1" si="35"/>
        <v>351.54004879630924</v>
      </c>
      <c r="W60">
        <f t="shared" ca="1" si="29"/>
        <v>3.0893588538283088E-12</v>
      </c>
      <c r="X60">
        <f t="shared" ca="1" si="10"/>
        <v>1.0970989197482308E-6</v>
      </c>
      <c r="Y60">
        <f t="shared" ca="1" si="11"/>
        <v>1.1191524261512904E-4</v>
      </c>
      <c r="Z60">
        <f t="shared" ca="1" si="12"/>
        <v>145.3760136183968</v>
      </c>
      <c r="AA60">
        <f t="shared" ca="1" si="13"/>
        <v>487.21385560198519</v>
      </c>
      <c r="AB60" s="6">
        <f t="shared" ca="1" si="30"/>
        <v>-3.596433053448458E-9</v>
      </c>
      <c r="AC60">
        <f t="shared" ca="1" si="14"/>
        <v>71.995325298455143</v>
      </c>
      <c r="AD60">
        <f t="shared" ca="1" si="31"/>
        <v>29.139440737076516</v>
      </c>
      <c r="AE60">
        <f t="shared" ca="1" si="15"/>
        <v>0.23229924971393964</v>
      </c>
      <c r="AF60">
        <f t="shared" ca="1" si="16"/>
        <v>101.3670652852456</v>
      </c>
      <c r="AG60">
        <f t="shared" ca="1" si="3"/>
        <v>0.59253184739972919</v>
      </c>
      <c r="AI60">
        <f t="shared" ca="1" si="17"/>
        <v>8.0424627659373221E-5</v>
      </c>
      <c r="AK60">
        <f t="shared" ca="1" si="32"/>
        <v>6.7849084441262822E-2</v>
      </c>
      <c r="AM60">
        <f t="shared" ca="1" si="18"/>
        <v>11607.245420281815</v>
      </c>
      <c r="AN60" s="6">
        <f t="shared" si="19"/>
        <v>1.9495613999999998E-5</v>
      </c>
      <c r="AO60" s="6">
        <f t="shared" ca="1" si="20"/>
        <v>4637646.9846094595</v>
      </c>
      <c r="AP60" s="6">
        <f t="shared" ca="1" si="21"/>
        <v>2.319802854620101E-3</v>
      </c>
    </row>
    <row r="61" spans="1:42" x14ac:dyDescent="0.25">
      <c r="A61">
        <f t="shared" si="22"/>
        <v>22</v>
      </c>
      <c r="B61">
        <f t="shared" si="0"/>
        <v>0.91362273025695595</v>
      </c>
      <c r="C61">
        <f t="shared" ca="1" si="33"/>
        <v>648474799.70244193</v>
      </c>
      <c r="D61">
        <f t="shared" si="4"/>
        <v>10000000</v>
      </c>
      <c r="E61">
        <f t="shared" ca="1" si="5"/>
        <v>10000000.007127838</v>
      </c>
      <c r="F61">
        <f t="shared" ca="1" si="23"/>
        <v>3673026826.091567</v>
      </c>
      <c r="G61">
        <f t="shared" ca="1" si="1"/>
        <v>949.99696685335914</v>
      </c>
      <c r="H61">
        <f t="shared" ca="1" si="24"/>
        <v>9499969675.3050156</v>
      </c>
      <c r="I61">
        <f t="shared" ca="1" si="6"/>
        <v>791842534.93639946</v>
      </c>
      <c r="J61">
        <f t="shared" ca="1" si="34"/>
        <v>256360682556.94531</v>
      </c>
      <c r="K61">
        <f t="shared" ca="1" si="7"/>
        <v>2.8006435661975394E-5</v>
      </c>
      <c r="L61">
        <f t="shared" ca="1" si="25"/>
        <v>-46835190253.05143</v>
      </c>
      <c r="M61">
        <f t="shared" ca="1" si="26"/>
        <v>-46835190295.907318</v>
      </c>
      <c r="N61">
        <f t="shared" ca="1" si="8"/>
        <v>46835190329.290672</v>
      </c>
      <c r="O61">
        <f t="shared" ca="1" si="9"/>
        <v>-46835190219.668068</v>
      </c>
      <c r="Q61">
        <f t="shared" si="27"/>
        <v>22</v>
      </c>
      <c r="R61" s="23">
        <f t="shared" si="38"/>
        <v>31.961732956725054</v>
      </c>
      <c r="S61">
        <f t="shared" ca="1" si="28"/>
        <v>3.3233805348528707E-3</v>
      </c>
      <c r="T61" s="23">
        <f t="shared" ca="1" si="36"/>
        <v>499999.99999988475</v>
      </c>
      <c r="U61">
        <f t="shared" ca="1" si="37"/>
        <v>355105.09314615146</v>
      </c>
      <c r="V61">
        <f t="shared" ca="1" si="35"/>
        <v>351.61926545291959</v>
      </c>
      <c r="W61">
        <f t="shared" ca="1" si="29"/>
        <v>3.1126647069517798E-12</v>
      </c>
      <c r="X61">
        <f t="shared" ca="1" si="10"/>
        <v>1.1053230906948501E-6</v>
      </c>
      <c r="Y61">
        <f t="shared" ca="1" si="11"/>
        <v>1.1275419165630613E-4</v>
      </c>
      <c r="Z61">
        <f t="shared" ca="1" si="12"/>
        <v>145.39349090170685</v>
      </c>
      <c r="AA61">
        <f t="shared" ca="1" si="13"/>
        <v>487.21173048288767</v>
      </c>
      <c r="AB61" s="6">
        <f t="shared" ca="1" si="30"/>
        <v>-3.5968267555451794E-9</v>
      </c>
      <c r="AC61">
        <f t="shared" ca="1" si="14"/>
        <v>71.983582379486734</v>
      </c>
      <c r="AD61">
        <f t="shared" ca="1" si="31"/>
        <v>29.127697818108111</v>
      </c>
      <c r="AE61">
        <f t="shared" ca="1" si="15"/>
        <v>0.24404216868234596</v>
      </c>
      <c r="AF61">
        <f t="shared" ca="1" si="16"/>
        <v>101.35532236627719</v>
      </c>
      <c r="AG61">
        <f t="shared" ca="1" si="3"/>
        <v>0.59259671195503416</v>
      </c>
      <c r="AI61">
        <f t="shared" ca="1" si="17"/>
        <v>8.0433431756117695E-5</v>
      </c>
      <c r="AK61">
        <f t="shared" ca="1" si="32"/>
        <v>6.7856945363433188E-2</v>
      </c>
      <c r="AM61">
        <f t="shared" ca="1" si="18"/>
        <v>11605.974912367556</v>
      </c>
      <c r="AN61" s="6">
        <f t="shared" si="19"/>
        <v>1.9495613999999998E-5</v>
      </c>
      <c r="AO61" s="6">
        <f t="shared" ca="1" si="20"/>
        <v>4637646.9846094595</v>
      </c>
      <c r="AP61" s="6">
        <f t="shared" ca="1" si="21"/>
        <v>2.319802854620101E-3</v>
      </c>
    </row>
    <row r="62" spans="1:42" x14ac:dyDescent="0.25">
      <c r="A62">
        <f t="shared" si="22"/>
        <v>23</v>
      </c>
      <c r="B62">
        <f t="shared" si="0"/>
        <v>0.95515103617772668</v>
      </c>
      <c r="C62">
        <f t="shared" ca="1" si="33"/>
        <v>681358678.73435926</v>
      </c>
      <c r="D62">
        <f t="shared" si="4"/>
        <v>10000000</v>
      </c>
      <c r="E62">
        <f t="shared" ca="1" si="5"/>
        <v>10000000.006783832</v>
      </c>
      <c r="F62">
        <f t="shared" ca="1" si="23"/>
        <v>3673027747.0518093</v>
      </c>
      <c r="G62">
        <f t="shared" ca="1" si="1"/>
        <v>949.99696685411971</v>
      </c>
      <c r="H62">
        <f t="shared" ca="1" si="24"/>
        <v>9499969674.985817</v>
      </c>
      <c r="I62">
        <f t="shared" ca="1" si="6"/>
        <v>791842534.9097935</v>
      </c>
      <c r="J62">
        <f t="shared" ca="1" si="34"/>
        <v>269360622041.0625</v>
      </c>
      <c r="K62">
        <f t="shared" ca="1" si="7"/>
        <v>2.665478312266696E-5</v>
      </c>
      <c r="L62">
        <f t="shared" ca="1" si="25"/>
        <v>-49210182671.877678</v>
      </c>
      <c r="M62">
        <f t="shared" ca="1" si="26"/>
        <v>-49210182714.733566</v>
      </c>
      <c r="N62">
        <f t="shared" ca="1" si="8"/>
        <v>49210182748.11692</v>
      </c>
      <c r="O62">
        <f t="shared" ca="1" si="9"/>
        <v>-49210182638.494316</v>
      </c>
      <c r="Q62">
        <f t="shared" si="27"/>
        <v>23</v>
      </c>
      <c r="R62" s="23">
        <f t="shared" si="38"/>
        <v>33.414539000212557</v>
      </c>
      <c r="S62">
        <f t="shared" ca="1" si="28"/>
        <v>3.4871905059197005E-3</v>
      </c>
      <c r="T62" s="23">
        <f t="shared" ca="1" si="36"/>
        <v>499999.99999987951</v>
      </c>
      <c r="U62">
        <f t="shared" ca="1" si="37"/>
        <v>355088.17796016874</v>
      </c>
      <c r="V62">
        <f t="shared" ca="1" si="35"/>
        <v>351.6990755923934</v>
      </c>
      <c r="W62">
        <f t="shared" ca="1" si="29"/>
        <v>3.1363122284576191E-12</v>
      </c>
      <c r="X62">
        <f t="shared" ca="1" si="10"/>
        <v>1.1136673947172124E-6</v>
      </c>
      <c r="Y62">
        <f t="shared" ca="1" si="11"/>
        <v>1.1360539549244823E-4</v>
      </c>
      <c r="Z62">
        <f t="shared" ca="1" si="12"/>
        <v>145.41110329571782</v>
      </c>
      <c r="AA62">
        <f t="shared" ca="1" si="13"/>
        <v>487.20958945203006</v>
      </c>
      <c r="AB62" s="6">
        <f t="shared" ca="1" si="30"/>
        <v>-3.5972232155009795E-9</v>
      </c>
      <c r="AC62">
        <f t="shared" ca="1" si="14"/>
        <v>71.971751432199937</v>
      </c>
      <c r="AD62">
        <f t="shared" ca="1" si="31"/>
        <v>29.115866870821318</v>
      </c>
      <c r="AE62">
        <f t="shared" ca="1" si="15"/>
        <v>0.25587311596913825</v>
      </c>
      <c r="AF62">
        <f t="shared" ca="1" si="16"/>
        <v>101.3434914189904</v>
      </c>
      <c r="AG62">
        <f t="shared" ca="1" si="3"/>
        <v>0.59266203088257696</v>
      </c>
      <c r="AI62">
        <f t="shared" ca="1" si="17"/>
        <v>8.0442297525020747E-5</v>
      </c>
      <c r="AK62">
        <f t="shared" ca="1" si="32"/>
        <v>6.7864867055614869E-2</v>
      </c>
      <c r="AM62">
        <f t="shared" ca="1" si="18"/>
        <v>11604.695785656442</v>
      </c>
      <c r="AN62" s="6">
        <f t="shared" si="19"/>
        <v>1.9495613999999998E-5</v>
      </c>
      <c r="AO62" s="6">
        <f t="shared" ca="1" si="20"/>
        <v>4637646.9846094595</v>
      </c>
      <c r="AP62" s="6">
        <f t="shared" ca="1" si="21"/>
        <v>2.319802854620101E-3</v>
      </c>
    </row>
    <row r="63" spans="1:42" x14ac:dyDescent="0.25">
      <c r="A63">
        <f t="shared" si="22"/>
        <v>24</v>
      </c>
      <c r="B63">
        <f t="shared" si="0"/>
        <v>0.99667934209849729</v>
      </c>
      <c r="C63">
        <f t="shared" ca="1" si="33"/>
        <v>714242557.76517165</v>
      </c>
      <c r="D63">
        <f t="shared" si="4"/>
        <v>10000000</v>
      </c>
      <c r="E63">
        <f t="shared" ca="1" si="5"/>
        <v>10000000.006471504</v>
      </c>
      <c r="F63">
        <f t="shared" ca="1" si="23"/>
        <v>3673028623.5644732</v>
      </c>
      <c r="G63">
        <f t="shared" ca="1" si="1"/>
        <v>949.99696685484344</v>
      </c>
      <c r="H63">
        <f t="shared" ca="1" si="24"/>
        <v>9499969674.6963425</v>
      </c>
      <c r="I63">
        <f t="shared" ca="1" si="6"/>
        <v>791842534.88566518</v>
      </c>
      <c r="J63">
        <f t="shared" ca="1" si="34"/>
        <v>282360561524.74609</v>
      </c>
      <c r="K63">
        <f t="shared" ca="1" si="7"/>
        <v>2.5427591316296321E-5</v>
      </c>
      <c r="L63">
        <f t="shared" ca="1" si="25"/>
        <v>-51585175090.624123</v>
      </c>
      <c r="M63">
        <f t="shared" ca="1" si="26"/>
        <v>-51585175133.480011</v>
      </c>
      <c r="N63">
        <f t="shared" ca="1" si="8"/>
        <v>51585175166.863365</v>
      </c>
      <c r="O63">
        <f t="shared" ca="1" si="9"/>
        <v>-51585175057.240761</v>
      </c>
      <c r="Q63">
        <f t="shared" si="27"/>
        <v>24</v>
      </c>
      <c r="R63" s="23">
        <f t="shared" si="38"/>
        <v>34.867345043700062</v>
      </c>
      <c r="S63">
        <f t="shared" ca="1" si="28"/>
        <v>3.6522371110639176E-3</v>
      </c>
      <c r="T63" s="23">
        <f t="shared" ca="1" si="36"/>
        <v>499999.99999987427</v>
      </c>
      <c r="U63">
        <f t="shared" ca="1" si="37"/>
        <v>355071.13108338194</v>
      </c>
      <c r="V63">
        <f t="shared" ca="1" si="35"/>
        <v>351.77948788112616</v>
      </c>
      <c r="W63">
        <f t="shared" ca="1" si="29"/>
        <v>3.1603088853997731E-12</v>
      </c>
      <c r="X63">
        <f t="shared" ca="1" si="10"/>
        <v>1.1221344505117596E-6</v>
      </c>
      <c r="Y63">
        <f t="shared" ca="1" si="11"/>
        <v>1.1446912125721341E-4</v>
      </c>
      <c r="Z63">
        <f t="shared" ca="1" si="12"/>
        <v>145.42885280854807</v>
      </c>
      <c r="AA63">
        <f t="shared" ca="1" si="13"/>
        <v>487.2074322771353</v>
      </c>
      <c r="AB63" s="6">
        <f t="shared" ca="1" si="30"/>
        <v>-3.5976224720409307E-9</v>
      </c>
      <c r="AC63">
        <f t="shared" ca="1" si="14"/>
        <v>71.959831170737175</v>
      </c>
      <c r="AD63">
        <f t="shared" ca="1" si="31"/>
        <v>29.103946609358548</v>
      </c>
      <c r="AE63">
        <f t="shared" ca="1" si="15"/>
        <v>0.26779337743190734</v>
      </c>
      <c r="AF63">
        <f t="shared" ca="1" si="16"/>
        <v>101.33157115752763</v>
      </c>
      <c r="AG63">
        <f t="shared" ca="1" si="3"/>
        <v>0.59272781056252299</v>
      </c>
      <c r="AI63">
        <f t="shared" ca="1" si="17"/>
        <v>8.0451225832065213E-5</v>
      </c>
      <c r="AK63">
        <f t="shared" ca="1" si="32"/>
        <v>6.7872850421018149E-2</v>
      </c>
      <c r="AM63">
        <f t="shared" ca="1" si="18"/>
        <v>11603.407921039585</v>
      </c>
      <c r="AN63" s="6">
        <f t="shared" si="19"/>
        <v>1.9495613999999998E-5</v>
      </c>
      <c r="AO63" s="6">
        <f t="shared" ca="1" si="20"/>
        <v>4637646.9846094595</v>
      </c>
      <c r="AP63" s="6">
        <f t="shared" ca="1" si="21"/>
        <v>2.319802854620101E-3</v>
      </c>
    </row>
    <row r="64" spans="1:42" x14ac:dyDescent="0.25">
      <c r="A64">
        <f t="shared" si="22"/>
        <v>25</v>
      </c>
      <c r="B64">
        <f t="shared" si="0"/>
        <v>1.0382076480192681</v>
      </c>
      <c r="C64">
        <f t="shared" ca="1" si="33"/>
        <v>747126436.79498219</v>
      </c>
      <c r="D64">
        <f t="shared" si="4"/>
        <v>10000000</v>
      </c>
      <c r="E64">
        <f t="shared" ca="1" si="5"/>
        <v>10000000.006186666</v>
      </c>
      <c r="F64">
        <f t="shared" ca="1" si="23"/>
        <v>3673029459.7223101</v>
      </c>
      <c r="G64">
        <f t="shared" ca="1" si="1"/>
        <v>949.99696685553397</v>
      </c>
      <c r="H64">
        <f t="shared" ca="1" si="24"/>
        <v>9499969674.4326534</v>
      </c>
      <c r="I64">
        <f t="shared" ca="1" si="6"/>
        <v>791842534.8636862</v>
      </c>
      <c r="J64">
        <f t="shared" ca="1" si="34"/>
        <v>295360501008.03125</v>
      </c>
      <c r="K64">
        <f t="shared" ca="1" si="7"/>
        <v>2.4308426271581789E-5</v>
      </c>
      <c r="L64">
        <f t="shared" ca="1" si="25"/>
        <v>-53960167509.29821</v>
      </c>
      <c r="M64">
        <f t="shared" ca="1" si="26"/>
        <v>-53960167552.154106</v>
      </c>
      <c r="N64">
        <f t="shared" ca="1" si="8"/>
        <v>53960167585.53746</v>
      </c>
      <c r="O64">
        <f t="shared" ca="1" si="9"/>
        <v>-53960167475.914856</v>
      </c>
      <c r="Q64">
        <f t="shared" si="27"/>
        <v>25</v>
      </c>
      <c r="R64" s="23">
        <f t="shared" si="38"/>
        <v>36.320151087187561</v>
      </c>
      <c r="S64">
        <f t="shared" ca="1" si="28"/>
        <v>3.8185385422191006E-3</v>
      </c>
      <c r="T64" s="23">
        <f t="shared" ca="1" si="36"/>
        <v>499999.99999986903</v>
      </c>
      <c r="U64">
        <f t="shared" ca="1" si="37"/>
        <v>355053.95054460509</v>
      </c>
      <c r="V64">
        <f t="shared" ca="1" si="35"/>
        <v>351.8605111743833</v>
      </c>
      <c r="W64">
        <f t="shared" ca="1" si="29"/>
        <v>3.1846623624153517E-12</v>
      </c>
      <c r="X64">
        <f t="shared" ca="1" si="10"/>
        <v>1.1307269529262856E-6</v>
      </c>
      <c r="Y64">
        <f t="shared" ca="1" si="11"/>
        <v>1.1534564385247169E-4</v>
      </c>
      <c r="Z64">
        <f t="shared" ca="1" si="12"/>
        <v>145.44674149263167</v>
      </c>
      <c r="AA64">
        <f t="shared" ca="1" si="13"/>
        <v>487.20525872086512</v>
      </c>
      <c r="AB64" s="6">
        <f t="shared" ca="1" si="30"/>
        <v>-3.5980245647103519E-9</v>
      </c>
      <c r="AC64">
        <f t="shared" ca="1" si="14"/>
        <v>71.947820281211321</v>
      </c>
      <c r="AD64">
        <f t="shared" ca="1" si="31"/>
        <v>29.091935719832708</v>
      </c>
      <c r="AE64">
        <f t="shared" ca="1" si="15"/>
        <v>0.27980426695774946</v>
      </c>
      <c r="AF64">
        <f t="shared" ca="1" si="16"/>
        <v>101.31956026800178</v>
      </c>
      <c r="AG64">
        <f t="shared" ca="1" si="3"/>
        <v>0.59279405751017866</v>
      </c>
      <c r="AI64">
        <f t="shared" ca="1" si="17"/>
        <v>8.0460217561576731E-5</v>
      </c>
      <c r="AK64">
        <f t="shared" ca="1" si="32"/>
        <v>6.7880896382785577E-2</v>
      </c>
      <c r="AM64">
        <f t="shared" ca="1" si="18"/>
        <v>11602.11119691181</v>
      </c>
      <c r="AN64" s="6">
        <f t="shared" si="19"/>
        <v>1.9495613999999998E-5</v>
      </c>
      <c r="AO64" s="6">
        <f t="shared" ca="1" si="20"/>
        <v>4637646.9846094586</v>
      </c>
      <c r="AP64" s="6">
        <f t="shared" ca="1" si="21"/>
        <v>2.319802854620101E-3</v>
      </c>
    </row>
    <row r="65" spans="1:42" x14ac:dyDescent="0.25">
      <c r="A65">
        <f t="shared" si="22"/>
        <v>26</v>
      </c>
      <c r="B65">
        <f t="shared" si="0"/>
        <v>1.0797359539400389</v>
      </c>
      <c r="C65">
        <f t="shared" ca="1" si="33"/>
        <v>780010315.82387996</v>
      </c>
      <c r="D65">
        <f t="shared" si="4"/>
        <v>10000000</v>
      </c>
      <c r="E65">
        <f t="shared" ca="1" si="5"/>
        <v>10000000.005925847</v>
      </c>
      <c r="F65">
        <f t="shared" ca="1" si="23"/>
        <v>3673030259.0776591</v>
      </c>
      <c r="G65">
        <f t="shared" ca="1" si="1"/>
        <v>949.99696685619415</v>
      </c>
      <c r="H65">
        <f t="shared" ca="1" si="24"/>
        <v>9499969674.1914787</v>
      </c>
      <c r="I65">
        <f t="shared" ca="1" si="6"/>
        <v>791842534.8435837</v>
      </c>
      <c r="J65">
        <f t="shared" ca="1" si="34"/>
        <v>308360440490.95508</v>
      </c>
      <c r="K65">
        <f t="shared" ca="1" si="7"/>
        <v>2.3283625327749475E-5</v>
      </c>
      <c r="L65">
        <f t="shared" ca="1" si="25"/>
        <v>-56335159927.906372</v>
      </c>
      <c r="M65">
        <f t="shared" ca="1" si="26"/>
        <v>-56335159970.76226</v>
      </c>
      <c r="N65">
        <f t="shared" ca="1" si="8"/>
        <v>56335160004.145615</v>
      </c>
      <c r="O65">
        <f t="shared" ca="1" si="9"/>
        <v>-56335159894.523026</v>
      </c>
      <c r="Q65">
        <f t="shared" si="27"/>
        <v>26</v>
      </c>
      <c r="R65" s="23">
        <f t="shared" si="38"/>
        <v>37.77295713067506</v>
      </c>
      <c r="S65">
        <f t="shared" ca="1" si="28"/>
        <v>3.9861133906979283E-3</v>
      </c>
      <c r="T65" s="23">
        <f t="shared" ca="1" si="36"/>
        <v>499999.99999986379</v>
      </c>
      <c r="U65">
        <f t="shared" ca="1" si="37"/>
        <v>355036.63432884123</v>
      </c>
      <c r="V65">
        <f t="shared" ca="1" si="35"/>
        <v>351.94215452179157</v>
      </c>
      <c r="W65">
        <f t="shared" ca="1" si="29"/>
        <v>3.2093805696705348E-12</v>
      </c>
      <c r="X65">
        <f t="shared" ca="1" si="10"/>
        <v>1.1394476757362058E-6</v>
      </c>
      <c r="Y65">
        <f t="shared" ca="1" si="11"/>
        <v>1.1623524623151284E-4</v>
      </c>
      <c r="Z65">
        <f t="shared" ca="1" si="12"/>
        <v>145.4647714460194</v>
      </c>
      <c r="AA65">
        <f t="shared" ca="1" si="13"/>
        <v>487.20306854067383</v>
      </c>
      <c r="AB65" s="6">
        <f t="shared" ca="1" si="30"/>
        <v>-3.5984295338981363E-9</v>
      </c>
      <c r="AC65">
        <f t="shared" ca="1" si="14"/>
        <v>71.935717420890725</v>
      </c>
      <c r="AD65">
        <f t="shared" ca="1" si="31"/>
        <v>29.079832859512095</v>
      </c>
      <c r="AE65">
        <f t="shared" ca="1" si="15"/>
        <v>0.29190712727836071</v>
      </c>
      <c r="AF65">
        <f t="shared" ca="1" si="16"/>
        <v>101.30745740768118</v>
      </c>
      <c r="AG65">
        <f t="shared" ca="1" si="3"/>
        <v>0.5928607783798322</v>
      </c>
      <c r="AI65">
        <f t="shared" ca="1" si="17"/>
        <v>8.0469273616744975E-5</v>
      </c>
      <c r="AK65">
        <f t="shared" ca="1" si="32"/>
        <v>6.7889005884577275E-2</v>
      </c>
      <c r="AM65">
        <f t="shared" ca="1" si="18"/>
        <v>11600.805489101305</v>
      </c>
      <c r="AN65" s="6">
        <f t="shared" si="19"/>
        <v>1.9495613999999998E-5</v>
      </c>
      <c r="AO65" s="6">
        <f t="shared" ca="1" si="20"/>
        <v>4637646.9846094595</v>
      </c>
      <c r="AP65" s="6">
        <f t="shared" ca="1" si="21"/>
        <v>2.319802854620101E-3</v>
      </c>
    </row>
    <row r="66" spans="1:42" x14ac:dyDescent="0.25">
      <c r="A66">
        <f t="shared" si="22"/>
        <v>27</v>
      </c>
      <c r="B66">
        <f t="shared" si="0"/>
        <v>1.1212642598608096</v>
      </c>
      <c r="C66">
        <f t="shared" ca="1" si="33"/>
        <v>812894194.8519429</v>
      </c>
      <c r="D66">
        <f t="shared" si="4"/>
        <v>10000000</v>
      </c>
      <c r="E66">
        <f t="shared" ca="1" si="5"/>
        <v>10000000.005686132</v>
      </c>
      <c r="F66">
        <f t="shared" ca="1" si="23"/>
        <v>3673031024.7335777</v>
      </c>
      <c r="G66">
        <f t="shared" ca="1" si="1"/>
        <v>949.99696685682625</v>
      </c>
      <c r="H66">
        <f t="shared" ca="1" si="24"/>
        <v>9499969673.9700718</v>
      </c>
      <c r="I66">
        <f t="shared" ca="1" si="6"/>
        <v>791842534.82512903</v>
      </c>
      <c r="J66">
        <f t="shared" ca="1" si="34"/>
        <v>321360379973.54883</v>
      </c>
      <c r="K66">
        <f t="shared" ca="1" si="7"/>
        <v>2.2341736597654482E-5</v>
      </c>
      <c r="L66">
        <f t="shared" ca="1" si="25"/>
        <v>-58710152346.454247</v>
      </c>
      <c r="M66">
        <f t="shared" ca="1" si="26"/>
        <v>-58710152389.310135</v>
      </c>
      <c r="N66">
        <f t="shared" ca="1" si="8"/>
        <v>58710152422.693489</v>
      </c>
      <c r="O66">
        <f t="shared" ca="1" si="9"/>
        <v>-58710152313.070885</v>
      </c>
      <c r="Q66">
        <f t="shared" si="27"/>
        <v>27</v>
      </c>
      <c r="R66" s="23">
        <f t="shared" si="38"/>
        <v>39.225763174162566</v>
      </c>
      <c r="S66">
        <f t="shared" ca="1" si="28"/>
        <v>4.1549806588893285E-3</v>
      </c>
      <c r="T66" s="23">
        <f t="shared" ca="1" si="36"/>
        <v>499999.99999985856</v>
      </c>
      <c r="U66">
        <f t="shared" ca="1" si="37"/>
        <v>355019.18037598685</v>
      </c>
      <c r="V66">
        <f t="shared" ca="1" si="35"/>
        <v>352.02442717303052</v>
      </c>
      <c r="W66">
        <f t="shared" ca="1" si="29"/>
        <v>3.2344716511562242E-12</v>
      </c>
      <c r="X66">
        <f t="shared" ca="1" si="10"/>
        <v>1.1482994745428476E-6</v>
      </c>
      <c r="Y66">
        <f t="shared" ca="1" si="11"/>
        <v>1.1713821969470153E-4</v>
      </c>
      <c r="Z66">
        <f t="shared" ca="1" si="12"/>
        <v>145.48294481372804</v>
      </c>
      <c r="AA66">
        <f t="shared" ca="1" si="13"/>
        <v>487.20086148865443</v>
      </c>
      <c r="AB66" s="6">
        <f t="shared" ca="1" si="30"/>
        <v>-3.5988374208608746E-9</v>
      </c>
      <c r="AC66">
        <f t="shared" ca="1" si="14"/>
        <v>71.923521217354235</v>
      </c>
      <c r="AD66">
        <f t="shared" ca="1" si="31"/>
        <v>29.067636655975608</v>
      </c>
      <c r="AE66">
        <f t="shared" ca="1" si="15"/>
        <v>0.30410333081484753</v>
      </c>
      <c r="AF66">
        <f t="shared" ca="1" si="16"/>
        <v>101.29526120414469</v>
      </c>
      <c r="AG66">
        <f t="shared" ca="1" si="3"/>
        <v>0.5929279799687317</v>
      </c>
      <c r="AI66">
        <f t="shared" ca="1" si="17"/>
        <v>8.0478394920163653E-5</v>
      </c>
      <c r="AK66">
        <f t="shared" ca="1" si="32"/>
        <v>6.789717989117755E-2</v>
      </c>
      <c r="AM66">
        <f t="shared" ca="1" si="18"/>
        <v>11599.490670796691</v>
      </c>
      <c r="AN66" s="6">
        <f t="shared" si="19"/>
        <v>1.9495613999999998E-5</v>
      </c>
      <c r="AO66" s="6">
        <f t="shared" ca="1" si="20"/>
        <v>4637646.9846094605</v>
      </c>
      <c r="AP66" s="6">
        <f t="shared" ca="1" si="21"/>
        <v>2.3198028546201001E-3</v>
      </c>
    </row>
    <row r="67" spans="1:42" x14ac:dyDescent="0.25">
      <c r="A67">
        <f t="shared" si="22"/>
        <v>28</v>
      </c>
      <c r="B67">
        <f t="shared" si="0"/>
        <v>1.1627925657815803</v>
      </c>
      <c r="C67">
        <f t="shared" ca="1" si="33"/>
        <v>845778073.87923944</v>
      </c>
      <c r="D67">
        <f t="shared" si="4"/>
        <v>10000000</v>
      </c>
      <c r="E67">
        <f t="shared" ca="1" si="5"/>
        <v>10000000.005465051</v>
      </c>
      <c r="F67">
        <f t="shared" ca="1" si="23"/>
        <v>3673031759.4165411</v>
      </c>
      <c r="G67">
        <f t="shared" ca="1" si="1"/>
        <v>949.99696685743311</v>
      </c>
      <c r="H67">
        <f t="shared" ca="1" si="24"/>
        <v>9499969673.7661133</v>
      </c>
      <c r="I67">
        <f t="shared" ca="1" si="6"/>
        <v>791842534.80812871</v>
      </c>
      <c r="J67">
        <f t="shared" ca="1" si="34"/>
        <v>334360319455.83984</v>
      </c>
      <c r="K67">
        <f t="shared" ca="1" si="7"/>
        <v>2.1473089193047746E-5</v>
      </c>
      <c r="L67">
        <f t="shared" ca="1" si="25"/>
        <v>-61085144764.946762</v>
      </c>
      <c r="M67">
        <f t="shared" ca="1" si="26"/>
        <v>-61085144807.80265</v>
      </c>
      <c r="N67">
        <f t="shared" ca="1" si="8"/>
        <v>61085144841.186005</v>
      </c>
      <c r="O67">
        <f t="shared" ca="1" si="9"/>
        <v>-61085144731.563416</v>
      </c>
      <c r="Q67">
        <f t="shared" si="27"/>
        <v>28</v>
      </c>
      <c r="R67" s="23">
        <f t="shared" si="38"/>
        <v>40.678569217650072</v>
      </c>
      <c r="S67">
        <f t="shared" ca="1" si="28"/>
        <v>4.3251597723851579E-3</v>
      </c>
      <c r="T67" s="23">
        <f t="shared" ca="1" si="36"/>
        <v>499999.99999985332</v>
      </c>
      <c r="U67">
        <f t="shared" ca="1" si="37"/>
        <v>355001.58657948812</v>
      </c>
      <c r="V67">
        <f t="shared" ca="1" si="35"/>
        <v>352.10733858373305</v>
      </c>
      <c r="W67">
        <f t="shared" ca="1" si="29"/>
        <v>3.2599439933511204E-12</v>
      </c>
      <c r="X67">
        <f t="shared" ca="1" si="10"/>
        <v>1.1572852897999201E-6</v>
      </c>
      <c r="Y67">
        <f t="shared" ca="1" si="11"/>
        <v>1.1805486419820791E-4</v>
      </c>
      <c r="Z67">
        <f t="shared" ca="1" si="12"/>
        <v>145.50126378913899</v>
      </c>
      <c r="AA67">
        <f t="shared" ca="1" si="13"/>
        <v>487.19863731138196</v>
      </c>
      <c r="AB67" s="6">
        <f t="shared" ca="1" si="30"/>
        <v>-3.5992482677478969E-9</v>
      </c>
      <c r="AC67">
        <f t="shared" ca="1" si="14"/>
        <v>71.911230267615537</v>
      </c>
      <c r="AD67">
        <f t="shared" ca="1" si="31"/>
        <v>29.055345706236899</v>
      </c>
      <c r="AE67">
        <f t="shared" ca="1" si="15"/>
        <v>0.31639428055355906</v>
      </c>
      <c r="AF67">
        <f t="shared" ca="1" si="16"/>
        <v>101.28297025440598</v>
      </c>
      <c r="AG67">
        <f t="shared" ca="1" si="3"/>
        <v>0.59299566922120694</v>
      </c>
      <c r="AI67">
        <f t="shared" ca="1" si="17"/>
        <v>8.0487582414389913E-5</v>
      </c>
      <c r="AK67">
        <f t="shared" ca="1" si="32"/>
        <v>6.79054193891242E-2</v>
      </c>
      <c r="AM67">
        <f t="shared" ca="1" si="18"/>
        <v>11598.166612471558</v>
      </c>
      <c r="AN67" s="6">
        <f t="shared" si="19"/>
        <v>1.9495613999999998E-5</v>
      </c>
      <c r="AO67" s="6">
        <f t="shared" ca="1" si="20"/>
        <v>4637646.9846094595</v>
      </c>
      <c r="AP67" s="6">
        <f t="shared" ca="1" si="21"/>
        <v>2.319802854620101E-3</v>
      </c>
    </row>
    <row r="68" spans="1:42" x14ac:dyDescent="0.25">
      <c r="A68">
        <f t="shared" si="22"/>
        <v>29</v>
      </c>
      <c r="B68">
        <f t="shared" si="0"/>
        <v>1.204320871702351</v>
      </c>
      <c r="C68">
        <f t="shared" ca="1" si="33"/>
        <v>878661952.90582991</v>
      </c>
      <c r="D68">
        <f t="shared" si="4"/>
        <v>10000000</v>
      </c>
      <c r="E68">
        <f t="shared" ca="1" si="5"/>
        <v>10000000.005260525</v>
      </c>
      <c r="F68">
        <f t="shared" ca="1" si="23"/>
        <v>3673032465.5350084</v>
      </c>
      <c r="G68">
        <f t="shared" ca="1" si="1"/>
        <v>949.99696685801609</v>
      </c>
      <c r="H68">
        <f t="shared" ca="1" si="24"/>
        <v>9499969673.5776443</v>
      </c>
      <c r="I68">
        <f t="shared" ca="1" si="6"/>
        <v>791842534.79241943</v>
      </c>
      <c r="J68">
        <f t="shared" ca="1" si="34"/>
        <v>347360258937.85547</v>
      </c>
      <c r="K68">
        <f t="shared" ca="1" si="7"/>
        <v>2.0669459955623998E-5</v>
      </c>
      <c r="L68">
        <f t="shared" ca="1" si="25"/>
        <v>-63460137183.388283</v>
      </c>
      <c r="M68">
        <f t="shared" ca="1" si="26"/>
        <v>-63460137226.244171</v>
      </c>
      <c r="N68">
        <f t="shared" ca="1" si="8"/>
        <v>63460137259.627525</v>
      </c>
      <c r="O68">
        <f t="shared" ca="1" si="9"/>
        <v>-63460137150.004921</v>
      </c>
      <c r="Q68">
        <f t="shared" si="27"/>
        <v>29</v>
      </c>
      <c r="R68" s="23">
        <f t="shared" si="38"/>
        <v>42.13137526113757</v>
      </c>
      <c r="S68">
        <f t="shared" ca="1" si="28"/>
        <v>4.4966705925554105E-3</v>
      </c>
      <c r="T68" s="23">
        <f t="shared" ca="1" si="36"/>
        <v>499999.99999984808</v>
      </c>
      <c r="U68">
        <f t="shared" ca="1" si="37"/>
        <v>354983.85078494716</v>
      </c>
      <c r="V68">
        <f t="shared" ca="1" si="35"/>
        <v>352.19089842160417</v>
      </c>
      <c r="W68">
        <f t="shared" ca="1" si="29"/>
        <v>3.2858062342717689E-12</v>
      </c>
      <c r="X68">
        <f t="shared" ca="1" si="10"/>
        <v>1.1664081499749787E-6</v>
      </c>
      <c r="Y68">
        <f t="shared" ca="1" si="11"/>
        <v>1.1898548867650918E-4</v>
      </c>
      <c r="Z68">
        <f t="shared" ca="1" si="12"/>
        <v>145.51973061544956</v>
      </c>
      <c r="AA68">
        <f t="shared" ca="1" si="13"/>
        <v>487.19639574974872</v>
      </c>
      <c r="AB68" s="6">
        <f t="shared" ca="1" si="30"/>
        <v>-3.5996621176271715E-9</v>
      </c>
      <c r="AC68">
        <f t="shared" ca="1" si="14"/>
        <v>71.898843137214769</v>
      </c>
      <c r="AD68">
        <f t="shared" ca="1" si="31"/>
        <v>29.042958575836142</v>
      </c>
      <c r="AE68">
        <f t="shared" ca="1" si="15"/>
        <v>0.32878141095431435</v>
      </c>
      <c r="AF68">
        <f t="shared" ca="1" si="16"/>
        <v>101.27058312400523</v>
      </c>
      <c r="AG68">
        <f t="shared" ca="1" si="3"/>
        <v>0.59306385323293986</v>
      </c>
      <c r="AI68">
        <f t="shared" ca="1" si="17"/>
        <v>8.0496837062524028E-5</v>
      </c>
      <c r="AK68">
        <f t="shared" ca="1" si="32"/>
        <v>6.7913725387361221E-2</v>
      </c>
      <c r="AM68">
        <f t="shared" ca="1" si="18"/>
        <v>11596.833181806249</v>
      </c>
      <c r="AN68" s="6">
        <f t="shared" si="19"/>
        <v>1.9495613999999998E-5</v>
      </c>
      <c r="AO68" s="6">
        <f t="shared" ca="1" si="20"/>
        <v>4637646.9846094586</v>
      </c>
      <c r="AP68" s="6">
        <f t="shared" ca="1" si="21"/>
        <v>2.319802854620101E-3</v>
      </c>
    </row>
    <row r="69" spans="1:42" x14ac:dyDescent="0.25">
      <c r="A69">
        <f t="shared" si="22"/>
        <v>30</v>
      </c>
      <c r="B69">
        <f t="shared" si="0"/>
        <v>1.2458491776231218</v>
      </c>
      <c r="C69">
        <f t="shared" ca="1" si="33"/>
        <v>911545831.93176806</v>
      </c>
      <c r="D69">
        <f t="shared" si="4"/>
        <v>10000000</v>
      </c>
      <c r="E69">
        <f t="shared" ca="1" si="5"/>
        <v>10000000.00507075</v>
      </c>
      <c r="F69">
        <f t="shared" ca="1" si="23"/>
        <v>3673033145.2270293</v>
      </c>
      <c r="G69">
        <f t="shared" ca="1" si="1"/>
        <v>949.99696685857748</v>
      </c>
      <c r="H69">
        <f t="shared" ca="1" si="24"/>
        <v>9499969673.4029713</v>
      </c>
      <c r="I69">
        <f t="shared" ca="1" si="6"/>
        <v>791842534.77786005</v>
      </c>
      <c r="J69">
        <f t="shared" ca="1" si="34"/>
        <v>360360198419.60938</v>
      </c>
      <c r="K69">
        <f t="shared" ca="1" si="7"/>
        <v>1.992381232383208E-5</v>
      </c>
      <c r="L69">
        <f t="shared" ca="1" si="25"/>
        <v>-65835129601.7827</v>
      </c>
      <c r="M69">
        <f t="shared" ca="1" si="26"/>
        <v>-65835129644.63858</v>
      </c>
      <c r="N69">
        <f t="shared" ca="1" si="8"/>
        <v>65835129678.021935</v>
      </c>
      <c r="O69">
        <f t="shared" ca="1" si="9"/>
        <v>-65835129568.399345</v>
      </c>
      <c r="Q69">
        <f t="shared" si="27"/>
        <v>30</v>
      </c>
      <c r="R69" s="23">
        <f t="shared" si="38"/>
        <v>43.584181304625069</v>
      </c>
      <c r="S69">
        <f t="shared" ca="1" si="28"/>
        <v>4.6695334295919566E-3</v>
      </c>
      <c r="T69" s="23">
        <f t="shared" ca="1" si="36"/>
        <v>499999.99999984284</v>
      </c>
      <c r="U69">
        <f t="shared" ca="1" si="37"/>
        <v>354965.97078867682</v>
      </c>
      <c r="V69">
        <f t="shared" ca="1" si="35"/>
        <v>352.27511657276744</v>
      </c>
      <c r="W69">
        <f t="shared" ca="1" si="29"/>
        <v>3.3120672729294301E-12</v>
      </c>
      <c r="X69">
        <f t="shared" ca="1" si="10"/>
        <v>1.1756711748528005E-6</v>
      </c>
      <c r="Y69">
        <f t="shared" ca="1" si="11"/>
        <v>1.1993041137936746E-4</v>
      </c>
      <c r="Z69">
        <f t="shared" ca="1" si="12"/>
        <v>145.53834758717861</v>
      </c>
      <c r="AA69">
        <f t="shared" ca="1" si="13"/>
        <v>487.19413653879445</v>
      </c>
      <c r="AB69" s="6">
        <f t="shared" ca="1" si="30"/>
        <v>-3.600079014512191E-9</v>
      </c>
      <c r="AC69">
        <f t="shared" ca="1" si="14"/>
        <v>71.886358359276613</v>
      </c>
      <c r="AD69">
        <f t="shared" ca="1" si="31"/>
        <v>29.03047379789799</v>
      </c>
      <c r="AE69">
        <f t="shared" ca="1" si="15"/>
        <v>0.34126618889246796</v>
      </c>
      <c r="AF69">
        <f t="shared" ca="1" si="16"/>
        <v>101.25809834606707</v>
      </c>
      <c r="AG69">
        <f t="shared" ca="1" si="3"/>
        <v>0.59313253925539178</v>
      </c>
      <c r="AI69">
        <f t="shared" ca="1" si="17"/>
        <v>8.0506159848810273E-5</v>
      </c>
      <c r="AK69">
        <f t="shared" ca="1" si="32"/>
        <v>6.7922098917915966E-2</v>
      </c>
      <c r="AM69">
        <f t="shared" ca="1" si="18"/>
        <v>11595.490243606813</v>
      </c>
      <c r="AN69" s="6">
        <f t="shared" si="19"/>
        <v>1.9495613999999998E-5</v>
      </c>
      <c r="AO69" s="6">
        <f t="shared" ca="1" si="20"/>
        <v>4637646.9846094605</v>
      </c>
      <c r="AP69" s="6">
        <f t="shared" ca="1" si="21"/>
        <v>2.3198028546201001E-3</v>
      </c>
    </row>
    <row r="70" spans="1:42" x14ac:dyDescent="0.25">
      <c r="A70">
        <f t="shared" si="22"/>
        <v>31</v>
      </c>
      <c r="B70">
        <f t="shared" si="0"/>
        <v>1.2873774835438925</v>
      </c>
      <c r="C70">
        <f t="shared" ca="1" si="33"/>
        <v>944429710.95710158</v>
      </c>
      <c r="D70">
        <f t="shared" si="4"/>
        <v>10000000</v>
      </c>
      <c r="E70">
        <f t="shared" ca="1" si="5"/>
        <v>10000000.004894193</v>
      </c>
      <c r="F70">
        <f t="shared" ca="1" si="23"/>
        <v>3673033800.3992634</v>
      </c>
      <c r="G70">
        <f t="shared" ca="1" si="1"/>
        <v>949.9969668591184</v>
      </c>
      <c r="H70">
        <f t="shared" ca="1" si="24"/>
        <v>9499969673.2406521</v>
      </c>
      <c r="I70">
        <f t="shared" ca="1" si="6"/>
        <v>791842534.76433027</v>
      </c>
      <c r="J70">
        <f t="shared" ca="1" si="34"/>
        <v>373360137901.12891</v>
      </c>
      <c r="K70">
        <f t="shared" ca="1" si="7"/>
        <v>1.9230089753696433E-5</v>
      </c>
      <c r="L70">
        <f t="shared" ca="1" si="25"/>
        <v>-68210122020.133438</v>
      </c>
      <c r="M70">
        <f t="shared" ca="1" si="26"/>
        <v>-68210122062.989334</v>
      </c>
      <c r="N70">
        <f t="shared" ca="1" si="8"/>
        <v>68210122096.372688</v>
      </c>
      <c r="O70">
        <f t="shared" ca="1" si="9"/>
        <v>-68210121986.750084</v>
      </c>
      <c r="Q70">
        <f t="shared" si="27"/>
        <v>31</v>
      </c>
      <c r="R70" s="23">
        <f t="shared" si="38"/>
        <v>45.036987348112582</v>
      </c>
      <c r="S70">
        <f t="shared" ca="1" si="28"/>
        <v>4.8437690560418451E-3</v>
      </c>
      <c r="T70" s="23">
        <f t="shared" ca="1" si="36"/>
        <v>499999.9999998376</v>
      </c>
      <c r="U70">
        <f t="shared" ca="1" si="37"/>
        <v>354947.94433619891</v>
      </c>
      <c r="V70">
        <f t="shared" ca="1" si="35"/>
        <v>352.36000314835002</v>
      </c>
      <c r="W70">
        <f t="shared" ca="1" si="29"/>
        <v>3.3387362792155497E-12</v>
      </c>
      <c r="X70">
        <f t="shared" ca="1" si="10"/>
        <v>1.1850775789882489E-6</v>
      </c>
      <c r="Y70">
        <f t="shared" ca="1" si="11"/>
        <v>1.208899602240571E-4</v>
      </c>
      <c r="Z70">
        <f t="shared" ca="1" si="12"/>
        <v>145.55711705172905</v>
      </c>
      <c r="AA70">
        <f t="shared" ca="1" si="13"/>
        <v>487.19185940752953</v>
      </c>
      <c r="AB70" s="6">
        <f t="shared" ca="1" si="30"/>
        <v>-3.6004990033898232E-9</v>
      </c>
      <c r="AC70">
        <f t="shared" ca="1" si="14"/>
        <v>71.873774433532759</v>
      </c>
      <c r="AD70">
        <f t="shared" ca="1" si="31"/>
        <v>29.017889872154122</v>
      </c>
      <c r="AE70">
        <f t="shared" ca="1" si="15"/>
        <v>0.3538501146363342</v>
      </c>
      <c r="AF70">
        <f t="shared" ca="1" si="16"/>
        <v>101.2455144203232</v>
      </c>
      <c r="AG70">
        <f t="shared" ca="1" si="3"/>
        <v>0.59320173470039317</v>
      </c>
      <c r="AI70">
        <f t="shared" ca="1" si="17"/>
        <v>8.0515551779259894E-5</v>
      </c>
      <c r="AK70">
        <f t="shared" ca="1" si="32"/>
        <v>6.7930541036601857E-2</v>
      </c>
      <c r="AM70">
        <f t="shared" ca="1" si="18"/>
        <v>11594.13765972096</v>
      </c>
      <c r="AN70" s="6">
        <f t="shared" si="19"/>
        <v>1.9495613999999998E-5</v>
      </c>
      <c r="AO70" s="6">
        <f t="shared" ca="1" si="20"/>
        <v>4637646.9846094605</v>
      </c>
      <c r="AP70" s="6">
        <f t="shared" ca="1" si="21"/>
        <v>2.3198028546201001E-3</v>
      </c>
    </row>
    <row r="71" spans="1:42" x14ac:dyDescent="0.25">
      <c r="A71">
        <f t="shared" si="22"/>
        <v>32</v>
      </c>
      <c r="B71">
        <f t="shared" si="0"/>
        <v>1.3289057894646632</v>
      </c>
      <c r="C71">
        <f t="shared" ca="1" si="33"/>
        <v>977313589.98187327</v>
      </c>
      <c r="D71">
        <f t="shared" si="4"/>
        <v>10000000</v>
      </c>
      <c r="E71">
        <f t="shared" ca="1" si="5"/>
        <v>10000000.004729519</v>
      </c>
      <c r="F71">
        <f t="shared" ca="1" si="23"/>
        <v>3673034432.7592087</v>
      </c>
      <c r="G71">
        <f t="shared" ca="1" si="1"/>
        <v>949.99696685964057</v>
      </c>
      <c r="H71">
        <f t="shared" ca="1" si="24"/>
        <v>9499969673.0894337</v>
      </c>
      <c r="I71">
        <f t="shared" ca="1" si="6"/>
        <v>791842534.75172591</v>
      </c>
      <c r="J71">
        <f t="shared" ca="1" si="34"/>
        <v>386360077382.42188</v>
      </c>
      <c r="K71">
        <f t="shared" ca="1" si="7"/>
        <v>1.8583050844522482E-5</v>
      </c>
      <c r="L71">
        <f t="shared" ca="1" si="25"/>
        <v>-70585114438.443604</v>
      </c>
      <c r="M71">
        <f t="shared" ca="1" si="26"/>
        <v>-70585114481.2995</v>
      </c>
      <c r="N71">
        <f t="shared" ca="1" si="8"/>
        <v>70585114514.682861</v>
      </c>
      <c r="O71">
        <f t="shared" ca="1" si="9"/>
        <v>-70585114405.060242</v>
      </c>
      <c r="Q71">
        <f t="shared" si="27"/>
        <v>32</v>
      </c>
      <c r="R71" s="23">
        <f t="shared" si="38"/>
        <v>46.489793391600081</v>
      </c>
      <c r="S71">
        <f t="shared" ca="1" si="28"/>
        <v>5.0193987208523184E-3</v>
      </c>
      <c r="T71" s="23">
        <f t="shared" ca="1" si="36"/>
        <v>499999.99999983236</v>
      </c>
      <c r="U71">
        <f t="shared" ca="1" si="37"/>
        <v>354929.76912068675</v>
      </c>
      <c r="V71">
        <f t="shared" ca="1" si="35"/>
        <v>352.44556849131618</v>
      </c>
      <c r="W71">
        <f t="shared" ca="1" si="29"/>
        <v>3.3658227042381494E-12</v>
      </c>
      <c r="X71">
        <f t="shared" ca="1" si="10"/>
        <v>1.1946306753164119E-6</v>
      </c>
      <c r="Y71">
        <f t="shared" ca="1" si="11"/>
        <v>1.2186447316363541E-4</v>
      </c>
      <c r="Z71">
        <f t="shared" ca="1" si="12"/>
        <v>145.57604141100984</v>
      </c>
      <c r="AA71">
        <f t="shared" ca="1" si="13"/>
        <v>487.18956407875299</v>
      </c>
      <c r="AB71" s="6">
        <f t="shared" ca="1" si="30"/>
        <v>-3.6009221302492099E-9</v>
      </c>
      <c r="AC71">
        <f t="shared" ca="1" si="14"/>
        <v>71.861089825307516</v>
      </c>
      <c r="AD71">
        <f t="shared" ca="1" si="31"/>
        <v>29.00520526392889</v>
      </c>
      <c r="AE71">
        <f t="shared" ca="1" si="15"/>
        <v>0.36653472286156852</v>
      </c>
      <c r="AF71">
        <f t="shared" ca="1" si="16"/>
        <v>101.23282981209798</v>
      </c>
      <c r="AG71">
        <f t="shared" ca="1" si="3"/>
        <v>0.5932714471449041</v>
      </c>
      <c r="AI71">
        <f t="shared" ca="1" si="17"/>
        <v>8.0525013882297254E-5</v>
      </c>
      <c r="AK71">
        <f t="shared" ca="1" si="32"/>
        <v>6.7939052823748139E-2</v>
      </c>
      <c r="AM71">
        <f t="shared" ca="1" si="18"/>
        <v>11592.775288950977</v>
      </c>
      <c r="AN71" s="6">
        <f t="shared" si="19"/>
        <v>1.9495613999999998E-5</v>
      </c>
      <c r="AO71" s="6">
        <f t="shared" ca="1" si="20"/>
        <v>4637646.9846094595</v>
      </c>
      <c r="AP71" s="6">
        <f t="shared" ca="1" si="21"/>
        <v>2.319802854620101E-3</v>
      </c>
    </row>
    <row r="72" spans="1:42" x14ac:dyDescent="0.25">
      <c r="A72">
        <f t="shared" si="22"/>
        <v>33</v>
      </c>
      <c r="B72">
        <f t="shared" si="0"/>
        <v>1.3704340953854339</v>
      </c>
      <c r="C72">
        <f t="shared" ca="1" si="33"/>
        <v>1010197469.0061215</v>
      </c>
      <c r="D72">
        <f t="shared" si="4"/>
        <v>10000000</v>
      </c>
      <c r="E72">
        <f t="shared" ca="1" si="5"/>
        <v>10000000.004575567</v>
      </c>
      <c r="F72">
        <f t="shared" ca="1" si="23"/>
        <v>3673035043.8420048</v>
      </c>
      <c r="G72">
        <f t="shared" ca="1" si="1"/>
        <v>949.99696686014522</v>
      </c>
      <c r="H72">
        <f t="shared" ca="1" si="24"/>
        <v>9499969672.9482269</v>
      </c>
      <c r="I72">
        <f t="shared" ca="1" si="6"/>
        <v>791842534.73995614</v>
      </c>
      <c r="J72">
        <f t="shared" ca="1" si="34"/>
        <v>399360016863.50391</v>
      </c>
      <c r="K72">
        <f t="shared" ca="1" si="7"/>
        <v>1.7978136666458355E-5</v>
      </c>
      <c r="L72">
        <f t="shared" ca="1" si="25"/>
        <v>-72960106856.715958</v>
      </c>
      <c r="M72">
        <f t="shared" ca="1" si="26"/>
        <v>-72960106899.571838</v>
      </c>
      <c r="N72">
        <f t="shared" ca="1" si="8"/>
        <v>72960106932.9552</v>
      </c>
      <c r="O72">
        <f t="shared" ca="1" si="9"/>
        <v>-72960106823.332581</v>
      </c>
      <c r="Q72">
        <f t="shared" si="27"/>
        <v>33</v>
      </c>
      <c r="R72" s="23">
        <f t="shared" si="38"/>
        <v>47.94259943508758</v>
      </c>
      <c r="S72">
        <f t="shared" ca="1" si="28"/>
        <v>5.1964441639508682E-3</v>
      </c>
      <c r="T72" s="23">
        <f t="shared" ca="1" si="36"/>
        <v>499999.99999982712</v>
      </c>
      <c r="U72">
        <f t="shared" ca="1" si="37"/>
        <v>354911.44278134778</v>
      </c>
      <c r="V72">
        <f t="shared" ca="1" si="35"/>
        <v>352.53182318356147</v>
      </c>
      <c r="W72">
        <f t="shared" ca="1" si="29"/>
        <v>3.3933362911340355E-12</v>
      </c>
      <c r="X72">
        <f t="shared" ca="1" si="10"/>
        <v>1.2043338789286881E-6</v>
      </c>
      <c r="Y72">
        <f t="shared" ca="1" si="11"/>
        <v>1.2285429857214196E-4</v>
      </c>
      <c r="Z72">
        <f t="shared" ca="1" si="12"/>
        <v>145.59512312312069</v>
      </c>
      <c r="AA72">
        <f t="shared" ca="1" si="13"/>
        <v>487.18725026886119</v>
      </c>
      <c r="AB72" s="6">
        <f t="shared" ca="1" si="30"/>
        <v>-3.6013484421117274E-9</v>
      </c>
      <c r="AC72">
        <f t="shared" ca="1" si="14"/>
        <v>71.848302964464906</v>
      </c>
      <c r="AD72">
        <f t="shared" ca="1" si="31"/>
        <v>28.992418403086265</v>
      </c>
      <c r="AE72">
        <f t="shared" ca="1" si="15"/>
        <v>0.37932158370419194</v>
      </c>
      <c r="AF72">
        <f t="shared" ca="1" si="16"/>
        <v>101.22004295125537</v>
      </c>
      <c r="AG72">
        <f t="shared" ca="1" si="3"/>
        <v>0.59334168433595214</v>
      </c>
      <c r="AI72">
        <f t="shared" ca="1" si="17"/>
        <v>8.0534547209430083E-5</v>
      </c>
      <c r="AK72">
        <f t="shared" ca="1" si="32"/>
        <v>6.7947635384957419E-2</v>
      </c>
      <c r="AM72">
        <f t="shared" ca="1" si="18"/>
        <v>11591.402986963363</v>
      </c>
      <c r="AN72" s="6">
        <f t="shared" si="19"/>
        <v>1.9495613999999998E-5</v>
      </c>
      <c r="AO72" s="6">
        <f t="shared" ca="1" si="20"/>
        <v>4637646.9846094595</v>
      </c>
      <c r="AP72" s="6">
        <f t="shared" ca="1" si="21"/>
        <v>2.319802854620101E-3</v>
      </c>
    </row>
    <row r="73" spans="1:42" x14ac:dyDescent="0.25">
      <c r="A73">
        <f t="shared" si="22"/>
        <v>34</v>
      </c>
      <c r="B73">
        <f t="shared" si="0"/>
        <v>1.4119624013062044</v>
      </c>
      <c r="C73">
        <f t="shared" ca="1" si="33"/>
        <v>1043081348.0298808</v>
      </c>
      <c r="D73">
        <f t="shared" si="4"/>
        <v>10000000</v>
      </c>
      <c r="E73">
        <f t="shared" ca="1" si="5"/>
        <v>10000000.004431313</v>
      </c>
      <c r="F73">
        <f t="shared" ca="1" si="23"/>
        <v>3673035635.032876</v>
      </c>
      <c r="G73">
        <f t="shared" ca="1" si="1"/>
        <v>949.99696686063351</v>
      </c>
      <c r="H73">
        <f t="shared" ca="1" si="24"/>
        <v>9499969672.8160686</v>
      </c>
      <c r="I73">
        <f t="shared" ca="1" si="6"/>
        <v>791842534.72894049</v>
      </c>
      <c r="J73">
        <f t="shared" ca="1" si="34"/>
        <v>412359956344.39844</v>
      </c>
      <c r="K73">
        <f t="shared" ca="1" si="7"/>
        <v>1.7411363183613154E-5</v>
      </c>
      <c r="L73">
        <f t="shared" ca="1" si="25"/>
        <v>-75335099274.953003</v>
      </c>
      <c r="M73">
        <f t="shared" ca="1" si="26"/>
        <v>-75335099317.808884</v>
      </c>
      <c r="N73">
        <f t="shared" ca="1" si="8"/>
        <v>75335099351.192245</v>
      </c>
      <c r="O73">
        <f t="shared" ca="1" si="9"/>
        <v>-75335099241.569656</v>
      </c>
      <c r="Q73">
        <f t="shared" si="27"/>
        <v>34</v>
      </c>
      <c r="R73" s="23">
        <f t="shared" si="38"/>
        <v>49.395405478575086</v>
      </c>
      <c r="S73">
        <f t="shared" ca="1" si="28"/>
        <v>5.3749276313848947E-3</v>
      </c>
      <c r="T73" s="23">
        <f t="shared" ca="1" si="36"/>
        <v>499999.99999982188</v>
      </c>
      <c r="U73">
        <f t="shared" ca="1" si="37"/>
        <v>354892.96290174249</v>
      </c>
      <c r="V73">
        <f t="shared" ca="1" si="35"/>
        <v>352.61877805327913</v>
      </c>
      <c r="W73">
        <f t="shared" ca="1" si="29"/>
        <v>3.4212870863815862E-12</v>
      </c>
      <c r="X73">
        <f t="shared" ca="1" si="10"/>
        <v>1.2141907110234309E-6</v>
      </c>
      <c r="Y73">
        <f t="shared" ca="1" si="11"/>
        <v>1.2385979564760429E-4</v>
      </c>
      <c r="Z73">
        <f t="shared" ca="1" si="12"/>
        <v>145.61436470410135</v>
      </c>
      <c r="AA73">
        <f t="shared" ca="1" si="13"/>
        <v>487.18491768765159</v>
      </c>
      <c r="AB73" s="6">
        <f t="shared" ca="1" si="30"/>
        <v>-3.6017779870621008E-9</v>
      </c>
      <c r="AC73">
        <f t="shared" ca="1" si="14"/>
        <v>71.835412244315052</v>
      </c>
      <c r="AD73">
        <f t="shared" ca="1" si="31"/>
        <v>28.979527682936425</v>
      </c>
      <c r="AE73">
        <f t="shared" ca="1" si="15"/>
        <v>0.39221230385403183</v>
      </c>
      <c r="AF73">
        <f t="shared" ca="1" si="16"/>
        <v>101.20715223110551</v>
      </c>
      <c r="AG73">
        <f t="shared" ca="1" si="3"/>
        <v>0.59341245419575572</v>
      </c>
      <c r="AI73">
        <f t="shared" ca="1" si="17"/>
        <v>8.0544152835944821E-5</v>
      </c>
      <c r="AK73">
        <f t="shared" ca="1" si="32"/>
        <v>6.7956289851892643E-2</v>
      </c>
      <c r="AM73">
        <f t="shared" ca="1" si="18"/>
        <v>11590.020606195125</v>
      </c>
      <c r="AN73" s="6">
        <f t="shared" si="19"/>
        <v>1.9495613999999998E-5</v>
      </c>
      <c r="AO73" s="6">
        <f t="shared" ca="1" si="20"/>
        <v>4637646.9846094595</v>
      </c>
      <c r="AP73" s="6">
        <f t="shared" ca="1" si="21"/>
        <v>2.319802854620101E-3</v>
      </c>
    </row>
    <row r="74" spans="1:42" x14ac:dyDescent="0.25">
      <c r="A74">
        <f t="shared" si="22"/>
        <v>35</v>
      </c>
      <c r="B74">
        <f t="shared" si="0"/>
        <v>1.4534907072269754</v>
      </c>
      <c r="C74">
        <f t="shared" ca="1" si="33"/>
        <v>1075965227.0531828</v>
      </c>
      <c r="D74">
        <f t="shared" si="4"/>
        <v>10000000</v>
      </c>
      <c r="E74">
        <f t="shared" ca="1" si="5"/>
        <v>10000000.004295886</v>
      </c>
      <c r="F74">
        <f t="shared" ca="1" si="23"/>
        <v>3673036207.5860367</v>
      </c>
      <c r="G74">
        <f t="shared" ca="1" si="1"/>
        <v>949.99696686110622</v>
      </c>
      <c r="H74">
        <f t="shared" ca="1" si="24"/>
        <v>9499969672.6921406</v>
      </c>
      <c r="I74">
        <f t="shared" ca="1" si="6"/>
        <v>791842534.71861076</v>
      </c>
      <c r="J74">
        <f t="shared" ca="1" si="34"/>
        <v>425359895825.10938</v>
      </c>
      <c r="K74">
        <f t="shared" ca="1" si="7"/>
        <v>1.6879233403901355E-5</v>
      </c>
      <c r="L74">
        <f t="shared" ca="1" si="25"/>
        <v>-77710091693.157028</v>
      </c>
      <c r="M74">
        <f t="shared" ca="1" si="26"/>
        <v>-77710091736.012909</v>
      </c>
      <c r="N74">
        <f t="shared" ca="1" si="8"/>
        <v>77710091769.396271</v>
      </c>
      <c r="O74">
        <f t="shared" ca="1" si="9"/>
        <v>-77710091659.773651</v>
      </c>
      <c r="Q74">
        <f t="shared" si="27"/>
        <v>35</v>
      </c>
      <c r="R74" s="23">
        <f t="shared" si="38"/>
        <v>50.848211522062584</v>
      </c>
      <c r="S74">
        <f t="shared" ca="1" si="28"/>
        <v>5.5548718910468607E-3</v>
      </c>
      <c r="T74" s="23">
        <f t="shared" ca="1" si="36"/>
        <v>499999.99999981665</v>
      </c>
      <c r="U74">
        <f t="shared" ca="1" si="37"/>
        <v>354874.32700803922</v>
      </c>
      <c r="V74">
        <f t="shared" ca="1" si="35"/>
        <v>352.70644418261094</v>
      </c>
      <c r="W74">
        <f t="shared" ca="1" si="29"/>
        <v>3.449685451641938E-12</v>
      </c>
      <c r="X74">
        <f t="shared" ca="1" si="10"/>
        <v>1.2242048030408567E-6</v>
      </c>
      <c r="Y74">
        <f t="shared" ca="1" si="11"/>
        <v>1.2488133483384069E-4</v>
      </c>
      <c r="Z74">
        <f t="shared" ca="1" si="12"/>
        <v>145.6337687297497</v>
      </c>
      <c r="AA74">
        <f t="shared" ca="1" si="13"/>
        <v>487.18256603811653</v>
      </c>
      <c r="AB74" s="6">
        <f t="shared" ca="1" si="30"/>
        <v>-3.6022108142806715E-9</v>
      </c>
      <c r="AC74">
        <f t="shared" ca="1" si="14"/>
        <v>71.822416020478627</v>
      </c>
      <c r="AD74">
        <f t="shared" ca="1" si="31"/>
        <v>28.966531459100008</v>
      </c>
      <c r="AE74">
        <f t="shared" ca="1" si="15"/>
        <v>0.40520852769044924</v>
      </c>
      <c r="AF74">
        <f t="shared" ca="1" si="16"/>
        <v>101.19415600726909</v>
      </c>
      <c r="AG74">
        <f t="shared" ca="1" si="3"/>
        <v>0.59348376482704346</v>
      </c>
      <c r="AI74">
        <f t="shared" ca="1" si="17"/>
        <v>8.0553831861628652E-5</v>
      </c>
      <c r="AK74">
        <f t="shared" ca="1" si="32"/>
        <v>6.7965017383094573E-2</v>
      </c>
      <c r="AM74">
        <f t="shared" ca="1" si="18"/>
        <v>11588.627995756475</v>
      </c>
      <c r="AN74" s="6">
        <f t="shared" si="19"/>
        <v>1.9495613999999998E-5</v>
      </c>
      <c r="AO74" s="6">
        <f t="shared" ca="1" si="20"/>
        <v>4637646.9846094586</v>
      </c>
      <c r="AP74" s="6">
        <f t="shared" ca="1" si="21"/>
        <v>2.319802854620101E-3</v>
      </c>
    </row>
    <row r="75" spans="1:42" x14ac:dyDescent="0.25">
      <c r="A75">
        <f t="shared" si="22"/>
        <v>36</v>
      </c>
      <c r="B75">
        <f t="shared" si="0"/>
        <v>1.4950190131477461</v>
      </c>
      <c r="C75">
        <f t="shared" ca="1" si="33"/>
        <v>1108849106.0760558</v>
      </c>
      <c r="D75">
        <f t="shared" si="4"/>
        <v>10000000</v>
      </c>
      <c r="E75">
        <f t="shared" ca="1" si="5"/>
        <v>10000000.004168488</v>
      </c>
      <c r="F75">
        <f t="shared" ca="1" si="23"/>
        <v>3673036762.6407061</v>
      </c>
      <c r="G75">
        <f t="shared" ca="1" si="1"/>
        <v>949.9969668615646</v>
      </c>
      <c r="H75">
        <f t="shared" ca="1" si="24"/>
        <v>9499969672.5756969</v>
      </c>
      <c r="I75">
        <f t="shared" ca="1" si="6"/>
        <v>791842534.70890486</v>
      </c>
      <c r="J75">
        <f t="shared" ca="1" si="34"/>
        <v>438359835305.65625</v>
      </c>
      <c r="K75">
        <f t="shared" ca="1" si="7"/>
        <v>1.637866516051806E-5</v>
      </c>
      <c r="L75">
        <f t="shared" ca="1" si="25"/>
        <v>-80085084111.330048</v>
      </c>
      <c r="M75">
        <f t="shared" ca="1" si="26"/>
        <v>-80085084154.185944</v>
      </c>
      <c r="N75">
        <f t="shared" ca="1" si="8"/>
        <v>80085084187.569305</v>
      </c>
      <c r="O75">
        <f t="shared" ca="1" si="9"/>
        <v>-80085084077.946686</v>
      </c>
      <c r="Q75">
        <f t="shared" si="27"/>
        <v>36</v>
      </c>
      <c r="R75" s="23">
        <f t="shared" si="38"/>
        <v>52.30101756555009</v>
      </c>
      <c r="S75">
        <f t="shared" ca="1" si="28"/>
        <v>5.7363002490122515E-3</v>
      </c>
      <c r="T75" s="23">
        <f t="shared" ca="1" si="36"/>
        <v>499999.99999981141</v>
      </c>
      <c r="U75">
        <f t="shared" ca="1" si="37"/>
        <v>354855.53256719944</v>
      </c>
      <c r="V75">
        <f t="shared" ca="1" si="35"/>
        <v>352.7948329155966</v>
      </c>
      <c r="W75">
        <f t="shared" ca="1" si="29"/>
        <v>3.4785420761573996E-12</v>
      </c>
      <c r="X75">
        <f t="shared" ca="1" si="10"/>
        <v>1.2343799009922457E-6</v>
      </c>
      <c r="Y75">
        <f t="shared" ca="1" si="11"/>
        <v>1.2591929826208265E-4</v>
      </c>
      <c r="Z75">
        <f t="shared" ca="1" si="12"/>
        <v>145.65333783751075</v>
      </c>
      <c r="AA75">
        <f t="shared" ca="1" si="13"/>
        <v>487.18019501623155</v>
      </c>
      <c r="AB75" s="6">
        <f t="shared" ca="1" si="30"/>
        <v>-3.6026469740769182E-9</v>
      </c>
      <c r="AC75">
        <f t="shared" ca="1" si="14"/>
        <v>71.809312609706751</v>
      </c>
      <c r="AD75">
        <f t="shared" ca="1" si="31"/>
        <v>28.953428048328131</v>
      </c>
      <c r="AE75">
        <f t="shared" ca="1" si="15"/>
        <v>0.41831193846232539</v>
      </c>
      <c r="AF75">
        <f t="shared" ca="1" si="16"/>
        <v>101.18105259649721</v>
      </c>
      <c r="AG75">
        <f t="shared" ca="1" si="3"/>
        <v>0.59355562451857413</v>
      </c>
      <c r="AI75">
        <f t="shared" ca="1" si="17"/>
        <v>8.0563585411518721E-5</v>
      </c>
      <c r="AK75">
        <f t="shared" ca="1" si="32"/>
        <v>6.7973819164831722E-2</v>
      </c>
      <c r="AM75">
        <f t="shared" ca="1" si="18"/>
        <v>11587.22500132994</v>
      </c>
      <c r="AN75" s="6">
        <f t="shared" si="19"/>
        <v>1.9495613999999998E-5</v>
      </c>
      <c r="AO75" s="6">
        <f t="shared" ca="1" si="20"/>
        <v>4637646.9846094586</v>
      </c>
      <c r="AP75" s="6">
        <f t="shared" ca="1" si="21"/>
        <v>2.319802854620101E-3</v>
      </c>
    </row>
    <row r="76" spans="1:42" x14ac:dyDescent="0.25">
      <c r="A76">
        <f t="shared" si="22"/>
        <v>37</v>
      </c>
      <c r="B76">
        <f t="shared" si="0"/>
        <v>1.5365473190685168</v>
      </c>
      <c r="C76">
        <f t="shared" ca="1" si="33"/>
        <v>1141732985.0985258</v>
      </c>
      <c r="D76">
        <f t="shared" si="4"/>
        <v>10000000</v>
      </c>
      <c r="E76">
        <f t="shared" ca="1" si="5"/>
        <v>10000000.004048428</v>
      </c>
      <c r="F76">
        <f t="shared" ca="1" si="23"/>
        <v>3673037301.2347498</v>
      </c>
      <c r="G76">
        <f t="shared" ca="1" si="1"/>
        <v>949.99696686200934</v>
      </c>
      <c r="H76">
        <f t="shared" ca="1" si="24"/>
        <v>9499969672.4660873</v>
      </c>
      <c r="I76">
        <f t="shared" ca="1" si="6"/>
        <v>791842534.69976866</v>
      </c>
      <c r="J76">
        <f t="shared" ca="1" si="34"/>
        <v>451359774786.03906</v>
      </c>
      <c r="K76">
        <f t="shared" ca="1" si="7"/>
        <v>1.5906931373524921E-5</v>
      </c>
      <c r="L76">
        <f t="shared" ca="1" si="25"/>
        <v>-82460076529.473984</v>
      </c>
      <c r="M76">
        <f t="shared" ca="1" si="26"/>
        <v>-82460076572.32988</v>
      </c>
      <c r="N76">
        <f t="shared" ca="1" si="8"/>
        <v>82460076605.713242</v>
      </c>
      <c r="O76">
        <f t="shared" ca="1" si="9"/>
        <v>-82460076496.090622</v>
      </c>
      <c r="Q76">
        <f t="shared" si="27"/>
        <v>37</v>
      </c>
      <c r="R76" s="23">
        <f t="shared" si="38"/>
        <v>53.753823609037589</v>
      </c>
      <c r="S76">
        <f t="shared" ca="1" si="28"/>
        <v>5.9192365665191099E-3</v>
      </c>
      <c r="T76" s="23">
        <f t="shared" ca="1" si="36"/>
        <v>499999.99999980617</v>
      </c>
      <c r="U76">
        <f t="shared" ca="1" si="37"/>
        <v>354836.57698509149</v>
      </c>
      <c r="V76">
        <f t="shared" ca="1" si="35"/>
        <v>352.88395586643514</v>
      </c>
      <c r="W76">
        <f t="shared" ca="1" si="29"/>
        <v>3.507867989737552E-12</v>
      </c>
      <c r="X76">
        <f t="shared" ca="1" si="10"/>
        <v>1.244719869994047E-6</v>
      </c>
      <c r="Y76">
        <f t="shared" ca="1" si="11"/>
        <v>1.2697408021349963E-4</v>
      </c>
      <c r="Z76">
        <f t="shared" ca="1" si="12"/>
        <v>145.67307472844072</v>
      </c>
      <c r="AA76">
        <f t="shared" ca="1" si="13"/>
        <v>487.17780431073317</v>
      </c>
      <c r="AB76" s="6">
        <f t="shared" ca="1" si="30"/>
        <v>-3.6030865179242544E-9</v>
      </c>
      <c r="AC76">
        <f t="shared" ca="1" si="14"/>
        <v>71.796100288654699</v>
      </c>
      <c r="AD76">
        <f t="shared" ca="1" si="31"/>
        <v>28.940215727276072</v>
      </c>
      <c r="AE76">
        <f t="shared" ca="1" si="15"/>
        <v>0.43152425951438494</v>
      </c>
      <c r="AF76">
        <f t="shared" ca="1" si="16"/>
        <v>101.16784027544516</v>
      </c>
      <c r="AG76">
        <f t="shared" ca="1" si="3"/>
        <v>0.59362804175087192</v>
      </c>
      <c r="AI76">
        <f t="shared" ca="1" si="17"/>
        <v>8.0573414636680597E-5</v>
      </c>
      <c r="AK76">
        <f t="shared" ca="1" si="32"/>
        <v>6.798269641198354E-2</v>
      </c>
      <c r="AM76">
        <f t="shared" ca="1" si="18"/>
        <v>11585.811465065493</v>
      </c>
      <c r="AN76" s="6">
        <f t="shared" si="19"/>
        <v>1.9495613999999998E-5</v>
      </c>
      <c r="AO76" s="6">
        <f t="shared" ca="1" si="20"/>
        <v>4637646.9846094595</v>
      </c>
      <c r="AP76" s="6">
        <f t="shared" ca="1" si="21"/>
        <v>2.319802854620101E-3</v>
      </c>
    </row>
    <row r="77" spans="1:42" x14ac:dyDescent="0.25">
      <c r="A77">
        <f t="shared" si="22"/>
        <v>38</v>
      </c>
      <c r="B77">
        <f t="shared" si="0"/>
        <v>1.5780756249892876</v>
      </c>
      <c r="C77">
        <f t="shared" ca="1" si="33"/>
        <v>1174616864.1206162</v>
      </c>
      <c r="D77">
        <f t="shared" si="4"/>
        <v>10000000</v>
      </c>
      <c r="E77">
        <f t="shared" ca="1" si="5"/>
        <v>10000000.003935093</v>
      </c>
      <c r="F77">
        <f t="shared" ca="1" si="23"/>
        <v>3673037824.3163567</v>
      </c>
      <c r="G77">
        <f t="shared" ca="1" si="1"/>
        <v>949.99696686244135</v>
      </c>
      <c r="H77">
        <f t="shared" ca="1" si="24"/>
        <v>9499969672.3627396</v>
      </c>
      <c r="I77">
        <f t="shared" ca="1" si="6"/>
        <v>791842534.69115448</v>
      </c>
      <c r="J77">
        <f t="shared" ca="1" si="34"/>
        <v>464359714266.26953</v>
      </c>
      <c r="K77">
        <f t="shared" ca="1" si="7"/>
        <v>1.5461610345841135E-5</v>
      </c>
      <c r="L77">
        <f t="shared" ca="1" si="25"/>
        <v>-84835068947.5905</v>
      </c>
      <c r="M77">
        <f t="shared" ca="1" si="26"/>
        <v>-84835068990.446381</v>
      </c>
      <c r="N77">
        <f t="shared" ca="1" si="8"/>
        <v>84835069023.829742</v>
      </c>
      <c r="O77">
        <f t="shared" ca="1" si="9"/>
        <v>-84835068914.207123</v>
      </c>
      <c r="Q77">
        <f t="shared" si="27"/>
        <v>38</v>
      </c>
      <c r="R77" s="23">
        <f t="shared" si="38"/>
        <v>55.206629652525088</v>
      </c>
      <c r="S77">
        <f t="shared" ca="1" si="28"/>
        <v>6.1037052776195489E-3</v>
      </c>
      <c r="T77" s="23">
        <f t="shared" ca="1" si="36"/>
        <v>499999.99999980093</v>
      </c>
      <c r="U77">
        <f t="shared" ca="1" si="37"/>
        <v>354817.4576045291</v>
      </c>
      <c r="V77">
        <f t="shared" ca="1" si="35"/>
        <v>352.9738249280731</v>
      </c>
      <c r="W77">
        <f t="shared" ca="1" si="29"/>
        <v>3.5376745763661385E-12</v>
      </c>
      <c r="X77">
        <f t="shared" ca="1" si="10"/>
        <v>1.2552286990184129E-6</v>
      </c>
      <c r="Y77">
        <f t="shared" ca="1" si="11"/>
        <v>1.2804608760380197E-4</v>
      </c>
      <c r="Z77">
        <f t="shared" ca="1" si="12"/>
        <v>145.6929821692494</v>
      </c>
      <c r="AA77">
        <f t="shared" ca="1" si="13"/>
        <v>487.17539360288953</v>
      </c>
      <c r="AB77" s="6">
        <f t="shared" ca="1" si="30"/>
        <v>-3.6035294984961837E-9</v>
      </c>
      <c r="AC77">
        <f t="shared" ca="1" si="14"/>
        <v>71.782777292607037</v>
      </c>
      <c r="AD77">
        <f t="shared" ca="1" si="31"/>
        <v>28.926892731228406</v>
      </c>
      <c r="AE77">
        <f t="shared" ca="1" si="15"/>
        <v>0.44484725556205185</v>
      </c>
      <c r="AF77">
        <f t="shared" ca="1" si="16"/>
        <v>101.1545172793975</v>
      </c>
      <c r="AG77">
        <f t="shared" ca="1" si="3"/>
        <v>0.59370102520218226</v>
      </c>
      <c r="AI77">
        <f t="shared" ca="1" si="17"/>
        <v>8.0583320715016621E-5</v>
      </c>
      <c r="AK77">
        <f t="shared" ca="1" si="32"/>
        <v>6.7991650368959128E-2</v>
      </c>
      <c r="AM77">
        <f t="shared" ca="1" si="18"/>
        <v>11584.387225471728</v>
      </c>
      <c r="AN77" s="6">
        <f t="shared" si="19"/>
        <v>1.9495613999999998E-5</v>
      </c>
      <c r="AO77" s="6">
        <f t="shared" ca="1" si="20"/>
        <v>4637646.9846094595</v>
      </c>
      <c r="AP77" s="6">
        <f t="shared" ca="1" si="21"/>
        <v>2.319802854620101E-3</v>
      </c>
    </row>
    <row r="78" spans="1:42" x14ac:dyDescent="0.25">
      <c r="A78">
        <f t="shared" si="22"/>
        <v>39</v>
      </c>
      <c r="B78">
        <f t="shared" si="0"/>
        <v>1.6196039309100585</v>
      </c>
      <c r="C78">
        <f t="shared" ca="1" si="33"/>
        <v>1207500743.1423492</v>
      </c>
      <c r="D78">
        <f t="shared" si="4"/>
        <v>10000000</v>
      </c>
      <c r="E78">
        <f t="shared" ca="1" si="5"/>
        <v>10000000.003827928</v>
      </c>
      <c r="F78">
        <f t="shared" ca="1" si="23"/>
        <v>3673038332.7540808</v>
      </c>
      <c r="G78">
        <f t="shared" ca="1" si="1"/>
        <v>949.9969668628612</v>
      </c>
      <c r="H78">
        <f t="shared" ca="1" si="24"/>
        <v>9499969672.265131</v>
      </c>
      <c r="I78">
        <f t="shared" ca="1" si="6"/>
        <v>791842534.68301857</v>
      </c>
      <c r="J78">
        <f t="shared" ca="1" si="34"/>
        <v>477359653746.36719</v>
      </c>
      <c r="K78">
        <f t="shared" ca="1" si="7"/>
        <v>1.5040544180773941E-5</v>
      </c>
      <c r="L78">
        <f t="shared" ca="1" si="25"/>
        <v>-87210061365.681198</v>
      </c>
      <c r="M78">
        <f t="shared" ca="1" si="26"/>
        <v>-87210061408.537079</v>
      </c>
      <c r="N78">
        <f t="shared" ca="1" si="8"/>
        <v>87210061441.920441</v>
      </c>
      <c r="O78">
        <f t="shared" ca="1" si="9"/>
        <v>-87210061332.297821</v>
      </c>
      <c r="Q78">
        <f t="shared" si="27"/>
        <v>39</v>
      </c>
      <c r="R78" s="23">
        <f t="shared" si="38"/>
        <v>56.659435696012594</v>
      </c>
      <c r="S78">
        <f t="shared" ca="1" si="28"/>
        <v>6.2897314075352831E-3</v>
      </c>
      <c r="T78" s="23">
        <f t="shared" ca="1" si="36"/>
        <v>499999.99999979569</v>
      </c>
      <c r="U78">
        <f t="shared" ca="1" si="37"/>
        <v>354798.17170323111</v>
      </c>
      <c r="V78">
        <f t="shared" ca="1" si="35"/>
        <v>353.06445228113523</v>
      </c>
      <c r="W78">
        <f t="shared" ca="1" si="29"/>
        <v>3.5679735884631915E-12</v>
      </c>
      <c r="X78">
        <f t="shared" ca="1" si="10"/>
        <v>1.2659105058721571E-6</v>
      </c>
      <c r="Y78">
        <f t="shared" ca="1" si="11"/>
        <v>1.2913574049114513E-4</v>
      </c>
      <c r="Z78">
        <f t="shared" ca="1" si="12"/>
        <v>145.71306299442466</v>
      </c>
      <c r="AA78">
        <f t="shared" ca="1" si="13"/>
        <v>487.17296256626054</v>
      </c>
      <c r="AB78" s="6">
        <f ca="1">-32*AP78*AM78*AG78^2/PI()^2/$R$31^5</f>
        <v>-3.6039759697038688E-9</v>
      </c>
      <c r="AC78">
        <f t="shared" ca="1" si="14"/>
        <v>71.769341814151929</v>
      </c>
      <c r="AD78">
        <f t="shared" ca="1" si="31"/>
        <v>28.913457252773306</v>
      </c>
      <c r="AE78">
        <f t="shared" ca="1" si="15"/>
        <v>0.45828273401715236</v>
      </c>
      <c r="AF78">
        <f t="shared" ca="1" si="16"/>
        <v>101.14108180094239</v>
      </c>
      <c r="AG78">
        <f t="shared" ca="1" si="3"/>
        <v>0.59377458375466163</v>
      </c>
      <c r="AI78">
        <f t="shared" ca="1" si="17"/>
        <v>8.0593304852106089E-5</v>
      </c>
      <c r="AK78">
        <f t="shared" ca="1" si="32"/>
        <v>6.8000682310652774E-2</v>
      </c>
      <c r="AM78">
        <f t="shared" ca="1" si="18"/>
        <v>11582.952117302768</v>
      </c>
      <c r="AN78" s="6">
        <f t="shared" si="19"/>
        <v>1.9495613999999998E-5</v>
      </c>
      <c r="AO78" s="6">
        <f t="shared" ca="1" si="20"/>
        <v>4637646.9846094586</v>
      </c>
      <c r="AP78" s="6">
        <f t="shared" ca="1" si="21"/>
        <v>2.319802854620101E-3</v>
      </c>
    </row>
    <row r="79" spans="1:42" x14ac:dyDescent="0.25">
      <c r="A79">
        <f t="shared" si="22"/>
        <v>40</v>
      </c>
      <c r="B79">
        <f t="shared" si="0"/>
        <v>1.661132236830829</v>
      </c>
      <c r="C79">
        <f t="shared" ca="1" si="33"/>
        <v>1240384622.163744</v>
      </c>
      <c r="D79">
        <f t="shared" si="4"/>
        <v>10000000</v>
      </c>
      <c r="E79">
        <f t="shared" ca="1" si="5"/>
        <v>10000000.003726443</v>
      </c>
      <c r="F79">
        <f t="shared" ca="1" si="23"/>
        <v>3673038827.3455162</v>
      </c>
      <c r="G79">
        <f t="shared" ca="1" si="1"/>
        <v>949.99696686326968</v>
      </c>
      <c r="H79">
        <f t="shared" ca="1" si="24"/>
        <v>9499969672.1728058</v>
      </c>
      <c r="I79">
        <f t="shared" ca="1" si="6"/>
        <v>791842534.67532313</v>
      </c>
      <c r="J79">
        <f t="shared" ca="1" si="34"/>
        <v>490359593226.32422</v>
      </c>
      <c r="K79">
        <f t="shared" ca="1" si="7"/>
        <v>1.4641803813915376E-5</v>
      </c>
      <c r="L79">
        <f t="shared" ca="1" si="25"/>
        <v>-89585053783.747467</v>
      </c>
      <c r="M79">
        <f t="shared" ca="1" si="26"/>
        <v>-89585053826.603363</v>
      </c>
      <c r="N79">
        <f t="shared" ca="1" si="8"/>
        <v>89585053859.986725</v>
      </c>
      <c r="O79">
        <f t="shared" ca="1" si="9"/>
        <v>-89585053750.364105</v>
      </c>
      <c r="Q79">
        <f t="shared" si="27"/>
        <v>40</v>
      </c>
      <c r="R79" s="23">
        <f t="shared" si="38"/>
        <v>58.112241739500092</v>
      </c>
      <c r="S79">
        <f t="shared" ca="1" si="28"/>
        <v>6.4773405917510516E-3</v>
      </c>
      <c r="T79" s="23">
        <f t="shared" ca="1" si="36"/>
        <v>499999.99999979045</v>
      </c>
      <c r="U79">
        <f t="shared" ca="1" si="37"/>
        <v>354778.71649169823</v>
      </c>
      <c r="V79">
        <f t="shared" ca="1" si="35"/>
        <v>353.15585040321429</v>
      </c>
      <c r="W79">
        <f t="shared" ca="1" si="29"/>
        <v>3.598777161839702E-12</v>
      </c>
      <c r="X79">
        <f t="shared" ca="1" si="10"/>
        <v>1.2767695424171261E-6</v>
      </c>
      <c r="Y79">
        <f t="shared" ca="1" si="11"/>
        <v>1.302434726086607E-4</v>
      </c>
      <c r="Z79">
        <f t="shared" ca="1" si="12"/>
        <v>145.73332010844305</v>
      </c>
      <c r="AA79">
        <f t="shared" ca="1" si="13"/>
        <v>487.17051086644898</v>
      </c>
      <c r="AB79" s="6">
        <f t="shared" ca="1" si="30"/>
        <v>-3.6044259867351804E-9</v>
      </c>
      <c r="AC79">
        <f t="shared" ca="1" si="14"/>
        <v>71.755792001802163</v>
      </c>
      <c r="AD79">
        <f t="shared" ca="1" si="31"/>
        <v>28.899907440423547</v>
      </c>
      <c r="AE79">
        <f t="shared" ca="1" si="15"/>
        <v>0.47183254636691052</v>
      </c>
      <c r="AF79">
        <f t="shared" ca="1" si="16"/>
        <v>101.12753198859262</v>
      </c>
      <c r="AG79">
        <f t="shared" ca="1" si="3"/>
        <v>0.59384872650081066</v>
      </c>
      <c r="AI79">
        <f t="shared" ca="1" si="17"/>
        <v>8.0603368282078418E-5</v>
      </c>
      <c r="AK79">
        <f t="shared" ca="1" si="32"/>
        <v>6.8009793543438224E-2</v>
      </c>
      <c r="AM79">
        <f t="shared" ca="1" si="18"/>
        <v>11581.505971440762</v>
      </c>
      <c r="AN79" s="6">
        <f t="shared" si="19"/>
        <v>1.9495613999999998E-5</v>
      </c>
      <c r="AO79" s="6">
        <f t="shared" ca="1" si="20"/>
        <v>4637646.9846094595</v>
      </c>
      <c r="AP79" s="6">
        <f t="shared" ca="1" si="21"/>
        <v>2.319802854620101E-3</v>
      </c>
    </row>
    <row r="80" spans="1:42" x14ac:dyDescent="0.25">
      <c r="A80">
        <f t="shared" si="22"/>
        <v>41</v>
      </c>
      <c r="B80">
        <f t="shared" si="0"/>
        <v>1.7026605427515997</v>
      </c>
      <c r="C80">
        <f t="shared" ca="1" si="33"/>
        <v>1273268501.1848192</v>
      </c>
      <c r="D80">
        <f t="shared" si="4"/>
        <v>10000000</v>
      </c>
      <c r="E80">
        <f t="shared" ca="1" si="5"/>
        <v>10000000.003630204</v>
      </c>
      <c r="F80">
        <f t="shared" ca="1" si="23"/>
        <v>3673039308.8248215</v>
      </c>
      <c r="G80">
        <f t="shared" ca="1" si="1"/>
        <v>949.99696686366713</v>
      </c>
      <c r="H80">
        <f t="shared" ca="1" si="24"/>
        <v>9499969672.0853539</v>
      </c>
      <c r="I80">
        <f t="shared" ca="1" si="6"/>
        <v>791842534.66803384</v>
      </c>
      <c r="J80">
        <f t="shared" ca="1" si="34"/>
        <v>503359532706.15625</v>
      </c>
      <c r="K80">
        <f t="shared" ca="1" si="7"/>
        <v>1.426365946362731E-5</v>
      </c>
      <c r="L80">
        <f t="shared" ca="1" si="25"/>
        <v>-91960046201.790665</v>
      </c>
      <c r="M80">
        <f t="shared" ca="1" si="26"/>
        <v>-91960046244.646545</v>
      </c>
      <c r="N80">
        <f t="shared" ca="1" si="8"/>
        <v>91960046278.029907</v>
      </c>
      <c r="O80">
        <f t="shared" ca="1" si="9"/>
        <v>-91960046168.407288</v>
      </c>
      <c r="Q80">
        <f t="shared" si="27"/>
        <v>41</v>
      </c>
      <c r="R80" s="23">
        <f t="shared" si="38"/>
        <v>59.565047782987605</v>
      </c>
      <c r="S80">
        <f t="shared" ca="1" si="28"/>
        <v>6.6665590958817139E-3</v>
      </c>
      <c r="T80" s="23">
        <f t="shared" ca="1" si="36"/>
        <v>499999.99999978521</v>
      </c>
      <c r="U80">
        <f t="shared" ca="1" si="37"/>
        <v>354759.08911100333</v>
      </c>
      <c r="V80">
        <f t="shared" ca="1" si="35"/>
        <v>353.24803207853699</v>
      </c>
      <c r="W80">
        <f t="shared" ca="1" si="29"/>
        <v>3.6300978313839764E-12</v>
      </c>
      <c r="X80">
        <f t="shared" ca="1" si="10"/>
        <v>1.287810200045608E-6</v>
      </c>
      <c r="Y80">
        <f t="shared" ca="1" si="11"/>
        <v>1.3136973192300373E-4</v>
      </c>
      <c r="Z80">
        <f t="shared" ca="1" si="12"/>
        <v>145.75375648807059</v>
      </c>
      <c r="AA80">
        <f t="shared" ca="1" si="13"/>
        <v>487.16803816084206</v>
      </c>
      <c r="AB80" s="6">
        <f t="shared" ca="1" si="30"/>
        <v>-3.6048796060952937E-9</v>
      </c>
      <c r="AC80">
        <f t="shared" ca="1" si="14"/>
        <v>71.742125958560266</v>
      </c>
      <c r="AD80">
        <f t="shared" ca="1" si="31"/>
        <v>28.886241397181635</v>
      </c>
      <c r="AE80">
        <f t="shared" ca="1" si="15"/>
        <v>0.48549858960882192</v>
      </c>
      <c r="AF80">
        <f t="shared" ca="1" si="16"/>
        <v>101.11386594535072</v>
      </c>
      <c r="AG80">
        <f t="shared" ca="1" si="3"/>
        <v>0.59392346275016372</v>
      </c>
      <c r="AI80">
        <f t="shared" ca="1" si="17"/>
        <v>8.0613512268521095E-5</v>
      </c>
      <c r="AK80">
        <f t="shared" ca="1" si="32"/>
        <v>6.8018985406203519E-2</v>
      </c>
      <c r="AM80">
        <f t="shared" ca="1" si="18"/>
        <v>11580.048614773696</v>
      </c>
      <c r="AN80" s="6">
        <f t="shared" si="19"/>
        <v>1.9495613999999998E-5</v>
      </c>
      <c r="AO80" s="6">
        <f t="shared" ca="1" si="20"/>
        <v>4637646.9846094595</v>
      </c>
      <c r="AP80" s="6">
        <f t="shared" ca="1" si="21"/>
        <v>2.319802854620101E-3</v>
      </c>
    </row>
    <row r="81" spans="1:42" x14ac:dyDescent="0.25">
      <c r="A81">
        <f t="shared" si="22"/>
        <v>42</v>
      </c>
      <c r="B81">
        <f t="shared" si="0"/>
        <v>1.7441888486723705</v>
      </c>
      <c r="C81">
        <f t="shared" ca="1" si="33"/>
        <v>1306152380.2055919</v>
      </c>
      <c r="D81">
        <f t="shared" si="4"/>
        <v>10000000</v>
      </c>
      <c r="E81">
        <f t="shared" ca="1" si="5"/>
        <v>10000000.00353881</v>
      </c>
      <c r="F81">
        <f t="shared" ca="1" si="23"/>
        <v>3673039777.8692737</v>
      </c>
      <c r="G81">
        <f t="shared" ca="1" si="1"/>
        <v>949.99696686405457</v>
      </c>
      <c r="H81">
        <f t="shared" ca="1" si="24"/>
        <v>9499969672.0024033</v>
      </c>
      <c r="I81">
        <f t="shared" ca="1" si="6"/>
        <v>791842534.6611197</v>
      </c>
      <c r="J81">
        <f t="shared" ca="1" si="34"/>
        <v>516359472185.86719</v>
      </c>
      <c r="K81">
        <f t="shared" ca="1" si="7"/>
        <v>1.3904555545185751E-5</v>
      </c>
      <c r="L81">
        <f t="shared" ca="1" si="25"/>
        <v>-94335038619.811996</v>
      </c>
      <c r="M81">
        <f t="shared" ca="1" si="26"/>
        <v>-94335038662.667892</v>
      </c>
      <c r="N81">
        <f t="shared" ca="1" si="8"/>
        <v>94335038696.051254</v>
      </c>
      <c r="O81">
        <f t="shared" ca="1" si="9"/>
        <v>-94335038586.428635</v>
      </c>
      <c r="Q81">
        <f t="shared" si="27"/>
        <v>42</v>
      </c>
      <c r="R81" s="23">
        <f t="shared" si="38"/>
        <v>61.017853826475104</v>
      </c>
      <c r="S81">
        <f t="shared" ca="1" si="28"/>
        <v>6.8574138363507861E-3</v>
      </c>
      <c r="T81" s="23">
        <f t="shared" ca="1" si="36"/>
        <v>499999.99999977998</v>
      </c>
      <c r="U81">
        <f t="shared" ca="1" si="37"/>
        <v>354739.28663049056</v>
      </c>
      <c r="V81">
        <f t="shared" ca="1" si="35"/>
        <v>353.341010408025</v>
      </c>
      <c r="W81">
        <f t="shared" ca="1" si="29"/>
        <v>3.6619485475220445E-12</v>
      </c>
      <c r="X81">
        <f t="shared" ca="1" si="10"/>
        <v>1.2990370154255312E-6</v>
      </c>
      <c r="Y81">
        <f t="shared" ca="1" si="11"/>
        <v>1.3251498122042143E-4</v>
      </c>
      <c r="Z81">
        <f t="shared" ca="1" si="12"/>
        <v>145.77437518475844</v>
      </c>
      <c r="AA81">
        <f t="shared" ca="1" si="13"/>
        <v>487.16554409834208</v>
      </c>
      <c r="AB81" s="6">
        <f t="shared" ca="1" si="30"/>
        <v>-3.6053368856489132E-9</v>
      </c>
      <c r="AC81">
        <f t="shared" ca="1" si="14"/>
        <v>71.728341740424952</v>
      </c>
      <c r="AD81">
        <f t="shared" ca="1" si="31"/>
        <v>28.872457179046325</v>
      </c>
      <c r="AE81">
        <f t="shared" ca="1" si="15"/>
        <v>0.49928280774413197</v>
      </c>
      <c r="AF81">
        <f t="shared" ca="1" si="16"/>
        <v>101.10008172721541</v>
      </c>
      <c r="AG81">
        <f t="shared" ca="1" si="3"/>
        <v>0.59399880203624467</v>
      </c>
      <c r="AI81">
        <f t="shared" ca="1" si="17"/>
        <v>8.0623738105423817E-5</v>
      </c>
      <c r="AK81">
        <f t="shared" ca="1" si="32"/>
        <v>6.8028259271428582E-2</v>
      </c>
      <c r="AM81">
        <f t="shared" ca="1" si="18"/>
        <v>11578.579870068437</v>
      </c>
      <c r="AN81" s="6">
        <f t="shared" si="19"/>
        <v>1.9495613999999998E-5</v>
      </c>
      <c r="AO81" s="6">
        <f t="shared" ca="1" si="20"/>
        <v>4637646.9846094586</v>
      </c>
      <c r="AP81" s="6">
        <f t="shared" ca="1" si="21"/>
        <v>2.319802854620101E-3</v>
      </c>
    </row>
    <row r="82" spans="1:42" x14ac:dyDescent="0.25">
      <c r="A82">
        <f t="shared" si="22"/>
        <v>43</v>
      </c>
      <c r="B82">
        <f t="shared" si="0"/>
        <v>1.785717154593141</v>
      </c>
      <c r="C82">
        <f t="shared" ca="1" si="33"/>
        <v>1339036259.2260773</v>
      </c>
      <c r="D82">
        <f t="shared" si="4"/>
        <v>10000000</v>
      </c>
      <c r="E82">
        <f t="shared" ca="1" si="5"/>
        <v>10000000.003451902</v>
      </c>
      <c r="F82">
        <f t="shared" ca="1" si="23"/>
        <v>3673040235.1049962</v>
      </c>
      <c r="G82">
        <f t="shared" ca="1" si="1"/>
        <v>949.99696686443212</v>
      </c>
      <c r="H82">
        <f t="shared" ca="1" si="24"/>
        <v>9499969671.9236183</v>
      </c>
      <c r="I82">
        <f t="shared" ca="1" si="6"/>
        <v>791842534.65455282</v>
      </c>
      <c r="J82">
        <f t="shared" ca="1" si="34"/>
        <v>529359411665.46484</v>
      </c>
      <c r="K82">
        <f t="shared" ca="1" si="7"/>
        <v>1.356308928125475E-5</v>
      </c>
      <c r="L82">
        <f t="shared" ca="1" si="25"/>
        <v>-96710031037.812592</v>
      </c>
      <c r="M82">
        <f t="shared" ca="1" si="26"/>
        <v>-96710031080.668488</v>
      </c>
      <c r="N82">
        <f t="shared" ca="1" si="8"/>
        <v>96710031114.051849</v>
      </c>
      <c r="O82">
        <f t="shared" ca="1" si="9"/>
        <v>-96710031004.42923</v>
      </c>
      <c r="Q82">
        <f t="shared" si="27"/>
        <v>43</v>
      </c>
      <c r="R82" s="23">
        <f t="shared" si="38"/>
        <v>62.470659869962603</v>
      </c>
      <c r="S82">
        <f t="shared" ca="1" si="28"/>
        <v>7.0499324019204467E-3</v>
      </c>
      <c r="T82" s="23">
        <f t="shared" ca="1" si="36"/>
        <v>499999.99999977474</v>
      </c>
      <c r="U82">
        <f t="shared" ca="1" si="37"/>
        <v>354719.30604537932</v>
      </c>
      <c r="V82">
        <f t="shared" ca="1" si="35"/>
        <v>353.43479881976975</v>
      </c>
      <c r="W82">
        <f t="shared" ca="1" si="29"/>
        <v>3.6943426934965373E-12</v>
      </c>
      <c r="X82">
        <f t="shared" ca="1" si="10"/>
        <v>1.3104546765309091E-6</v>
      </c>
      <c r="Y82">
        <f t="shared" ca="1" si="11"/>
        <v>1.3367969872191981E-4</v>
      </c>
      <c r="Z82">
        <f t="shared" ca="1" si="12"/>
        <v>145.79517932713804</v>
      </c>
      <c r="AA82">
        <f t="shared" ca="1" si="13"/>
        <v>487.16302831908462</v>
      </c>
      <c r="AB82" s="6">
        <f t="shared" ca="1" si="30"/>
        <v>-3.6057978846642131E-9</v>
      </c>
      <c r="AC82">
        <f t="shared" ca="1" si="14"/>
        <v>71.714437354836278</v>
      </c>
      <c r="AD82">
        <f t="shared" ca="1" si="31"/>
        <v>28.858552793457648</v>
      </c>
      <c r="AE82">
        <f t="shared" ca="1" si="15"/>
        <v>0.51318719333281082</v>
      </c>
      <c r="AF82">
        <f t="shared" ca="1" si="16"/>
        <v>101.08617734162674</v>
      </c>
      <c r="AG82">
        <f t="shared" ca="1" si="3"/>
        <v>0.59407475412380628</v>
      </c>
      <c r="AI82">
        <f t="shared" ca="1" si="17"/>
        <v>8.0634047118161112E-5</v>
      </c>
      <c r="AK82">
        <f t="shared" ca="1" si="32"/>
        <v>6.8037616546307425E-2</v>
      </c>
      <c r="AM82">
        <f t="shared" ca="1" si="18"/>
        <v>11577.099555838577</v>
      </c>
      <c r="AN82" s="6">
        <f t="shared" si="19"/>
        <v>1.9495613999999998E-5</v>
      </c>
      <c r="AO82" s="6">
        <f t="shared" ca="1" si="20"/>
        <v>4637646.9846094595</v>
      </c>
      <c r="AP82" s="6">
        <f t="shared" ca="1" si="21"/>
        <v>2.319802854620101E-3</v>
      </c>
    </row>
    <row r="83" spans="1:42" x14ac:dyDescent="0.25">
      <c r="A83">
        <f t="shared" si="22"/>
        <v>44</v>
      </c>
      <c r="B83">
        <f t="shared" si="0"/>
        <v>1.8272454605139119</v>
      </c>
      <c r="C83">
        <f t="shared" ca="1" si="33"/>
        <v>1371920138.2462902</v>
      </c>
      <c r="D83">
        <f t="shared" si="4"/>
        <v>10000000</v>
      </c>
      <c r="E83">
        <f t="shared" ca="1" si="5"/>
        <v>10000000.003369162</v>
      </c>
      <c r="F83">
        <f t="shared" ca="1" si="23"/>
        <v>3673040681.1119833</v>
      </c>
      <c r="G83">
        <f t="shared" ca="1" si="1"/>
        <v>949.99696686480047</v>
      </c>
      <c r="H83">
        <f t="shared" ca="1" si="24"/>
        <v>9499969671.8486977</v>
      </c>
      <c r="I83">
        <f t="shared" ca="1" si="6"/>
        <v>791842534.64830804</v>
      </c>
      <c r="J83">
        <f t="shared" ca="1" si="34"/>
        <v>542359351144.96094</v>
      </c>
      <c r="K83">
        <f t="shared" ca="1" si="7"/>
        <v>1.3237992388504417E-5</v>
      </c>
      <c r="L83">
        <f t="shared" ca="1" si="25"/>
        <v>-99085023455.793503</v>
      </c>
      <c r="M83">
        <f t="shared" ca="1" si="26"/>
        <v>-99085023498.649399</v>
      </c>
      <c r="N83">
        <f t="shared" ca="1" si="8"/>
        <v>99085023532.032761</v>
      </c>
      <c r="O83">
        <f t="shared" ca="1" si="9"/>
        <v>-99085023422.410141</v>
      </c>
      <c r="Q83">
        <f t="shared" si="27"/>
        <v>44</v>
      </c>
      <c r="R83" s="23">
        <f t="shared" si="38"/>
        <v>63.923465913450109</v>
      </c>
      <c r="S83">
        <f t="shared" ca="1" si="28"/>
        <v>7.2441430761152406E-3</v>
      </c>
      <c r="T83" s="23">
        <f t="shared" ca="1" si="36"/>
        <v>499999.9999997695</v>
      </c>
      <c r="U83">
        <f t="shared" ca="1" si="37"/>
        <v>354699.14427426719</v>
      </c>
      <c r="V83">
        <f t="shared" ca="1" si="35"/>
        <v>353.52941107994241</v>
      </c>
      <c r="W83">
        <f t="shared" ca="1" si="29"/>
        <v>3.7272941035121652E-12</v>
      </c>
      <c r="X83">
        <f t="shared" ca="1" si="10"/>
        <v>1.3220680289742868E-6</v>
      </c>
      <c r="Y83">
        <f t="shared" ca="1" si="11"/>
        <v>1.3486437872923753E-4</v>
      </c>
      <c r="Z83">
        <f t="shared" ca="1" si="12"/>
        <v>145.81617212362056</v>
      </c>
      <c r="AA83">
        <f t="shared" ca="1" si="13"/>
        <v>487.16049045414775</v>
      </c>
      <c r="AB83" s="6">
        <f t="shared" ca="1" si="30"/>
        <v>-3.6062626638585409E-9</v>
      </c>
      <c r="AC83">
        <f t="shared" ca="1" si="14"/>
        <v>71.700410759056012</v>
      </c>
      <c r="AD83">
        <f t="shared" ca="1" si="31"/>
        <v>28.844526197677382</v>
      </c>
      <c r="AE83">
        <f t="shared" ca="1" si="15"/>
        <v>0.52721378911307382</v>
      </c>
      <c r="AF83">
        <f t="shared" ca="1" si="16"/>
        <v>101.07215074584647</v>
      </c>
      <c r="AG83">
        <f t="shared" ca="1" si="3"/>
        <v>0.59415132901636092</v>
      </c>
      <c r="AI83">
        <f t="shared" ca="1" si="17"/>
        <v>8.0644440664514423E-5</v>
      </c>
      <c r="AK83">
        <f t="shared" ca="1" si="32"/>
        <v>6.8047058673917304E-2</v>
      </c>
      <c r="AM83">
        <f t="shared" ca="1" si="18"/>
        <v>11575.607486207007</v>
      </c>
      <c r="AN83" s="6">
        <f t="shared" si="19"/>
        <v>1.9495613999999998E-5</v>
      </c>
      <c r="AO83" s="6">
        <f t="shared" ca="1" si="20"/>
        <v>4637646.9846094595</v>
      </c>
      <c r="AP83" s="6">
        <f t="shared" ca="1" si="21"/>
        <v>2.319802854620101E-3</v>
      </c>
    </row>
    <row r="84" spans="1:42" x14ac:dyDescent="0.25">
      <c r="A84">
        <f t="shared" si="22"/>
        <v>45</v>
      </c>
      <c r="B84">
        <f t="shared" si="0"/>
        <v>1.8687737664346826</v>
      </c>
      <c r="C84">
        <f t="shared" ca="1" si="33"/>
        <v>1404804017.2662437</v>
      </c>
      <c r="D84">
        <f t="shared" si="4"/>
        <v>10000000</v>
      </c>
      <c r="E84">
        <f t="shared" ca="1" si="5"/>
        <v>10000000.003290297</v>
      </c>
      <c r="F84">
        <f t="shared" ca="1" si="23"/>
        <v>3673041116.4285235</v>
      </c>
      <c r="G84">
        <f t="shared" ca="1" si="1"/>
        <v>949.99696686515995</v>
      </c>
      <c r="H84">
        <f t="shared" ca="1" si="24"/>
        <v>9499969671.7773724</v>
      </c>
      <c r="I84">
        <f t="shared" ca="1" si="6"/>
        <v>791842534.64236283</v>
      </c>
      <c r="J84">
        <f t="shared" ca="1" si="34"/>
        <v>555359290624.34766</v>
      </c>
      <c r="K84">
        <f t="shared" ca="1" si="7"/>
        <v>1.2928115336324972E-5</v>
      </c>
      <c r="L84">
        <f t="shared" ca="1" si="25"/>
        <v>-101460015873.75568</v>
      </c>
      <c r="M84">
        <f t="shared" ca="1" si="26"/>
        <v>-101460015916.61157</v>
      </c>
      <c r="N84">
        <f t="shared" ca="1" si="8"/>
        <v>101460015949.99493</v>
      </c>
      <c r="O84">
        <f t="shared" ca="1" si="9"/>
        <v>-101460015840.37231</v>
      </c>
      <c r="Q84">
        <f t="shared" si="27"/>
        <v>45</v>
      </c>
      <c r="R84" s="23">
        <f t="shared" si="38"/>
        <v>65.376271956937615</v>
      </c>
      <c r="S84">
        <f t="shared" ca="1" si="28"/>
        <v>7.440074860584265E-3</v>
      </c>
      <c r="T84" s="23">
        <f t="shared" ca="1" si="36"/>
        <v>499999.99999976426</v>
      </c>
      <c r="U84">
        <f t="shared" ca="1" si="37"/>
        <v>354678.79815652838</v>
      </c>
      <c r="V84">
        <f t="shared" ca="1" si="35"/>
        <v>353.62486130415988</v>
      </c>
      <c r="W84">
        <f t="shared" ca="1" si="29"/>
        <v>3.7608170817983931E-12</v>
      </c>
      <c r="X84">
        <f t="shared" ca="1" si="10"/>
        <v>1.3338820826587965E-6</v>
      </c>
      <c r="Y84">
        <f t="shared" ca="1" si="11"/>
        <v>1.360695323034234E-4</v>
      </c>
      <c r="Z84">
        <f t="shared" ca="1" si="12"/>
        <v>145.83735686510605</v>
      </c>
      <c r="AA84">
        <f t="shared" ca="1" si="13"/>
        <v>487.15793012524631</v>
      </c>
      <c r="AB84" s="6">
        <f t="shared" ca="1" si="30"/>
        <v>-3.6067312854460156E-9</v>
      </c>
      <c r="AC84">
        <f t="shared" ca="1" si="14"/>
        <v>71.686259858480398</v>
      </c>
      <c r="AD84">
        <f t="shared" ca="1" si="31"/>
        <v>28.830375297101774</v>
      </c>
      <c r="AE84">
        <f t="shared" ca="1" si="15"/>
        <v>0.54136468968868334</v>
      </c>
      <c r="AF84">
        <f t="shared" ca="1" si="16"/>
        <v>101.05799984527086</v>
      </c>
      <c r="AG84">
        <f t="shared" ca="1" si="3"/>
        <v>0.59422853696402222</v>
      </c>
      <c r="AI84">
        <f t="shared" ca="1" si="17"/>
        <v>8.0654920135736529E-5</v>
      </c>
      <c r="AK84">
        <f t="shared" ca="1" si="32"/>
        <v>6.8056587134437324E-2</v>
      </c>
      <c r="AM84">
        <f t="shared" ca="1" si="18"/>
        <v>11574.103470762866</v>
      </c>
      <c r="AN84" s="6">
        <f t="shared" si="19"/>
        <v>1.9495613999999998E-5</v>
      </c>
      <c r="AO84" s="6">
        <f t="shared" ca="1" si="20"/>
        <v>4637646.9846094595</v>
      </c>
      <c r="AP84" s="6">
        <f t="shared" ca="1" si="21"/>
        <v>2.319802854620101E-3</v>
      </c>
    </row>
    <row r="85" spans="1:42" x14ac:dyDescent="0.25">
      <c r="A85">
        <f t="shared" si="22"/>
        <v>46</v>
      </c>
      <c r="B85">
        <f t="shared" si="0"/>
        <v>1.9103020723554534</v>
      </c>
      <c r="C85">
        <f t="shared" ca="1" si="33"/>
        <v>1437687896.2859502</v>
      </c>
      <c r="D85">
        <f t="shared" si="4"/>
        <v>10000000</v>
      </c>
      <c r="E85">
        <f t="shared" ca="1" si="5"/>
        <v>10000000.003215041</v>
      </c>
      <c r="F85">
        <f t="shared" ca="1" si="23"/>
        <v>3673041541.5551043</v>
      </c>
      <c r="G85">
        <f t="shared" ca="1" si="1"/>
        <v>949.99696686551101</v>
      </c>
      <c r="H85">
        <f t="shared" ca="1" si="24"/>
        <v>9499969671.7093887</v>
      </c>
      <c r="I85">
        <f t="shared" ca="1" si="6"/>
        <v>791842534.63669634</v>
      </c>
      <c r="J85">
        <f t="shared" ca="1" si="34"/>
        <v>568359230103.63672</v>
      </c>
      <c r="K85">
        <f t="shared" ca="1" si="7"/>
        <v>1.2632413765818503E-5</v>
      </c>
      <c r="L85">
        <f t="shared" ca="1" si="25"/>
        <v>-103835008291.70003</v>
      </c>
      <c r="M85">
        <f t="shared" ca="1" si="26"/>
        <v>-103835008334.55591</v>
      </c>
      <c r="N85">
        <f t="shared" ca="1" si="8"/>
        <v>103835008367.93927</v>
      </c>
      <c r="O85">
        <f t="shared" ca="1" si="9"/>
        <v>-103835008258.31665</v>
      </c>
      <c r="Q85">
        <f t="shared" si="27"/>
        <v>46</v>
      </c>
      <c r="R85" s="23">
        <f t="shared" si="38"/>
        <v>66.829078000425113</v>
      </c>
      <c r="S85">
        <f t="shared" ca="1" si="28"/>
        <v>7.6377574994491958E-3</v>
      </c>
      <c r="T85" s="23">
        <f t="shared" ca="1" si="36"/>
        <v>499999.99999975902</v>
      </c>
      <c r="U85">
        <f t="shared" ca="1" si="37"/>
        <v>354658.26444960106</v>
      </c>
      <c r="V85">
        <f t="shared" ca="1" si="35"/>
        <v>353.72116396933103</v>
      </c>
      <c r="W85">
        <f t="shared" ca="1" si="29"/>
        <v>3.7949264226442456E-12</v>
      </c>
      <c r="X85">
        <f t="shared" ca="1" si="10"/>
        <v>1.3459020187689414E-6</v>
      </c>
      <c r="Y85">
        <f t="shared" ca="1" si="11"/>
        <v>1.3729568797796727E-4</v>
      </c>
      <c r="Z85">
        <f t="shared" ca="1" si="12"/>
        <v>145.85873692780791</v>
      </c>
      <c r="AA85">
        <f t="shared" ca="1" si="13"/>
        <v>487.15534694441561</v>
      </c>
      <c r="AB85" s="6">
        <f t="shared" ca="1" si="30"/>
        <v>-3.6072038131870999E-9</v>
      </c>
      <c r="AC85">
        <f t="shared" ca="1" si="14"/>
        <v>71.671982504881626</v>
      </c>
      <c r="AD85">
        <f t="shared" ca="1" si="31"/>
        <v>28.816097943503006</v>
      </c>
      <c r="AE85">
        <f t="shared" ca="1" si="15"/>
        <v>0.5556420432874507</v>
      </c>
      <c r="AF85">
        <f t="shared" ca="1" si="16"/>
        <v>101.04372249167209</v>
      </c>
      <c r="AG85">
        <f t="shared" ca="1" si="3"/>
        <v>0.59430638847167194</v>
      </c>
      <c r="AI85">
        <f t="shared" ca="1" si="17"/>
        <v>8.0665486957659987E-5</v>
      </c>
      <c r="AK85">
        <f t="shared" ca="1" si="32"/>
        <v>6.8066203446418741E-2</v>
      </c>
      <c r="AM85">
        <f t="shared" ca="1" si="18"/>
        <v>11572.587314412587</v>
      </c>
      <c r="AN85" s="6">
        <f t="shared" si="19"/>
        <v>1.9495613999999998E-5</v>
      </c>
      <c r="AO85" s="6">
        <f t="shared" ca="1" si="20"/>
        <v>4637646.9846094595</v>
      </c>
      <c r="AP85" s="6">
        <f t="shared" ca="1" si="21"/>
        <v>2.319802854620101E-3</v>
      </c>
    </row>
    <row r="86" spans="1:42" x14ac:dyDescent="0.25">
      <c r="A86">
        <f t="shared" si="22"/>
        <v>47</v>
      </c>
      <c r="B86">
        <f t="shared" si="0"/>
        <v>1.9518303782762241</v>
      </c>
      <c r="C86">
        <f t="shared" ca="1" si="33"/>
        <v>1470571775.3054214</v>
      </c>
      <c r="D86">
        <f t="shared" si="4"/>
        <v>10000000</v>
      </c>
      <c r="E86">
        <f t="shared" ca="1" si="5"/>
        <v>10000000.003143147</v>
      </c>
      <c r="F86">
        <f t="shared" ca="1" si="23"/>
        <v>3673041956.9578705</v>
      </c>
      <c r="G86">
        <f t="shared" ca="1" si="1"/>
        <v>949.99696686585401</v>
      </c>
      <c r="H86">
        <f t="shared" ca="1" si="24"/>
        <v>9499969671.6445198</v>
      </c>
      <c r="I86">
        <f t="shared" ca="1" si="6"/>
        <v>791842534.63128936</v>
      </c>
      <c r="J86">
        <f t="shared" ca="1" si="34"/>
        <v>581359169582.83984</v>
      </c>
      <c r="K86">
        <f t="shared" ca="1" si="7"/>
        <v>1.2349936730925029E-5</v>
      </c>
      <c r="L86">
        <f t="shared" ca="1" si="25"/>
        <v>-106210000709.62737</v>
      </c>
      <c r="M86">
        <f t="shared" ca="1" si="26"/>
        <v>-106210000752.48326</v>
      </c>
      <c r="N86">
        <f t="shared" ca="1" si="8"/>
        <v>106210000785.86662</v>
      </c>
      <c r="O86">
        <f t="shared" ca="1" si="9"/>
        <v>-106210000676.244</v>
      </c>
      <c r="Q86">
        <f t="shared" si="27"/>
        <v>47</v>
      </c>
      <c r="R86" s="23">
        <f t="shared" si="38"/>
        <v>68.281884043912612</v>
      </c>
      <c r="S86">
        <f ca="1">S85+(R86-R85)*Y85</f>
        <v>7.8372215046883607E-3</v>
      </c>
      <c r="T86" s="23">
        <f t="shared" ca="1" si="36"/>
        <v>499999.99999975378</v>
      </c>
      <c r="U86">
        <f t="shared" ca="1" si="37"/>
        <v>354637.53982615832</v>
      </c>
      <c r="V86">
        <f t="shared" ca="1" si="35"/>
        <v>353.81833392600623</v>
      </c>
      <c r="W86">
        <f t="shared" ca="1" si="29"/>
        <v>3.8296374314628974E-12</v>
      </c>
      <c r="X86">
        <f t="shared" ca="1" si="10"/>
        <v>1.3581331971201698E-6</v>
      </c>
      <c r="Y86">
        <f t="shared" ca="1" si="11"/>
        <v>1.3854339250853116E-4</v>
      </c>
      <c r="Z86">
        <f t="shared" ca="1" si="12"/>
        <v>145.88031577619853</v>
      </c>
      <c r="AA86">
        <f t="shared" ca="1" si="13"/>
        <v>487.15274051367976</v>
      </c>
      <c r="AB86" s="6">
        <f t="shared" ca="1" si="30"/>
        <v>-3.6076803124402118E-9</v>
      </c>
      <c r="AC86">
        <f t="shared" ca="1" si="14"/>
        <v>71.657576494574528</v>
      </c>
      <c r="AD86">
        <f t="shared" ca="1" si="31"/>
        <v>28.80169193319589</v>
      </c>
      <c r="AE86">
        <f t="shared" ca="1" si="15"/>
        <v>0.57004805359456612</v>
      </c>
      <c r="AF86">
        <f t="shared" ca="1" si="16"/>
        <v>101.02931648136497</v>
      </c>
      <c r="AG86">
        <f t="shared" ca="1" si="3"/>
        <v>0.594384894307464</v>
      </c>
      <c r="AI86">
        <f t="shared" ca="1" si="17"/>
        <v>8.0676142591851424E-5</v>
      </c>
      <c r="AK86">
        <f t="shared" ca="1" si="32"/>
        <v>6.8075909168109905E-2</v>
      </c>
      <c r="AM86">
        <f t="shared" ca="1" si="18"/>
        <v>11571.058817224834</v>
      </c>
      <c r="AN86" s="6">
        <f t="shared" si="19"/>
        <v>1.9495613999999998E-5</v>
      </c>
      <c r="AO86" s="6">
        <f t="shared" ca="1" si="20"/>
        <v>4637646.9846094623</v>
      </c>
      <c r="AP86" s="6">
        <f t="shared" ca="1" si="21"/>
        <v>2.3198028546201001E-3</v>
      </c>
    </row>
    <row r="87" spans="1:42" x14ac:dyDescent="0.25">
      <c r="A87">
        <f t="shared" si="22"/>
        <v>48</v>
      </c>
      <c r="B87">
        <f t="shared" si="0"/>
        <v>1.9933586841969946</v>
      </c>
      <c r="C87">
        <f t="shared" ca="1" si="33"/>
        <v>1503455654.3246679</v>
      </c>
      <c r="D87">
        <f t="shared" si="4"/>
        <v>10000000</v>
      </c>
      <c r="E87">
        <f t="shared" ca="1" si="5"/>
        <v>10000000.003074398</v>
      </c>
      <c r="F87">
        <f t="shared" ca="1" si="23"/>
        <v>3673042363.0716958</v>
      </c>
      <c r="G87">
        <f t="shared" ca="1" si="1"/>
        <v>949.99696686618938</v>
      </c>
      <c r="H87">
        <f t="shared" ca="1" si="24"/>
        <v>9499969671.5825634</v>
      </c>
      <c r="I87">
        <f t="shared" ca="1" si="6"/>
        <v>791842534.62612522</v>
      </c>
      <c r="J87">
        <f t="shared" ca="1" si="34"/>
        <v>594359109061.94531</v>
      </c>
      <c r="K87">
        <f t="shared" ca="1" si="7"/>
        <v>1.2079816482703049E-5</v>
      </c>
      <c r="L87">
        <f t="shared" ca="1" si="25"/>
        <v>-108584993127.53848</v>
      </c>
      <c r="M87">
        <f t="shared" ca="1" si="26"/>
        <v>-108584993170.39436</v>
      </c>
      <c r="N87">
        <f t="shared" ca="1" si="8"/>
        <v>108584993203.77773</v>
      </c>
      <c r="O87">
        <f t="shared" ca="1" si="9"/>
        <v>-108584993094.15514</v>
      </c>
      <c r="Q87">
        <f t="shared" si="27"/>
        <v>48</v>
      </c>
      <c r="R87" s="23">
        <f t="shared" si="38"/>
        <v>69.734690087400125</v>
      </c>
      <c r="S87">
        <f t="shared" ca="1" si="28"/>
        <v>8.0384981826100172E-3</v>
      </c>
      <c r="T87" s="23">
        <f t="shared" ca="1" si="36"/>
        <v>499999.99999974854</v>
      </c>
      <c r="U87">
        <f t="shared" ca="1" si="37"/>
        <v>354616.62087115634</v>
      </c>
      <c r="V87">
        <f t="shared" ca="1" si="35"/>
        <v>353.91638641125724</v>
      </c>
      <c r="W87">
        <f t="shared" ca="1" si="29"/>
        <v>3.8649659469483287E-12</v>
      </c>
      <c r="X87">
        <f t="shared" ca="1" si="10"/>
        <v>1.3705811638889052E-6</v>
      </c>
      <c r="Y87">
        <f t="shared" ca="1" si="11"/>
        <v>1.3981321166149123E-4</v>
      </c>
      <c r="Z87">
        <f t="shared" ca="1" si="12"/>
        <v>145.90209696608215</v>
      </c>
      <c r="AA87">
        <f t="shared" ca="1" si="13"/>
        <v>487.15011042470752</v>
      </c>
      <c r="AB87" s="6">
        <f t="shared" ca="1" si="30"/>
        <v>-3.6081608502155392E-9</v>
      </c>
      <c r="AC87">
        <f t="shared" ca="1" si="14"/>
        <v>71.643039566504484</v>
      </c>
      <c r="AD87">
        <f t="shared" ca="1" si="31"/>
        <v>28.787155005125864</v>
      </c>
      <c r="AE87">
        <f t="shared" ca="1" si="15"/>
        <v>0.58458498166459349</v>
      </c>
      <c r="AF87">
        <f t="shared" ca="1" si="16"/>
        <v>101.01477955329494</v>
      </c>
      <c r="AG87">
        <f t="shared" ca="1" si="3"/>
        <v>0.59446406551169018</v>
      </c>
      <c r="AI87">
        <f t="shared" ca="1" si="17"/>
        <v>8.0686888536814851E-5</v>
      </c>
      <c r="AK87">
        <f t="shared" ca="1" si="32"/>
        <v>6.8085705898838361E-2</v>
      </c>
      <c r="AM87">
        <f t="shared" ca="1" si="18"/>
        <v>11569.517774268865</v>
      </c>
      <c r="AN87" s="6">
        <f t="shared" si="19"/>
        <v>1.9495613999999998E-5</v>
      </c>
      <c r="AO87" s="6">
        <f t="shared" ca="1" si="20"/>
        <v>4637646.9846094605</v>
      </c>
      <c r="AP87" s="6">
        <f t="shared" ca="1" si="21"/>
        <v>2.3198028546201001E-3</v>
      </c>
    </row>
    <row r="88" spans="1:42" x14ac:dyDescent="0.25">
      <c r="A88">
        <f t="shared" si="22"/>
        <v>49</v>
      </c>
      <c r="B88">
        <f t="shared" si="0"/>
        <v>2.0348869901177657</v>
      </c>
      <c r="C88">
        <f t="shared" ca="1" si="33"/>
        <v>1536339533.3437004</v>
      </c>
      <c r="D88">
        <f t="shared" si="4"/>
        <v>10000000</v>
      </c>
      <c r="E88">
        <f t="shared" ca="1" si="5"/>
        <v>10000000.003008593</v>
      </c>
      <c r="F88">
        <f t="shared" ca="1" si="23"/>
        <v>3673042760.3029194</v>
      </c>
      <c r="G88">
        <f t="shared" ca="1" si="1"/>
        <v>949.99696686651737</v>
      </c>
      <c r="H88">
        <f t="shared" ca="1" si="24"/>
        <v>9499969671.5233269</v>
      </c>
      <c r="I88">
        <f t="shared" ca="1" si="6"/>
        <v>791842534.62118769</v>
      </c>
      <c r="J88">
        <f t="shared" ca="1" si="34"/>
        <v>607359048540.96875</v>
      </c>
      <c r="K88">
        <f t="shared" ca="1" si="7"/>
        <v>1.1821259565554796E-5</v>
      </c>
      <c r="L88">
        <f t="shared" ca="1" si="25"/>
        <v>-110959985545.43414</v>
      </c>
      <c r="M88">
        <f t="shared" ca="1" si="26"/>
        <v>-110959985588.29002</v>
      </c>
      <c r="N88">
        <f t="shared" ca="1" si="8"/>
        <v>110959985621.67339</v>
      </c>
      <c r="O88">
        <f t="shared" ca="1" si="9"/>
        <v>-110959985512.0508</v>
      </c>
      <c r="Q88">
        <f t="shared" si="27"/>
        <v>49</v>
      </c>
      <c r="R88" s="23">
        <f t="shared" si="38"/>
        <v>71.187496130887624</v>
      </c>
      <c r="S88">
        <f t="shared" ca="1" si="28"/>
        <v>8.2416196614712289E-3</v>
      </c>
      <c r="T88" s="23">
        <f t="shared" ca="1" si="36"/>
        <v>499999.9999997433</v>
      </c>
      <c r="U88">
        <f t="shared" ca="1" si="37"/>
        <v>354595.50407875527</v>
      </c>
      <c r="V88">
        <f t="shared" ca="1" si="35"/>
        <v>354.0153370621141</v>
      </c>
      <c r="W88">
        <f t="shared" ca="1" si="29"/>
        <v>3.9009283643909194E-12</v>
      </c>
      <c r="X88">
        <f t="shared" ca="1" si="10"/>
        <v>1.3832516597463123E-6</v>
      </c>
      <c r="Y88">
        <f t="shared" ca="1" si="11"/>
        <v>1.4110573104366426E-4</v>
      </c>
      <c r="Z88">
        <f t="shared" ca="1" si="12"/>
        <v>145.92408414780232</v>
      </c>
      <c r="AA88">
        <f t="shared" ca="1" si="13"/>
        <v>487.14745625845126</v>
      </c>
      <c r="AB88" s="6">
        <f t="shared" ca="1" si="30"/>
        <v>-3.6086454952311191E-9</v>
      </c>
      <c r="AC88">
        <f t="shared" ca="1" si="14"/>
        <v>71.628369400252879</v>
      </c>
      <c r="AD88">
        <f t="shared" ca="1" si="31"/>
        <v>28.772484838874252</v>
      </c>
      <c r="AE88">
        <f t="shared" ca="1" si="15"/>
        <v>0.59925514791620638</v>
      </c>
      <c r="AF88">
        <f t="shared" ca="1" si="16"/>
        <v>101.00010938704334</v>
      </c>
      <c r="AG88">
        <f t="shared" ca="1" si="3"/>
        <v>0.59454391340601964</v>
      </c>
      <c r="AI88">
        <f t="shared" ca="1" si="17"/>
        <v>8.0697726329245775E-5</v>
      </c>
      <c r="AK88">
        <f t="shared" ca="1" si="32"/>
        <v>6.8095595280453433E-2</v>
      </c>
      <c r="AM88">
        <f t="shared" ca="1" si="18"/>
        <v>11567.96397544618</v>
      </c>
      <c r="AN88" s="6">
        <f t="shared" si="19"/>
        <v>1.9495613999999998E-5</v>
      </c>
      <c r="AO88" s="6">
        <f t="shared" ca="1" si="20"/>
        <v>4637646.9846094595</v>
      </c>
      <c r="AP88" s="6">
        <f t="shared" ca="1" si="21"/>
        <v>2.319802854620101E-3</v>
      </c>
    </row>
    <row r="89" spans="1:42" x14ac:dyDescent="0.25">
      <c r="A89">
        <f t="shared" si="22"/>
        <v>50</v>
      </c>
      <c r="B89">
        <f t="shared" si="0"/>
        <v>2.0764152960385363</v>
      </c>
      <c r="C89">
        <f t="shared" ca="1" si="33"/>
        <v>1569223412.3625274</v>
      </c>
      <c r="D89">
        <f t="shared" si="4"/>
        <v>10000000</v>
      </c>
      <c r="E89">
        <f t="shared" ca="1" si="5"/>
        <v>10000000.002945548</v>
      </c>
      <c r="F89">
        <f t="shared" ca="1" si="23"/>
        <v>3673043149.0317888</v>
      </c>
      <c r="G89">
        <f t="shared" ca="1" si="1"/>
        <v>949.99696686683831</v>
      </c>
      <c r="H89">
        <f t="shared" ca="1" si="24"/>
        <v>9499969671.4666443</v>
      </c>
      <c r="I89">
        <f t="shared" ca="1" si="6"/>
        <v>791842534.61646307</v>
      </c>
      <c r="J89">
        <f t="shared" ca="1" si="34"/>
        <v>620358988019.91406</v>
      </c>
      <c r="K89">
        <f t="shared" ca="1" si="7"/>
        <v>1.1573539032952176E-5</v>
      </c>
      <c r="L89">
        <f t="shared" ca="1" si="25"/>
        <v>-113334977963.31496</v>
      </c>
      <c r="M89">
        <f t="shared" ca="1" si="26"/>
        <v>-113334978006.17085</v>
      </c>
      <c r="N89">
        <f t="shared" ca="1" si="8"/>
        <v>113334978039.55421</v>
      </c>
      <c r="O89">
        <f t="shared" ca="1" si="9"/>
        <v>-113334977929.93159</v>
      </c>
      <c r="Q89">
        <f t="shared" si="27"/>
        <v>50</v>
      </c>
      <c r="R89" s="23">
        <f t="shared" si="38"/>
        <v>72.640302174375122</v>
      </c>
      <c r="S89">
        <f t="shared" ca="1" si="28"/>
        <v>8.4466189203021864E-3</v>
      </c>
      <c r="T89" s="23">
        <f t="shared" ca="1" si="36"/>
        <v>499999.99999973807</v>
      </c>
      <c r="U89">
        <f t="shared" ca="1" si="37"/>
        <v>354574.18584910245</v>
      </c>
      <c r="V89">
        <f t="shared" ca="1" si="35"/>
        <v>354.11520192958847</v>
      </c>
      <c r="W89">
        <f t="shared" ca="1" si="29"/>
        <v>3.9375416602222923E-12</v>
      </c>
      <c r="X89">
        <f t="shared" ca="1" si="10"/>
        <v>1.3961506284202424E-6</v>
      </c>
      <c r="Y89">
        <f t="shared" ca="1" si="11"/>
        <v>1.4242155697571343E-4</v>
      </c>
      <c r="Z89">
        <f t="shared" ca="1" si="12"/>
        <v>145.94628106958979</v>
      </c>
      <c r="AA89">
        <f t="shared" ca="1" si="13"/>
        <v>487.14477758477233</v>
      </c>
      <c r="AB89" s="6">
        <f t="shared" ca="1" si="30"/>
        <v>-3.6091343179713157E-9</v>
      </c>
      <c r="AC89">
        <f t="shared" ca="1" si="14"/>
        <v>71.613563613955094</v>
      </c>
      <c r="AD89">
        <f t="shared" ca="1" si="31"/>
        <v>28.757679052576474</v>
      </c>
      <c r="AE89">
        <f t="shared" ca="1" si="15"/>
        <v>0.61406093421398356</v>
      </c>
      <c r="AF89">
        <f t="shared" ca="1" si="16"/>
        <v>100.98530360074555</v>
      </c>
      <c r="AG89">
        <f t="shared" ca="1" si="3"/>
        <v>0.59462444960313365</v>
      </c>
      <c r="AI89">
        <f t="shared" ca="1" si="17"/>
        <v>8.0708657545338911E-5</v>
      </c>
      <c r="AK89">
        <f t="shared" ca="1" si="32"/>
        <v>6.8105578998832184E-2</v>
      </c>
      <c r="AM89">
        <f t="shared" ca="1" si="18"/>
        <v>11566.397205314954</v>
      </c>
      <c r="AN89" s="6">
        <f t="shared" si="19"/>
        <v>1.9495613999999998E-5</v>
      </c>
      <c r="AO89" s="6">
        <f t="shared" ca="1" si="20"/>
        <v>4637646.9846094586</v>
      </c>
      <c r="AP89" s="6">
        <f t="shared" ca="1" si="21"/>
        <v>2.319802854620101E-3</v>
      </c>
    </row>
    <row r="90" spans="1:42" x14ac:dyDescent="0.25">
      <c r="A90">
        <f t="shared" si="22"/>
        <v>51</v>
      </c>
      <c r="B90">
        <f t="shared" si="0"/>
        <v>2.1179436019593068</v>
      </c>
      <c r="C90">
        <f t="shared" ca="1" si="33"/>
        <v>1602107291.3811581</v>
      </c>
      <c r="D90">
        <f t="shared" si="4"/>
        <v>10000000</v>
      </c>
      <c r="E90">
        <f t="shared" ca="1" si="5"/>
        <v>10000000.00288509</v>
      </c>
      <c r="F90">
        <f t="shared" ca="1" si="23"/>
        <v>3673043529.6146464</v>
      </c>
      <c r="G90">
        <f t="shared" ca="1" si="1"/>
        <v>949.99696686715265</v>
      </c>
      <c r="H90">
        <f t="shared" ca="1" si="24"/>
        <v>9499969671.4123535</v>
      </c>
      <c r="I90">
        <f t="shared" ca="1" si="6"/>
        <v>791842534.61193776</v>
      </c>
      <c r="J90">
        <f t="shared" ca="1" si="34"/>
        <v>633358927498.77734</v>
      </c>
      <c r="K90">
        <f t="shared" ca="1" si="7"/>
        <v>1.1335987621813457E-5</v>
      </c>
      <c r="L90">
        <f t="shared" ca="1" si="25"/>
        <v>-115709970381.18159</v>
      </c>
      <c r="M90">
        <f t="shared" ca="1" si="26"/>
        <v>-115709970424.03748</v>
      </c>
      <c r="N90">
        <f t="shared" ca="1" si="8"/>
        <v>115709970457.42084</v>
      </c>
      <c r="O90">
        <f t="shared" ca="1" si="9"/>
        <v>-115709970347.79822</v>
      </c>
      <c r="Q90">
        <f t="shared" si="27"/>
        <v>51</v>
      </c>
      <c r="R90" s="23">
        <f t="shared" si="38"/>
        <v>74.093108217862621</v>
      </c>
      <c r="S90">
        <f t="shared" ca="1" si="28"/>
        <v>8.6535298189994014E-3</v>
      </c>
      <c r="T90" s="23">
        <f t="shared" ca="1" si="36"/>
        <v>499999.99999973283</v>
      </c>
      <c r="U90">
        <f t="shared" ca="1" si="37"/>
        <v>354552.66248497472</v>
      </c>
      <c r="V90">
        <f t="shared" ca="1" si="35"/>
        <v>354.21599749331421</v>
      </c>
      <c r="W90">
        <f t="shared" ca="1" si="29"/>
        <v>3.9748234178664123E-12</v>
      </c>
      <c r="X90">
        <f t="shared" ca="1" si="10"/>
        <v>1.4092842257121638E-6</v>
      </c>
      <c r="Y90">
        <f t="shared" ca="1" si="11"/>
        <v>1.4376131741196659E-4</v>
      </c>
      <c r="Z90">
        <f t="shared" ca="1" si="12"/>
        <v>145.96869158105952</v>
      </c>
      <c r="AA90">
        <f t="shared" ca="1" si="13"/>
        <v>487.14207396204824</v>
      </c>
      <c r="AB90" s="6">
        <f t="shared" ca="1" si="30"/>
        <v>-3.6096273907478348E-9</v>
      </c>
      <c r="AC90">
        <f t="shared" ca="1" si="14"/>
        <v>71.598619762127242</v>
      </c>
      <c r="AD90">
        <f t="shared" ca="1" si="31"/>
        <v>28.742735200748609</v>
      </c>
      <c r="AE90">
        <f t="shared" ca="1" si="15"/>
        <v>0.62900478604184862</v>
      </c>
      <c r="AF90">
        <f t="shared" ca="1" si="16"/>
        <v>100.9703597489177</v>
      </c>
      <c r="AG90">
        <f t="shared" ca="1" si="3"/>
        <v>0.59470568601677765</v>
      </c>
      <c r="AI90">
        <f t="shared" ca="1" si="17"/>
        <v>8.071968380215258E-5</v>
      </c>
      <c r="AK90">
        <f t="shared" ca="1" si="32"/>
        <v>6.8115658785452143E-2</v>
      </c>
      <c r="AM90">
        <f t="shared" ca="1" si="18"/>
        <v>11564.817242906938</v>
      </c>
      <c r="AN90" s="6">
        <f t="shared" si="19"/>
        <v>1.9495613999999998E-5</v>
      </c>
      <c r="AO90" s="6">
        <f t="shared" ca="1" si="20"/>
        <v>4637646.9846094595</v>
      </c>
      <c r="AP90" s="6">
        <f t="shared" ca="1" si="21"/>
        <v>2.319802854620101E-3</v>
      </c>
    </row>
    <row r="91" spans="1:42" x14ac:dyDescent="0.25">
      <c r="A91">
        <f t="shared" si="22"/>
        <v>52</v>
      </c>
      <c r="B91">
        <f t="shared" si="0"/>
        <v>2.1594719078800777</v>
      </c>
      <c r="C91">
        <f t="shared" ca="1" si="33"/>
        <v>1634991170.3996012</v>
      </c>
      <c r="D91">
        <f t="shared" si="4"/>
        <v>10000000</v>
      </c>
      <c r="E91">
        <f t="shared" ca="1" si="5"/>
        <v>10000000.002827063</v>
      </c>
      <c r="F91">
        <f t="shared" ca="1" si="23"/>
        <v>3673043902.3858919</v>
      </c>
      <c r="G91">
        <f t="shared" ca="1" si="1"/>
        <v>949.99696686746051</v>
      </c>
      <c r="H91">
        <f t="shared" ca="1" si="24"/>
        <v>9499969671.3603058</v>
      </c>
      <c r="I91">
        <f t="shared" ca="1" si="6"/>
        <v>791842534.6075995</v>
      </c>
      <c r="J91">
        <f t="shared" ca="1" si="34"/>
        <v>646358866977.57813</v>
      </c>
      <c r="K91">
        <f t="shared" ca="1" si="7"/>
        <v>1.1107991750564549E-5</v>
      </c>
      <c r="L91">
        <f t="shared" ca="1" si="25"/>
        <v>-118084962799.03468</v>
      </c>
      <c r="M91">
        <f t="shared" ca="1" si="26"/>
        <v>-118084962841.89058</v>
      </c>
      <c r="N91">
        <f t="shared" ca="1" si="8"/>
        <v>118084962875.27394</v>
      </c>
      <c r="O91">
        <f t="shared" ca="1" si="9"/>
        <v>-118084962765.65132</v>
      </c>
      <c r="Q91">
        <f t="shared" si="27"/>
        <v>52</v>
      </c>
      <c r="R91" s="23">
        <f t="shared" si="38"/>
        <v>75.54591426135012</v>
      </c>
      <c r="S91">
        <f t="shared" ca="1" si="28"/>
        <v>8.8623871297552302E-3</v>
      </c>
      <c r="T91" s="23">
        <f t="shared" ca="1" si="36"/>
        <v>499999.99999972759</v>
      </c>
      <c r="U91">
        <f t="shared" ca="1" si="37"/>
        <v>354530.93018826912</v>
      </c>
      <c r="V91">
        <f t="shared" ca="1" si="35"/>
        <v>354.31774067683796</v>
      </c>
      <c r="W91">
        <f t="shared" ca="1" si="29"/>
        <v>4.0127918549777671E-12</v>
      </c>
      <c r="X91">
        <f t="shared" ca="1" si="10"/>
        <v>1.4226588289971777E-6</v>
      </c>
      <c r="Y91">
        <f t="shared" ca="1" si="11"/>
        <v>1.4512566290951473E-4</v>
      </c>
      <c r="Z91">
        <f t="shared" ca="1" si="12"/>
        <v>145.99131963686412</v>
      </c>
      <c r="AA91">
        <f t="shared" ca="1" si="13"/>
        <v>487.13934493676362</v>
      </c>
      <c r="AB91" s="6">
        <f t="shared" ca="1" si="30"/>
        <v>-3.6101247877633694E-9</v>
      </c>
      <c r="AC91">
        <f t="shared" ca="1" si="14"/>
        <v>71.583535333396071</v>
      </c>
      <c r="AD91">
        <f t="shared" ca="1" si="31"/>
        <v>28.727650772017434</v>
      </c>
      <c r="AE91">
        <f t="shared" ca="1" si="15"/>
        <v>0.6440892147730235</v>
      </c>
      <c r="AF91">
        <f t="shared" ca="1" si="16"/>
        <v>100.95527532018652</v>
      </c>
      <c r="AG91">
        <f t="shared" ca="1" si="3"/>
        <v>0.59478763487224795</v>
      </c>
      <c r="AI91">
        <f t="shared" ca="1" si="17"/>
        <v>8.0730806759031997E-5</v>
      </c>
      <c r="AK91">
        <f t="shared" ca="1" si="32"/>
        <v>6.8125836419034622E-2</v>
      </c>
      <c r="AM91">
        <f t="shared" ca="1" si="18"/>
        <v>11563.223861536488</v>
      </c>
      <c r="AN91" s="6">
        <f t="shared" si="19"/>
        <v>1.9495613999999998E-5</v>
      </c>
      <c r="AO91" s="6">
        <f t="shared" ca="1" si="20"/>
        <v>4637646.9846094595</v>
      </c>
      <c r="AP91" s="6">
        <f t="shared" ca="1" si="21"/>
        <v>2.319802854620101E-3</v>
      </c>
    </row>
    <row r="92" spans="1:42" x14ac:dyDescent="0.25">
      <c r="A92">
        <f t="shared" si="22"/>
        <v>53</v>
      </c>
      <c r="B92">
        <f t="shared" si="0"/>
        <v>2.2010002138008486</v>
      </c>
      <c r="C92">
        <f t="shared" ca="1" si="33"/>
        <v>1667875049.4178643</v>
      </c>
      <c r="D92">
        <f t="shared" si="4"/>
        <v>10000000</v>
      </c>
      <c r="E92">
        <f t="shared" ca="1" si="5"/>
        <v>10000000.002771325</v>
      </c>
      <c r="F92">
        <f t="shared" ca="1" si="23"/>
        <v>3673044267.6597486</v>
      </c>
      <c r="G92">
        <f t="shared" ca="1" si="1"/>
        <v>949.99696686776213</v>
      </c>
      <c r="H92">
        <f t="shared" ca="1" si="24"/>
        <v>9499969671.3103714</v>
      </c>
      <c r="I92">
        <f t="shared" ca="1" si="6"/>
        <v>791842534.6034373</v>
      </c>
      <c r="J92">
        <f t="shared" ca="1" si="34"/>
        <v>659358806456.28906</v>
      </c>
      <c r="K92">
        <f t="shared" ca="1" si="7"/>
        <v>1.088898622720853E-5</v>
      </c>
      <c r="L92">
        <f t="shared" ca="1" si="25"/>
        <v>-120459955216.87477</v>
      </c>
      <c r="M92">
        <f t="shared" ca="1" si="26"/>
        <v>-120459955259.73067</v>
      </c>
      <c r="N92">
        <f t="shared" ca="1" si="8"/>
        <v>120459955293.11403</v>
      </c>
      <c r="O92">
        <f t="shared" ca="1" si="9"/>
        <v>-120459955183.49141</v>
      </c>
      <c r="Q92">
        <f t="shared" si="27"/>
        <v>53</v>
      </c>
      <c r="R92" s="23">
        <f t="shared" si="38"/>
        <v>76.998720304837633</v>
      </c>
      <c r="S92">
        <f t="shared" ca="1" si="28"/>
        <v>9.0732265698953048E-3</v>
      </c>
      <c r="T92" s="23">
        <f t="shared" ca="1" si="36"/>
        <v>499999.99999972235</v>
      </c>
      <c r="U92">
        <f t="shared" ca="1" si="37"/>
        <v>354508.98505633598</v>
      </c>
      <c r="V92">
        <f t="shared" ca="1" si="35"/>
        <v>354.42044886359463</v>
      </c>
      <c r="W92">
        <f t="shared" ca="1" si="29"/>
        <v>4.0514658521546128E-12</v>
      </c>
      <c r="X92">
        <f t="shared" ca="1" si="10"/>
        <v>1.4362810472377351E-6</v>
      </c>
      <c r="Y92">
        <f t="shared" ca="1" si="11"/>
        <v>1.4651526764971273E-4</v>
      </c>
      <c r="Z92">
        <f t="shared" ca="1" si="12"/>
        <v>146.01416930051212</v>
      </c>
      <c r="AA92">
        <f t="shared" ca="1" si="13"/>
        <v>487.13659004308175</v>
      </c>
      <c r="AB92" s="6">
        <f t="shared" ca="1" si="30"/>
        <v>-3.6106265851780713E-9</v>
      </c>
      <c r="AC92">
        <f t="shared" ca="1" si="14"/>
        <v>71.568307748127424</v>
      </c>
      <c r="AD92">
        <f t="shared" ca="1" si="31"/>
        <v>28.71242318674879</v>
      </c>
      <c r="AE92">
        <f t="shared" ca="1" si="15"/>
        <v>0.65931680004166604</v>
      </c>
      <c r="AF92">
        <f t="shared" ca="1" si="16"/>
        <v>100.94004773491788</v>
      </c>
      <c r="AG92">
        <f t="shared" ca="1" si="3"/>
        <v>0.59487030871734248</v>
      </c>
      <c r="AI92">
        <f t="shared" ca="1" si="17"/>
        <v>8.0742028119095723E-5</v>
      </c>
      <c r="AK92">
        <f t="shared" ca="1" si="32"/>
        <v>6.8136113727262096E-2</v>
      </c>
      <c r="AM92">
        <f t="shared" ca="1" si="18"/>
        <v>11561.61682860122</v>
      </c>
      <c r="AN92" s="6">
        <f t="shared" si="19"/>
        <v>1.9495613999999998E-5</v>
      </c>
      <c r="AO92" s="6">
        <f t="shared" ca="1" si="20"/>
        <v>4637646.9846094595</v>
      </c>
      <c r="AP92" s="6">
        <f t="shared" ca="1" si="21"/>
        <v>2.319802854620101E-3</v>
      </c>
    </row>
    <row r="93" spans="1:42" x14ac:dyDescent="0.25">
      <c r="A93">
        <f t="shared" si="22"/>
        <v>54</v>
      </c>
      <c r="B93">
        <f t="shared" si="0"/>
        <v>2.2425285197216192</v>
      </c>
      <c r="C93">
        <f t="shared" ca="1" si="33"/>
        <v>1700758928.4359541</v>
      </c>
      <c r="D93">
        <f t="shared" si="4"/>
        <v>10000000</v>
      </c>
      <c r="E93">
        <f t="shared" ca="1" si="5"/>
        <v>10000000.002717741</v>
      </c>
      <c r="F93">
        <f t="shared" ca="1" si="23"/>
        <v>3673044625.7318544</v>
      </c>
      <c r="G93">
        <f t="shared" ca="1" si="1"/>
        <v>949.99696686805783</v>
      </c>
      <c r="H93">
        <f t="shared" ca="1" si="24"/>
        <v>9499969671.2624245</v>
      </c>
      <c r="I93">
        <f t="shared" ca="1" si="6"/>
        <v>791842534.59944093</v>
      </c>
      <c r="J93">
        <f t="shared" ca="1" si="34"/>
        <v>672358745934.94531</v>
      </c>
      <c r="K93">
        <f t="shared" ca="1" si="7"/>
        <v>1.0678449571303516E-5</v>
      </c>
      <c r="L93">
        <f t="shared" ca="1" si="25"/>
        <v>-122834947634.70235</v>
      </c>
      <c r="M93">
        <f t="shared" ca="1" si="26"/>
        <v>-122834947677.55824</v>
      </c>
      <c r="N93">
        <f t="shared" ca="1" si="8"/>
        <v>122834947710.9416</v>
      </c>
      <c r="O93">
        <f t="shared" ca="1" si="9"/>
        <v>-122834947601.31898</v>
      </c>
      <c r="Q93">
        <f t="shared" si="27"/>
        <v>54</v>
      </c>
      <c r="R93" s="23">
        <f t="shared" si="38"/>
        <v>78.451526348325132</v>
      </c>
      <c r="S93">
        <f t="shared" ca="1" si="28"/>
        <v>9.2860848361999964E-3</v>
      </c>
      <c r="T93" s="23">
        <f t="shared" ca="1" si="36"/>
        <v>499999.99999971711</v>
      </c>
      <c r="U93">
        <f t="shared" ca="1" si="37"/>
        <v>354486.82307814446</v>
      </c>
      <c r="V93">
        <f t="shared" ca="1" si="35"/>
        <v>354.52413991360476</v>
      </c>
      <c r="W93">
        <f t="shared" ca="1" si="29"/>
        <v>4.090864983220671E-12</v>
      </c>
      <c r="X93">
        <f t="shared" ca="1" si="10"/>
        <v>1.4501577315435224E-6</v>
      </c>
      <c r="Y93">
        <f t="shared" ca="1" si="11"/>
        <v>1.4793083051539501E-4</v>
      </c>
      <c r="Z93">
        <f t="shared" ca="1" si="12"/>
        <v>146.03724474836065</v>
      </c>
      <c r="AA93">
        <f t="shared" ca="1" si="13"/>
        <v>487.13380880239743</v>
      </c>
      <c r="AB93" s="6">
        <f t="shared" ca="1" si="30"/>
        <v>-3.6111328611789376E-9</v>
      </c>
      <c r="AC93">
        <f t="shared" ca="1" si="14"/>
        <v>71.5529343559474</v>
      </c>
      <c r="AD93">
        <f t="shared" ca="1" si="31"/>
        <v>28.697049794568766</v>
      </c>
      <c r="AE93">
        <f t="shared" ca="1" si="15"/>
        <v>0.67469019222169024</v>
      </c>
      <c r="AF93">
        <f t="shared" ca="1" si="16"/>
        <v>100.92467434273786</v>
      </c>
      <c r="AG93">
        <f t="shared" ca="1" si="3"/>
        <v>0.59495372043379302</v>
      </c>
      <c r="AI93">
        <f t="shared" ca="1" si="17"/>
        <v>8.0753349630787285E-5</v>
      </c>
      <c r="AK93">
        <f t="shared" ca="1" si="32"/>
        <v>6.8146492588573998E-2</v>
      </c>
      <c r="AM93">
        <f t="shared" ca="1" si="18"/>
        <v>11559.995905373924</v>
      </c>
      <c r="AN93" s="6">
        <f t="shared" si="19"/>
        <v>1.9495613999999998E-5</v>
      </c>
      <c r="AO93" s="6">
        <f t="shared" ca="1" si="20"/>
        <v>4637646.9846094595</v>
      </c>
      <c r="AP93" s="6">
        <f t="shared" ca="1" si="21"/>
        <v>2.319802854620101E-3</v>
      </c>
    </row>
    <row r="94" spans="1:42" x14ac:dyDescent="0.25">
      <c r="A94">
        <f t="shared" si="22"/>
        <v>55</v>
      </c>
      <c r="B94">
        <f t="shared" si="0"/>
        <v>2.2840568256423897</v>
      </c>
      <c r="C94">
        <f t="shared" ca="1" si="33"/>
        <v>1733642807.4538779</v>
      </c>
      <c r="D94">
        <f t="shared" si="4"/>
        <v>10000000</v>
      </c>
      <c r="E94">
        <f t="shared" ca="1" si="5"/>
        <v>10000000.00266619</v>
      </c>
      <c r="F94">
        <f t="shared" ca="1" si="23"/>
        <v>3673044976.8806982</v>
      </c>
      <c r="G94">
        <f t="shared" ca="1" si="1"/>
        <v>949.99696686834773</v>
      </c>
      <c r="H94">
        <f t="shared" ca="1" si="24"/>
        <v>9499969671.2163506</v>
      </c>
      <c r="I94">
        <f t="shared" ca="1" si="6"/>
        <v>791842534.59560061</v>
      </c>
      <c r="J94">
        <f t="shared" ca="1" si="34"/>
        <v>685358685413.53125</v>
      </c>
      <c r="K94">
        <f t="shared" ca="1" si="7"/>
        <v>1.0475899868342771E-5</v>
      </c>
      <c r="L94">
        <f t="shared" ca="1" si="25"/>
        <v>-125209940052.51794</v>
      </c>
      <c r="M94">
        <f t="shared" ca="1" si="26"/>
        <v>-125209940095.37383</v>
      </c>
      <c r="N94">
        <f t="shared" ca="1" si="8"/>
        <v>125209940128.75719</v>
      </c>
      <c r="O94">
        <f t="shared" ca="1" si="9"/>
        <v>-125209940019.1346</v>
      </c>
      <c r="Q94">
        <f t="shared" si="27"/>
        <v>55</v>
      </c>
      <c r="R94" s="23">
        <f t="shared" si="38"/>
        <v>79.90433239181263</v>
      </c>
      <c r="S94">
        <f t="shared" ca="1" si="28"/>
        <v>9.5009996407908869E-3</v>
      </c>
      <c r="T94" s="23">
        <f t="shared" ca="1" si="36"/>
        <v>499999.99999971187</v>
      </c>
      <c r="U94">
        <f t="shared" ca="1" si="37"/>
        <v>354464.44013027183</v>
      </c>
      <c r="V94">
        <f t="shared" ca="1" si="35"/>
        <v>354.62883218093316</v>
      </c>
      <c r="W94">
        <f t="shared" ca="1" si="29"/>
        <v>4.1310095471760312E-12</v>
      </c>
      <c r="X94">
        <f t="shared" ca="1" si="10"/>
        <v>1.4642959863125596E-6</v>
      </c>
      <c r="Y94">
        <f t="shared" ca="1" si="11"/>
        <v>1.4937307622738094E-4</v>
      </c>
      <c r="Z94">
        <f t="shared" ca="1" si="12"/>
        <v>146.06055027379114</v>
      </c>
      <c r="AA94">
        <f t="shared" ca="1" si="13"/>
        <v>487.1310007228696</v>
      </c>
      <c r="AB94" s="6">
        <f t="shared" ca="1" si="30"/>
        <v>-3.6116436960523129E-9</v>
      </c>
      <c r="AC94">
        <f t="shared" ca="1" si="14"/>
        <v>71.537412433150465</v>
      </c>
      <c r="AD94">
        <f t="shared" ca="1" si="31"/>
        <v>28.681527871771841</v>
      </c>
      <c r="AE94">
        <f t="shared" ca="1" si="15"/>
        <v>0.69021211501861668</v>
      </c>
      <c r="AF94">
        <f t="shared" ca="1" si="16"/>
        <v>100.90915241994092</v>
      </c>
      <c r="AG94">
        <f t="shared" ca="1" si="3"/>
        <v>0.59503788324921014</v>
      </c>
      <c r="AI94">
        <f t="shared" ca="1" si="17"/>
        <v>8.0764773089496541E-5</v>
      </c>
      <c r="AK94">
        <f t="shared" ca="1" si="32"/>
        <v>6.8156974934044892E-2</v>
      </c>
      <c r="AM94">
        <f t="shared" ca="1" si="18"/>
        <v>11558.360846785226</v>
      </c>
      <c r="AN94" s="6">
        <f t="shared" si="19"/>
        <v>1.9495613999999998E-5</v>
      </c>
      <c r="AO94" s="6">
        <f t="shared" ca="1" si="20"/>
        <v>4637646.9846094595</v>
      </c>
      <c r="AP94" s="6">
        <f t="shared" ca="1" si="21"/>
        <v>2.319802854620101E-3</v>
      </c>
    </row>
    <row r="95" spans="1:42" x14ac:dyDescent="0.25">
      <c r="A95">
        <f t="shared" si="22"/>
        <v>56</v>
      </c>
      <c r="B95">
        <f t="shared" si="0"/>
        <v>2.3255851315631606</v>
      </c>
      <c r="C95">
        <f t="shared" ca="1" si="33"/>
        <v>1766526686.4716427</v>
      </c>
      <c r="D95">
        <f t="shared" si="4"/>
        <v>10000000</v>
      </c>
      <c r="E95">
        <f t="shared" ca="1" si="5"/>
        <v>10000000.00261656</v>
      </c>
      <c r="F95">
        <f t="shared" ca="1" si="23"/>
        <v>3673045321.3689222</v>
      </c>
      <c r="G95">
        <f t="shared" ca="1" si="1"/>
        <v>949.99696686863217</v>
      </c>
      <c r="H95">
        <f t="shared" ca="1" si="24"/>
        <v>9499969671.1720467</v>
      </c>
      <c r="I95">
        <f t="shared" ca="1" si="6"/>
        <v>791842534.59190774</v>
      </c>
      <c r="J95">
        <f t="shared" ca="1" si="34"/>
        <v>698358624892.05469</v>
      </c>
      <c r="K95">
        <f t="shared" ca="1" si="7"/>
        <v>1.0280891087155916E-5</v>
      </c>
      <c r="L95">
        <f t="shared" ca="1" si="25"/>
        <v>-127584932470.32204</v>
      </c>
      <c r="M95">
        <f t="shared" ca="1" si="26"/>
        <v>-127584932513.17792</v>
      </c>
      <c r="N95">
        <f t="shared" ca="1" si="8"/>
        <v>127584932546.56128</v>
      </c>
      <c r="O95">
        <f t="shared" ca="1" si="9"/>
        <v>-127584932436.93866</v>
      </c>
      <c r="Q95">
        <f t="shared" si="27"/>
        <v>56</v>
      </c>
      <c r="R95" s="23">
        <f t="shared" si="38"/>
        <v>81.357138435300143</v>
      </c>
      <c r="S95">
        <f t="shared" ca="1" si="28"/>
        <v>9.7180097486683475E-3</v>
      </c>
      <c r="T95" s="23">
        <f t="shared" ca="1" si="36"/>
        <v>499999.99999970663</v>
      </c>
      <c r="U95">
        <f t="shared" ca="1" si="37"/>
        <v>354441.83197270671</v>
      </c>
      <c r="V95">
        <f t="shared" ca="1" si="35"/>
        <v>354.73454453195046</v>
      </c>
      <c r="W95">
        <f t="shared" ca="1" si="29"/>
        <v>4.1719206019253871E-12</v>
      </c>
      <c r="X95">
        <f t="shared" ca="1" si="10"/>
        <v>1.4787031809911116E-6</v>
      </c>
      <c r="Y95">
        <f t="shared" ca="1" si="11"/>
        <v>1.5084275654410532E-4</v>
      </c>
      <c r="Z95">
        <f t="shared" ca="1" si="12"/>
        <v>146.08409029157914</v>
      </c>
      <c r="AA95">
        <f t="shared" ca="1" si="13"/>
        <v>487.12816529893189</v>
      </c>
      <c r="AB95" s="6">
        <f t="shared" ca="1" si="30"/>
        <v>-3.6121591722596629E-9</v>
      </c>
      <c r="AC95">
        <f t="shared" ca="1" si="14"/>
        <v>71.521739179988415</v>
      </c>
      <c r="AD95">
        <f t="shared" ca="1" si="31"/>
        <v>28.665854618609785</v>
      </c>
      <c r="AE95">
        <f t="shared" ca="1" si="15"/>
        <v>0.70588536818067182</v>
      </c>
      <c r="AF95">
        <f t="shared" ca="1" si="16"/>
        <v>100.89347916677887</v>
      </c>
      <c r="AG95">
        <f t="shared" ca="1" si="3"/>
        <v>0.5951228107495673</v>
      </c>
      <c r="AI95">
        <f t="shared" ca="1" si="17"/>
        <v>8.0776300339254064E-5</v>
      </c>
      <c r="AK95">
        <f t="shared" ca="1" si="32"/>
        <v>6.8167562749349944E-2</v>
      </c>
      <c r="AM95">
        <f t="shared" ca="1" si="18"/>
        <v>11556.711401196499</v>
      </c>
      <c r="AN95" s="6">
        <f t="shared" si="19"/>
        <v>1.9495613999999998E-5</v>
      </c>
      <c r="AO95" s="6">
        <f t="shared" ca="1" si="20"/>
        <v>4637646.9846094595</v>
      </c>
      <c r="AP95" s="6">
        <f t="shared" ca="1" si="21"/>
        <v>2.319802854620101E-3</v>
      </c>
    </row>
    <row r="96" spans="1:42" x14ac:dyDescent="0.25">
      <c r="A96">
        <f t="shared" si="22"/>
        <v>57</v>
      </c>
      <c r="B96">
        <f t="shared" si="0"/>
        <v>2.3671134374839311</v>
      </c>
      <c r="C96">
        <f t="shared" ca="1" si="33"/>
        <v>1799410565.4892538</v>
      </c>
      <c r="D96">
        <f t="shared" si="4"/>
        <v>10000000</v>
      </c>
      <c r="E96">
        <f t="shared" ca="1" si="5"/>
        <v>10000000.002568742</v>
      </c>
      <c r="F96">
        <f t="shared" ca="1" si="23"/>
        <v>3673045659.4445009</v>
      </c>
      <c r="G96">
        <f t="shared" ca="1" si="1"/>
        <v>949.99696686891139</v>
      </c>
      <c r="H96">
        <f t="shared" ca="1" si="24"/>
        <v>9499969671.1294117</v>
      </c>
      <c r="I96">
        <f t="shared" ca="1" si="6"/>
        <v>791842534.58835399</v>
      </c>
      <c r="J96">
        <f t="shared" ca="1" si="34"/>
        <v>711358564370.51563</v>
      </c>
      <c r="K96">
        <f t="shared" ca="1" si="7"/>
        <v>1.0093009801104425E-5</v>
      </c>
      <c r="L96">
        <f t="shared" ca="1" si="25"/>
        <v>-129959924888.11504</v>
      </c>
      <c r="M96">
        <f t="shared" ca="1" si="26"/>
        <v>-129959924930.97092</v>
      </c>
      <c r="N96">
        <f t="shared" ca="1" si="8"/>
        <v>129959924964.35428</v>
      </c>
      <c r="O96">
        <f t="shared" ca="1" si="9"/>
        <v>-129959924854.73166</v>
      </c>
      <c r="Q96">
        <f t="shared" si="27"/>
        <v>57</v>
      </c>
      <c r="R96" s="23">
        <f t="shared" si="38"/>
        <v>82.809944478787642</v>
      </c>
      <c r="S96">
        <f t="shared" ca="1" si="28"/>
        <v>9.937155016991937E-3</v>
      </c>
      <c r="T96" s="23">
        <f t="shared" ca="1" si="36"/>
        <v>499999.99999970139</v>
      </c>
      <c r="U96">
        <f t="shared" ca="1" si="37"/>
        <v>354418.99424445617</v>
      </c>
      <c r="V96">
        <f t="shared" ca="1" si="35"/>
        <v>354.84129636444288</v>
      </c>
      <c r="W96">
        <f t="shared" ca="1" si="29"/>
        <v>4.2136199998995718E-12</v>
      </c>
      <c r="X96">
        <f t="shared" ca="1" si="10"/>
        <v>1.4933869624927319E-6</v>
      </c>
      <c r="Y96">
        <f t="shared" ca="1" si="11"/>
        <v>1.5234065152848695E-4</v>
      </c>
      <c r="Z96">
        <f t="shared" ca="1" si="12"/>
        <v>146.10786934246863</v>
      </c>
      <c r="AA96">
        <f t="shared" ca="1" si="13"/>
        <v>487.12530201078079</v>
      </c>
      <c r="AB96" s="6">
        <f t="shared" ca="1" si="30"/>
        <v>-3.6126793745167749E-9</v>
      </c>
      <c r="AC96">
        <f t="shared" ca="1" si="14"/>
        <v>71.505911717833328</v>
      </c>
      <c r="AD96">
        <f t="shared" ca="1" si="31"/>
        <v>28.650027156454698</v>
      </c>
      <c r="AE96">
        <f t="shared" ca="1" si="15"/>
        <v>0.72171283033575995</v>
      </c>
      <c r="AF96">
        <f t="shared" ca="1" si="16"/>
        <v>100.87765170462379</v>
      </c>
      <c r="AG96">
        <f t="shared" ca="1" si="3"/>
        <v>0.59520851689225041</v>
      </c>
      <c r="AI96">
        <f t="shared" ca="1" si="17"/>
        <v>8.0787933274502463E-5</v>
      </c>
      <c r="AK96">
        <f t="shared" ca="1" si="32"/>
        <v>6.8178258076822262E-2</v>
      </c>
      <c r="AM96">
        <f t="shared" ca="1" si="18"/>
        <v>11555.047310162536</v>
      </c>
      <c r="AN96" s="6">
        <f t="shared" si="19"/>
        <v>1.9495613999999998E-5</v>
      </c>
      <c r="AO96" s="6">
        <f t="shared" ca="1" si="20"/>
        <v>4637646.9846094605</v>
      </c>
      <c r="AP96" s="6">
        <f t="shared" ca="1" si="21"/>
        <v>2.3198028546201001E-3</v>
      </c>
    </row>
    <row r="97" spans="1:42" x14ac:dyDescent="0.25">
      <c r="A97">
        <f t="shared" si="22"/>
        <v>58</v>
      </c>
      <c r="B97">
        <f t="shared" si="0"/>
        <v>2.4086417434047021</v>
      </c>
      <c r="C97">
        <f t="shared" ca="1" si="33"/>
        <v>1832294444.5067177</v>
      </c>
      <c r="D97">
        <f t="shared" si="4"/>
        <v>10000000</v>
      </c>
      <c r="E97">
        <f t="shared" ca="1" si="5"/>
        <v>10000000.002522642</v>
      </c>
      <c r="F97">
        <f t="shared" ca="1" si="23"/>
        <v>3673045991.341814</v>
      </c>
      <c r="G97">
        <f t="shared" ca="1" si="1"/>
        <v>949.99696686918548</v>
      </c>
      <c r="H97">
        <f t="shared" ca="1" si="24"/>
        <v>9499969671.088356</v>
      </c>
      <c r="I97">
        <f t="shared" ca="1" si="6"/>
        <v>791842534.58493185</v>
      </c>
      <c r="J97">
        <f t="shared" ca="1" si="34"/>
        <v>724358503848.92188</v>
      </c>
      <c r="K97">
        <f t="shared" ca="1" si="7"/>
        <v>9.911872262341319E-6</v>
      </c>
      <c r="L97">
        <f t="shared" ca="1" si="25"/>
        <v>-132334917305.8974</v>
      </c>
      <c r="M97">
        <f t="shared" ca="1" si="26"/>
        <v>-132334917348.7533</v>
      </c>
      <c r="N97">
        <f t="shared" ca="1" si="8"/>
        <v>132334917382.13666</v>
      </c>
      <c r="O97">
        <f t="shared" ca="1" si="9"/>
        <v>-132334917272.51404</v>
      </c>
      <c r="Q97">
        <f t="shared" si="27"/>
        <v>58</v>
      </c>
      <c r="R97" s="23">
        <f t="shared" si="38"/>
        <v>84.262750522275141</v>
      </c>
      <c r="S97">
        <f t="shared" ca="1" si="28"/>
        <v>1.0158476436201345E-2</v>
      </c>
      <c r="T97" s="23">
        <f t="shared" ca="1" si="36"/>
        <v>499999.99999969616</v>
      </c>
      <c r="U97">
        <f t="shared" ca="1" si="37"/>
        <v>354395.92245894449</v>
      </c>
      <c r="V97">
        <f t="shared" ca="1" si="35"/>
        <v>354.94910762761674</v>
      </c>
      <c r="W97">
        <f t="shared" ca="1" si="29"/>
        <v>4.2561304256951385E-12</v>
      </c>
      <c r="X97">
        <f t="shared" ca="1" si="10"/>
        <v>1.5083552683198087E-6</v>
      </c>
      <c r="Y97">
        <f t="shared" ca="1" si="11"/>
        <v>1.5386757088645987E-4</v>
      </c>
      <c r="Z97">
        <f t="shared" ca="1" si="12"/>
        <v>146.13189209796226</v>
      </c>
      <c r="AA97">
        <f t="shared" ca="1" si="13"/>
        <v>487.12241032384026</v>
      </c>
      <c r="AB97" s="6">
        <f t="shared" ca="1" si="30"/>
        <v>-3.6132043898766291E-9</v>
      </c>
      <c r="AC97">
        <f t="shared" ca="1" si="14"/>
        <v>71.489927086207715</v>
      </c>
      <c r="AD97">
        <f t="shared" ca="1" si="31"/>
        <v>28.634042524829091</v>
      </c>
      <c r="AE97">
        <f t="shared" ca="1" si="15"/>
        <v>0.73769746196136665</v>
      </c>
      <c r="AF97">
        <f t="shared" ca="1" si="16"/>
        <v>100.86166707299817</v>
      </c>
      <c r="AG97">
        <f t="shared" ca="1" si="3"/>
        <v>0.59529501601970913</v>
      </c>
      <c r="AI97">
        <f t="shared" ca="1" si="17"/>
        <v>8.0799673841949182E-5</v>
      </c>
      <c r="AK97">
        <f t="shared" ca="1" si="32"/>
        <v>6.818906301760759E-2</v>
      </c>
      <c r="AM97">
        <f t="shared" ca="1" si="18"/>
        <v>11553.368308183386</v>
      </c>
      <c r="AN97" s="6">
        <f t="shared" si="19"/>
        <v>1.9495613999999998E-5</v>
      </c>
      <c r="AO97" s="6">
        <f t="shared" ca="1" si="20"/>
        <v>4637646.9846094586</v>
      </c>
      <c r="AP97" s="6">
        <f t="shared" ca="1" si="21"/>
        <v>2.319802854620101E-3</v>
      </c>
    </row>
    <row r="98" spans="1:42" x14ac:dyDescent="0.25">
      <c r="A98">
        <f t="shared" si="22"/>
        <v>59</v>
      </c>
      <c r="B98">
        <f t="shared" si="0"/>
        <v>2.450170049325473</v>
      </c>
      <c r="C98">
        <f t="shared" ca="1" si="33"/>
        <v>1865178323.5240393</v>
      </c>
      <c r="D98">
        <f t="shared" si="4"/>
        <v>10000000</v>
      </c>
      <c r="E98">
        <f t="shared" ca="1" si="5"/>
        <v>10000000.002478167</v>
      </c>
      <c r="F98">
        <f t="shared" ca="1" si="23"/>
        <v>3673046317.2826223</v>
      </c>
      <c r="G98">
        <f t="shared" ca="1" si="1"/>
        <v>949.9969668694547</v>
      </c>
      <c r="H98">
        <f t="shared" ca="1" si="24"/>
        <v>9499969671.0487976</v>
      </c>
      <c r="I98">
        <f t="shared" ca="1" si="6"/>
        <v>791842534.58163464</v>
      </c>
      <c r="J98">
        <f t="shared" ca="1" si="34"/>
        <v>737358443327.26563</v>
      </c>
      <c r="K98">
        <f t="shared" ca="1" si="7"/>
        <v>9.7371217855636082E-6</v>
      </c>
      <c r="L98">
        <f t="shared" ca="1" si="25"/>
        <v>-134709909723.66949</v>
      </c>
      <c r="M98">
        <f t="shared" ca="1" si="26"/>
        <v>-134709909766.52538</v>
      </c>
      <c r="N98">
        <f t="shared" ca="1" si="8"/>
        <v>134709909799.90874</v>
      </c>
      <c r="O98">
        <f t="shared" ca="1" si="9"/>
        <v>-134709909690.28615</v>
      </c>
      <c r="Q98">
        <f t="shared" si="27"/>
        <v>59</v>
      </c>
      <c r="R98" s="23">
        <f t="shared" si="38"/>
        <v>85.71555656576264</v>
      </c>
      <c r="S98">
        <f t="shared" ca="1" si="28"/>
        <v>1.0382016173081935E-2</v>
      </c>
      <c r="T98" s="23">
        <f t="shared" ca="1" si="36"/>
        <v>499999.99999969092</v>
      </c>
      <c r="U98">
        <f t="shared" ca="1" si="37"/>
        <v>354372.6119991935</v>
      </c>
      <c r="V98">
        <f t="shared" ca="1" si="35"/>
        <v>355.05799884304918</v>
      </c>
      <c r="W98">
        <f t="shared" ca="1" si="29"/>
        <v>4.2994754358666805E-12</v>
      </c>
      <c r="X98">
        <f t="shared" ca="1" si="10"/>
        <v>1.5236163404344465E-6</v>
      </c>
      <c r="Y98">
        <f t="shared" ca="1" si="11"/>
        <v>1.554243553819442E-4</v>
      </c>
      <c r="Z98">
        <f t="shared" ca="1" si="12"/>
        <v>146.15616336534032</v>
      </c>
      <c r="AA98">
        <f t="shared" ca="1" si="13"/>
        <v>487.11948968819968</v>
      </c>
      <c r="AB98" s="6">
        <f t="shared" ca="1" si="30"/>
        <v>-3.6137343078160683E-9</v>
      </c>
      <c r="AC98">
        <f t="shared" ca="1" si="14"/>
        <v>71.473782239674165</v>
      </c>
      <c r="AD98">
        <f t="shared" ca="1" si="31"/>
        <v>28.617897678295549</v>
      </c>
      <c r="AE98">
        <f t="shared" ca="1" si="15"/>
        <v>0.75384230849490719</v>
      </c>
      <c r="AF98">
        <f t="shared" ca="1" si="16"/>
        <v>100.84552222646462</v>
      </c>
      <c r="AG98">
        <f t="shared" ca="1" si="3"/>
        <v>0.59538232287373916</v>
      </c>
      <c r="AI98">
        <f t="shared" ca="1" si="17"/>
        <v>8.0811524042505132E-5</v>
      </c>
      <c r="AK98">
        <f t="shared" ca="1" si="32"/>
        <v>6.8199979733921612E-2</v>
      </c>
      <c r="AM98">
        <f t="shared" ca="1" si="18"/>
        <v>11551.674122444769</v>
      </c>
      <c r="AN98" s="6">
        <f t="shared" si="19"/>
        <v>1.9495613999999998E-5</v>
      </c>
      <c r="AO98" s="6">
        <f t="shared" ca="1" si="20"/>
        <v>4637646.9846094595</v>
      </c>
      <c r="AP98" s="6">
        <f t="shared" ca="1" si="21"/>
        <v>2.319802854620101E-3</v>
      </c>
    </row>
    <row r="99" spans="1:42" x14ac:dyDescent="0.25">
      <c r="A99">
        <f t="shared" si="22"/>
        <v>60</v>
      </c>
      <c r="B99">
        <f t="shared" si="0"/>
        <v>2.4916983552462435</v>
      </c>
      <c r="C99">
        <f t="shared" ca="1" si="33"/>
        <v>1898062202.5412238</v>
      </c>
      <c r="D99">
        <f t="shared" si="4"/>
        <v>10000000</v>
      </c>
      <c r="E99">
        <f t="shared" ca="1" si="5"/>
        <v>10000000.002435233</v>
      </c>
      <c r="F99">
        <f t="shared" ca="1" si="23"/>
        <v>3673046637.4769573</v>
      </c>
      <c r="G99">
        <f t="shared" ca="1" si="1"/>
        <v>949.99696686971913</v>
      </c>
      <c r="H99">
        <f t="shared" ca="1" si="24"/>
        <v>9499969671.0106564</v>
      </c>
      <c r="I99">
        <f t="shared" ca="1" si="6"/>
        <v>791842534.57845545</v>
      </c>
      <c r="J99">
        <f t="shared" ca="1" si="34"/>
        <v>750358382805.5625</v>
      </c>
      <c r="K99">
        <f t="shared" ca="1" si="7"/>
        <v>9.5684264037224038E-6</v>
      </c>
      <c r="L99">
        <f t="shared" ca="1" si="25"/>
        <v>-137084902141.43169</v>
      </c>
      <c r="M99">
        <f t="shared" ca="1" si="26"/>
        <v>-137084902184.28757</v>
      </c>
      <c r="N99">
        <f t="shared" ca="1" si="8"/>
        <v>137084902217.67093</v>
      </c>
      <c r="O99">
        <f t="shared" ca="1" si="9"/>
        <v>-137084902108.04831</v>
      </c>
      <c r="Q99">
        <f t="shared" si="27"/>
        <v>60</v>
      </c>
      <c r="R99" s="23">
        <f t="shared" si="38"/>
        <v>87.168362609250138</v>
      </c>
      <c r="S99">
        <f t="shared" ca="1" si="28"/>
        <v>1.0607817615885973E-2</v>
      </c>
      <c r="T99" s="23">
        <f t="shared" ca="1" si="36"/>
        <v>499999.99999968568</v>
      </c>
      <c r="U99">
        <f t="shared" ca="1" si="37"/>
        <v>354349.0581127702</v>
      </c>
      <c r="V99">
        <f t="shared" ca="1" si="35"/>
        <v>355.16799112663875</v>
      </c>
      <c r="W99">
        <f t="shared" ca="1" si="29"/>
        <v>4.3436795010161252E-12</v>
      </c>
      <c r="X99">
        <f t="shared" ca="1" si="10"/>
        <v>1.5391787399288115E-6</v>
      </c>
      <c r="Y99">
        <f t="shared" ca="1" si="11"/>
        <v>1.5701187833337061E-4</v>
      </c>
      <c r="Z99">
        <f t="shared" ca="1" si="12"/>
        <v>146.18068809292106</v>
      </c>
      <c r="AA99">
        <f t="shared" ca="1" si="13"/>
        <v>487.11653953802619</v>
      </c>
      <c r="AB99" s="6">
        <f t="shared" ca="1" si="30"/>
        <v>-3.6142692203265564E-9</v>
      </c>
      <c r="AC99">
        <f t="shared" ca="1" si="14"/>
        <v>71.457474044576543</v>
      </c>
      <c r="AD99">
        <f t="shared" ca="1" si="31"/>
        <v>28.601589483197913</v>
      </c>
      <c r="AE99">
        <f t="shared" ca="1" si="15"/>
        <v>0.77015050359254467</v>
      </c>
      <c r="AF99">
        <f t="shared" ca="1" si="16"/>
        <v>100.829214031367</v>
      </c>
      <c r="AG99">
        <f t="shared" ca="1" si="3"/>
        <v>0.59547045261043297</v>
      </c>
      <c r="AI99">
        <f t="shared" ca="1" si="17"/>
        <v>8.0823485933313914E-5</v>
      </c>
      <c r="AK99">
        <f t="shared" ca="1" si="32"/>
        <v>6.8211010451415949E-2</v>
      </c>
      <c r="AM99">
        <f t="shared" ca="1" si="18"/>
        <v>11549.964472546408</v>
      </c>
      <c r="AN99" s="6">
        <f t="shared" si="19"/>
        <v>1.9495613999999998E-5</v>
      </c>
      <c r="AO99" s="6">
        <f t="shared" ca="1" si="20"/>
        <v>4637646.9846094605</v>
      </c>
      <c r="AP99" s="6">
        <f t="shared" ca="1" si="21"/>
        <v>2.3198028546201001E-3</v>
      </c>
    </row>
    <row r="100" spans="1:42" x14ac:dyDescent="0.25">
      <c r="A100">
        <f t="shared" si="22"/>
        <v>61</v>
      </c>
      <c r="B100">
        <f t="shared" si="0"/>
        <v>2.533226661167014</v>
      </c>
      <c r="C100">
        <f t="shared" ca="1" si="33"/>
        <v>1930946081.5582762</v>
      </c>
      <c r="D100">
        <f t="shared" si="4"/>
        <v>10000000</v>
      </c>
      <c r="E100">
        <f t="shared" ca="1" si="5"/>
        <v>10000000.002393762</v>
      </c>
      <c r="F100">
        <f t="shared" ca="1" si="23"/>
        <v>3673046952.1239338</v>
      </c>
      <c r="G100">
        <f t="shared" ca="1" si="1"/>
        <v>949.99696686997891</v>
      </c>
      <c r="H100">
        <f t="shared" ca="1" si="24"/>
        <v>9499969670.973856</v>
      </c>
      <c r="I100">
        <f t="shared" ca="1" si="6"/>
        <v>791842534.57538807</v>
      </c>
      <c r="J100">
        <f t="shared" ca="1" si="34"/>
        <v>763358322283.80469</v>
      </c>
      <c r="K100">
        <f t="shared" ca="1" si="7"/>
        <v>9.4054767632727383E-6</v>
      </c>
      <c r="L100">
        <f t="shared" ca="1" si="25"/>
        <v>-139459894559.18433</v>
      </c>
      <c r="M100">
        <f t="shared" ca="1" si="26"/>
        <v>-139459894602.04022</v>
      </c>
      <c r="N100">
        <f t="shared" ca="1" si="8"/>
        <v>139459894635.42358</v>
      </c>
      <c r="O100">
        <f t="shared" ca="1" si="9"/>
        <v>-139459894525.80096</v>
      </c>
      <c r="Q100">
        <f t="shared" si="27"/>
        <v>61</v>
      </c>
      <c r="R100" s="23">
        <f t="shared" si="38"/>
        <v>88.621168652737651</v>
      </c>
      <c r="S100">
        <f t="shared" ca="1" si="28"/>
        <v>1.083592542162802E-2</v>
      </c>
      <c r="T100" s="23">
        <f t="shared" ca="1" si="36"/>
        <v>499999.99999968044</v>
      </c>
      <c r="U100">
        <f t="shared" ca="1" si="37"/>
        <v>354325.25590648921</v>
      </c>
      <c r="V100">
        <f t="shared" ca="1" si="35"/>
        <v>355.27910621161345</v>
      </c>
      <c r="W100">
        <f t="shared" ca="1" si="29"/>
        <v>4.388768050334703E-12</v>
      </c>
      <c r="X100">
        <f t="shared" ca="1" si="10"/>
        <v>1.5550513625490674E-6</v>
      </c>
      <c r="Y100">
        <f t="shared" ca="1" si="11"/>
        <v>1.5863104719727943E-4</v>
      </c>
      <c r="Z100">
        <f t="shared" ca="1" si="12"/>
        <v>146.20547137557645</v>
      </c>
      <c r="AA100">
        <f t="shared" ca="1" si="13"/>
        <v>487.11355929094947</v>
      </c>
      <c r="AB100" s="6">
        <f t="shared" ca="1" si="30"/>
        <v>-3.6148092220092003E-9</v>
      </c>
      <c r="AC100">
        <f t="shared" ca="1" si="14"/>
        <v>71.440999275624037</v>
      </c>
      <c r="AD100">
        <f t="shared" ca="1" si="31"/>
        <v>28.585114714245421</v>
      </c>
      <c r="AE100">
        <f t="shared" ca="1" si="15"/>
        <v>0.78662527254503423</v>
      </c>
      <c r="AF100">
        <f t="shared" ca="1" si="16"/>
        <v>100.8127392624145</v>
      </c>
      <c r="AG100">
        <f t="shared" ca="1" si="3"/>
        <v>0.59555942081583557</v>
      </c>
      <c r="AI100">
        <f t="shared" ca="1" si="17"/>
        <v>8.0835561629876768E-5</v>
      </c>
      <c r="AK100">
        <f t="shared" ca="1" si="32"/>
        <v>6.8222157461659133E-2</v>
      </c>
      <c r="AM100">
        <f t="shared" ca="1" si="18"/>
        <v>11548.239070217651</v>
      </c>
      <c r="AN100" s="6">
        <f t="shared" si="19"/>
        <v>1.9495613999999998E-5</v>
      </c>
      <c r="AO100" s="6">
        <f t="shared" ca="1" si="20"/>
        <v>4637646.9846094586</v>
      </c>
      <c r="AP100" s="6">
        <f t="shared" ca="1" si="21"/>
        <v>2.319802854620101E-3</v>
      </c>
    </row>
    <row r="101" spans="1:42" x14ac:dyDescent="0.25">
      <c r="A101">
        <f t="shared" si="22"/>
        <v>62</v>
      </c>
      <c r="B101">
        <f t="shared" si="0"/>
        <v>2.574754967087785</v>
      </c>
      <c r="C101">
        <f t="shared" ca="1" si="33"/>
        <v>1963829960.5752015</v>
      </c>
      <c r="D101">
        <f t="shared" si="4"/>
        <v>10000000</v>
      </c>
      <c r="E101">
        <f t="shared" ca="1" si="5"/>
        <v>10000000.002353678</v>
      </c>
      <c r="F101">
        <f t="shared" ca="1" si="23"/>
        <v>3673047261.4124937</v>
      </c>
      <c r="G101">
        <f t="shared" ca="1" si="1"/>
        <v>949.99696687023436</v>
      </c>
      <c r="H101">
        <f t="shared" ca="1" si="24"/>
        <v>9499969670.9383297</v>
      </c>
      <c r="I101">
        <f t="shared" ca="1" si="6"/>
        <v>791842534.57242692</v>
      </c>
      <c r="J101">
        <f t="shared" ca="1" si="34"/>
        <v>776358261762</v>
      </c>
      <c r="K101">
        <f t="shared" ca="1" si="7"/>
        <v>9.2479842308836104E-6</v>
      </c>
      <c r="L101">
        <f t="shared" ca="1" si="25"/>
        <v>-141834886976.9278</v>
      </c>
      <c r="M101">
        <f t="shared" ca="1" si="26"/>
        <v>-141834887019.78369</v>
      </c>
      <c r="N101">
        <f t="shared" ca="1" si="8"/>
        <v>141834887053.16705</v>
      </c>
      <c r="O101">
        <f t="shared" ca="1" si="9"/>
        <v>-141834886943.54443</v>
      </c>
      <c r="Q101">
        <f t="shared" si="27"/>
        <v>62</v>
      </c>
      <c r="R101" s="23">
        <f t="shared" si="38"/>
        <v>90.073974696225164</v>
      </c>
      <c r="S101">
        <f t="shared" ca="1" si="28"/>
        <v>1.1066385565680981E-2</v>
      </c>
      <c r="T101" s="23">
        <f t="shared" ca="1" si="36"/>
        <v>499999.9999996752</v>
      </c>
      <c r="U101">
        <f t="shared" ca="1" si="37"/>
        <v>354301.20034085546</v>
      </c>
      <c r="V101">
        <f t="shared" ca="1" si="35"/>
        <v>355.39136647265781</v>
      </c>
      <c r="W101">
        <f t="shared" ca="1" si="29"/>
        <v>4.4347675187659762E-12</v>
      </c>
      <c r="X101">
        <f t="shared" ca="1" si="10"/>
        <v>1.5712434551314225E-6</v>
      </c>
      <c r="Y101">
        <f t="shared" ca="1" si="11"/>
        <v>1.6028280524496463E-4</v>
      </c>
      <c r="Z101">
        <f t="shared" ca="1" si="12"/>
        <v>146.23051846051897</v>
      </c>
      <c r="AA101">
        <f t="shared" ca="1" si="13"/>
        <v>487.11054834741378</v>
      </c>
      <c r="AB101" s="6">
        <f t="shared" ca="1" si="30"/>
        <v>-3.6153544101743129E-9</v>
      </c>
      <c r="AC101">
        <f t="shared" ca="1" si="14"/>
        <v>71.424354612309358</v>
      </c>
      <c r="AD101">
        <f t="shared" ca="1" si="31"/>
        <v>28.568470050930728</v>
      </c>
      <c r="AE101">
        <f t="shared" ca="1" si="15"/>
        <v>0.80326993585972806</v>
      </c>
      <c r="AF101">
        <f t="shared" ca="1" si="16"/>
        <v>100.79609459909982</v>
      </c>
      <c r="AG101">
        <f t="shared" ca="1" si="3"/>
        <v>0.59564924352234871</v>
      </c>
      <c r="AI101">
        <f t="shared" ca="1" si="17"/>
        <v>8.0847753308279166E-5</v>
      </c>
      <c r="AK101">
        <f t="shared" ca="1" si="32"/>
        <v>6.8233423124739317E-2</v>
      </c>
      <c r="AM101">
        <f t="shared" ca="1" si="18"/>
        <v>11546.497619019607</v>
      </c>
      <c r="AN101" s="6">
        <f t="shared" si="19"/>
        <v>1.9495613999999998E-5</v>
      </c>
      <c r="AO101" s="6">
        <f t="shared" ca="1" si="20"/>
        <v>4637646.9846094595</v>
      </c>
      <c r="AP101" s="6">
        <f t="shared" ca="1" si="21"/>
        <v>2.319802854620101E-3</v>
      </c>
    </row>
    <row r="102" spans="1:42" x14ac:dyDescent="0.25">
      <c r="A102">
        <f t="shared" si="22"/>
        <v>63</v>
      </c>
      <c r="B102">
        <f t="shared" si="0"/>
        <v>2.6162832730085559</v>
      </c>
      <c r="C102">
        <f t="shared" ca="1" si="33"/>
        <v>1996713839.5920038</v>
      </c>
      <c r="D102">
        <f t="shared" si="4"/>
        <v>10000000</v>
      </c>
      <c r="E102">
        <f t="shared" ca="1" si="5"/>
        <v>10000000.002314914</v>
      </c>
      <c r="F102">
        <f t="shared" ca="1" si="23"/>
        <v>3673047565.5220885</v>
      </c>
      <c r="G102">
        <f t="shared" ca="1" si="1"/>
        <v>949.99696687048549</v>
      </c>
      <c r="H102">
        <f t="shared" ca="1" si="24"/>
        <v>9499969670.9040165</v>
      </c>
      <c r="I102">
        <f t="shared" ca="1" si="6"/>
        <v>791842534.56956685</v>
      </c>
      <c r="J102">
        <f t="shared" ca="1" si="34"/>
        <v>789358201240.14063</v>
      </c>
      <c r="K102">
        <f t="shared" ca="1" si="7"/>
        <v>9.0956791872324445E-6</v>
      </c>
      <c r="L102">
        <f t="shared" ca="1" si="25"/>
        <v>-144209879394.66238</v>
      </c>
      <c r="M102">
        <f t="shared" ca="1" si="26"/>
        <v>-144209879437.51828</v>
      </c>
      <c r="N102">
        <f t="shared" ca="1" si="8"/>
        <v>144209879470.90164</v>
      </c>
      <c r="O102">
        <f t="shared" ca="1" si="9"/>
        <v>-144209879361.27902</v>
      </c>
      <c r="Q102">
        <f t="shared" si="27"/>
        <v>63</v>
      </c>
      <c r="R102" s="23">
        <f t="shared" si="38"/>
        <v>91.526780739712649</v>
      </c>
      <c r="S102">
        <f t="shared" ca="1" si="28"/>
        <v>1.1299245393807993E-2</v>
      </c>
      <c r="T102" s="23">
        <f t="shared" ca="1" si="36"/>
        <v>499999.99999966996</v>
      </c>
      <c r="U102">
        <f t="shared" ca="1" si="37"/>
        <v>354276.88622423116</v>
      </c>
      <c r="V102">
        <f t="shared" ca="1" si="35"/>
        <v>355.50479495122482</v>
      </c>
      <c r="W102">
        <f t="shared" ca="1" si="29"/>
        <v>4.4817053969706829E-12</v>
      </c>
      <c r="X102">
        <f t="shared" ca="1" si="10"/>
        <v>1.5877646330131053E-6</v>
      </c>
      <c r="Y102">
        <f t="shared" ca="1" si="11"/>
        <v>1.6196813333857043E-4</v>
      </c>
      <c r="Z102">
        <f t="shared" ca="1" si="12"/>
        <v>146.25583475337453</v>
      </c>
      <c r="AA102">
        <f t="shared" ca="1" si="13"/>
        <v>487.10750609000144</v>
      </c>
      <c r="AB102" s="6">
        <f t="shared" ca="1" si="30"/>
        <v>-3.6159048849457461E-9</v>
      </c>
      <c r="AC102">
        <f t="shared" ca="1" si="14"/>
        <v>71.407536635150578</v>
      </c>
      <c r="AD102">
        <f t="shared" ca="1" si="31"/>
        <v>28.551652073771951</v>
      </c>
      <c r="AE102">
        <f t="shared" ca="1" si="15"/>
        <v>0.82008791301850703</v>
      </c>
      <c r="AF102">
        <f t="shared" ca="1" si="16"/>
        <v>100.77927662194104</v>
      </c>
      <c r="AG102">
        <f t="shared" ca="1" si="3"/>
        <v>0.59573993722592022</v>
      </c>
      <c r="AI102">
        <f t="shared" ca="1" si="17"/>
        <v>8.0860063207523899E-5</v>
      </c>
      <c r="AK102">
        <f t="shared" ca="1" si="32"/>
        <v>6.8244809871995715E-2</v>
      </c>
      <c r="AM102">
        <f t="shared" ca="1" si="18"/>
        <v>11544.739814033046</v>
      </c>
      <c r="AN102" s="6">
        <f t="shared" si="19"/>
        <v>1.9495613999999998E-5</v>
      </c>
      <c r="AO102" s="6">
        <f t="shared" ca="1" si="20"/>
        <v>4637646.9846094595</v>
      </c>
      <c r="AP102" s="6">
        <f t="shared" ca="1" si="21"/>
        <v>2.319802854620101E-3</v>
      </c>
    </row>
    <row r="103" spans="1:42" x14ac:dyDescent="0.25">
      <c r="A103">
        <f t="shared" si="22"/>
        <v>64</v>
      </c>
      <c r="B103">
        <f t="shared" ref="B103:B166" si="39">$B$33*A103/$B$36</f>
        <v>2.6578115789293264</v>
      </c>
      <c r="C103">
        <f t="shared" ca="1" si="33"/>
        <v>2029597718.6086872</v>
      </c>
      <c r="D103">
        <f t="shared" si="4"/>
        <v>10000000</v>
      </c>
      <c r="E103">
        <f t="shared" ca="1" si="5"/>
        <v>10000000.002277408</v>
      </c>
      <c r="F103">
        <f t="shared" ca="1" si="23"/>
        <v>3673047864.6233025</v>
      </c>
      <c r="G103">
        <f t="shared" ref="G103:G166" ca="1" si="40">$B$24*EXP(-$B$25/F103)</f>
        <v>949.99696687073242</v>
      </c>
      <c r="H103">
        <f t="shared" ca="1" si="24"/>
        <v>9499969670.8708553</v>
      </c>
      <c r="I103">
        <f t="shared" ca="1" si="6"/>
        <v>791842534.56680274</v>
      </c>
      <c r="J103">
        <f t="shared" ca="1" si="34"/>
        <v>802358140718.23438</v>
      </c>
      <c r="K103">
        <f t="shared" ca="1" si="7"/>
        <v>8.948309486664152E-6</v>
      </c>
      <c r="L103">
        <f t="shared" ca="1" si="25"/>
        <v>-146584871812.3884</v>
      </c>
      <c r="M103">
        <f t="shared" ca="1" si="26"/>
        <v>-146584871855.24426</v>
      </c>
      <c r="N103">
        <f t="shared" ca="1" si="8"/>
        <v>146584871888.62762</v>
      </c>
      <c r="O103">
        <f t="shared" ca="1" si="9"/>
        <v>-146584871779.00507</v>
      </c>
      <c r="Q103">
        <f t="shared" si="27"/>
        <v>64</v>
      </c>
      <c r="R103" s="23">
        <f t="shared" si="38"/>
        <v>92.979586783200162</v>
      </c>
      <c r="S103">
        <f t="shared" ca="1" si="28"/>
        <v>1.1534553676774658E-2</v>
      </c>
      <c r="T103" s="23">
        <f t="shared" ca="1" si="36"/>
        <v>499999.99999966472</v>
      </c>
      <c r="U103">
        <f t="shared" ca="1" si="37"/>
        <v>354252.30820671184</v>
      </c>
      <c r="V103">
        <f t="shared" ca="1" si="35"/>
        <v>355.61941538210306</v>
      </c>
      <c r="W103">
        <f t="shared" ca="1" si="29"/>
        <v>4.529610284289289E-12</v>
      </c>
      <c r="X103">
        <f t="shared" ca="1" si="10"/>
        <v>1.6046248984863409E-6</v>
      </c>
      <c r="Y103">
        <f t="shared" ca="1" si="11"/>
        <v>1.6368805181358418E-4</v>
      </c>
      <c r="Z103">
        <f t="shared" ca="1" si="12"/>
        <v>146.28142582455939</v>
      </c>
      <c r="AA103">
        <f t="shared" ca="1" si="13"/>
        <v>487.10443188272001</v>
      </c>
      <c r="AB103" s="6">
        <f t="shared" ca="1" si="30"/>
        <v>-3.616460749370322E-9</v>
      </c>
      <c r="AC103">
        <f t="shared" ca="1" si="14"/>
        <v>71.390541821747007</v>
      </c>
      <c r="AD103">
        <f t="shared" ca="1" si="31"/>
        <v>28.534657260368384</v>
      </c>
      <c r="AE103">
        <f t="shared" ca="1" si="15"/>
        <v>0.83708272642207249</v>
      </c>
      <c r="AF103">
        <f t="shared" ca="1" si="16"/>
        <v>100.76228180853747</v>
      </c>
      <c r="AG103">
        <f t="shared" ref="AG103:AG166" ca="1" si="41">8.314*AF103*V103/T103</f>
        <v>0.59583151890407271</v>
      </c>
      <c r="AI103">
        <f t="shared" ca="1" si="17"/>
        <v>8.0872493631978142E-5</v>
      </c>
      <c r="AK103">
        <f t="shared" ca="1" si="32"/>
        <v>6.8256320208886875E-2</v>
      </c>
      <c r="AM103">
        <f t="shared" ca="1" si="18"/>
        <v>11542.965341531244</v>
      </c>
      <c r="AN103" s="6">
        <f t="shared" si="19"/>
        <v>1.9495613999999998E-5</v>
      </c>
      <c r="AO103" s="6">
        <f t="shared" ca="1" si="20"/>
        <v>4637646.9846094595</v>
      </c>
      <c r="AP103" s="6">
        <f t="shared" ca="1" si="21"/>
        <v>2.319802854620101E-3</v>
      </c>
    </row>
    <row r="104" spans="1:42" x14ac:dyDescent="0.25">
      <c r="A104">
        <f t="shared" si="22"/>
        <v>65</v>
      </c>
      <c r="B104">
        <f t="shared" si="39"/>
        <v>2.6993398848500969</v>
      </c>
      <c r="C104">
        <f t="shared" ca="1" si="33"/>
        <v>2062481597.6252556</v>
      </c>
      <c r="D104">
        <f t="shared" ref="D104:D167" si="42">$B$26*1000</f>
        <v>10000000</v>
      </c>
      <c r="E104">
        <f t="shared" ref="E104:E167" ca="1" si="43">D104*(L104/O104)</f>
        <v>10000000.002241101</v>
      </c>
      <c r="F104">
        <f t="shared" ca="1" si="23"/>
        <v>3673048158.8784289</v>
      </c>
      <c r="G104">
        <f t="shared" ca="1" si="40"/>
        <v>949.99696687097537</v>
      </c>
      <c r="H104">
        <f t="shared" ref="H104:H167" ca="1" si="44">G104*E104</f>
        <v>9499969670.8387928</v>
      </c>
      <c r="I104">
        <f t="shared" ref="I104:I167" ca="1" si="45">H104*$B$32/($B$9*1000)</f>
        <v>791842534.56413031</v>
      </c>
      <c r="J104">
        <f t="shared" ca="1" si="34"/>
        <v>815358080196.28125</v>
      </c>
      <c r="K104">
        <f t="shared" ref="K104:K167" ca="1" si="46">-$H$22*1000*1000*$B$9/J104</f>
        <v>8.8056390642045325E-6</v>
      </c>
      <c r="L104">
        <f t="shared" ca="1" si="25"/>
        <v>-148959864230.10608</v>
      </c>
      <c r="M104">
        <f t="shared" ca="1" si="26"/>
        <v>-148959864272.96194</v>
      </c>
      <c r="N104">
        <f t="shared" ref="N104:N167" ca="1" si="47">$B$11*1000+$B$9*C104*1000</f>
        <v>148959864306.34531</v>
      </c>
      <c r="O104">
        <f t="shared" ref="O104:O167" ca="1" si="48">L104+M104+N104</f>
        <v>-148959864196.72269</v>
      </c>
      <c r="Q104">
        <f t="shared" si="27"/>
        <v>65</v>
      </c>
      <c r="R104" s="23">
        <f t="shared" si="38"/>
        <v>94.432392826687661</v>
      </c>
      <c r="S104">
        <f t="shared" ca="1" si="28"/>
        <v>1.1772360667696128E-2</v>
      </c>
      <c r="T104" s="23">
        <f t="shared" ca="1" si="36"/>
        <v>499999.99999965949</v>
      </c>
      <c r="U104">
        <f t="shared" ca="1" si="37"/>
        <v>354227.46077369258</v>
      </c>
      <c r="V104">
        <f t="shared" ca="1" si="35"/>
        <v>355.7352522213136</v>
      </c>
      <c r="W104">
        <f t="shared" ca="1" si="29"/>
        <v>4.5785119449131987E-12</v>
      </c>
      <c r="X104">
        <f t="shared" ref="X104:X167" ca="1" si="49">W104*U104</f>
        <v>1.621834660368623E-6</v>
      </c>
      <c r="Y104">
        <f t="shared" ref="Y104:Y167" ca="1" si="50">X104*$R$32/($B$9*1000)</f>
        <v>1.6544362247520347E-4</v>
      </c>
      <c r="Z104">
        <f t="shared" ref="Z104:Z167" ca="1" si="51">(AC104*$G$18+AD104*$G$19+AE104*$G$20)/AF104</f>
        <v>146.30729741597881</v>
      </c>
      <c r="AA104">
        <f t="shared" ref="AA104:AA167" ca="1" si="52">-$H$22*1000*$AC$39/(Z104*AF104)</f>
        <v>487.10132507025617</v>
      </c>
      <c r="AB104" s="6">
        <f t="shared" ref="AB104:AB167" ca="1" si="53">-32*AP104*AM104*AG104^2/PI()^2/$R$31^5</f>
        <v>-3.6170221095326058E-9</v>
      </c>
      <c r="AC104">
        <f t="shared" ref="AC104:AC167" ca="1" si="54">$B$9*(1-S104)*1000</f>
        <v>71.373366542637314</v>
      </c>
      <c r="AD104">
        <f t="shared" ca="1" si="31"/>
        <v>28.517481981258697</v>
      </c>
      <c r="AE104">
        <f t="shared" ref="AE104:AE167" ca="1" si="55">$B$11+$AC$39*S104</f>
        <v>0.85425800553175979</v>
      </c>
      <c r="AF104">
        <f t="shared" ref="AF104:AF167" ca="1" si="56">AC104+AD104+AE104</f>
        <v>100.74510652942777</v>
      </c>
      <c r="AG104">
        <f t="shared" ca="1" si="41"/>
        <v>0.59592400603481344</v>
      </c>
      <c r="AI104">
        <f t="shared" ref="AI104:AI167" ca="1" si="57">AG104/$R$32</f>
        <v>8.0885046953940081E-5</v>
      </c>
      <c r="AK104">
        <f t="shared" ref="AK104:AK167" ca="1" si="58">(AC104*$B$5+AD104*$B$6+AE104*$B$7)/AF104/1000</f>
        <v>6.8267956718003522E-2</v>
      </c>
      <c r="AM104">
        <f t="shared" ref="AM104:AM167" ca="1" si="59">AF104*1000*AK104/AG104</f>
        <v>11541.173878636871</v>
      </c>
      <c r="AN104" s="6">
        <f t="shared" ref="AN104:AN167" si="60">$R$34</f>
        <v>1.9495613999999998E-5</v>
      </c>
      <c r="AO104" s="6">
        <f t="shared" ref="AO104:AO167" ca="1" si="61">$R$31*AI104*AM104/AN104</f>
        <v>4637646.9846094595</v>
      </c>
      <c r="AP104" s="6">
        <f t="shared" ref="AP104:AP167" ca="1" si="62">0.0014+0.125*AO104^-0.32</f>
        <v>2.319802854620101E-3</v>
      </c>
    </row>
    <row r="105" spans="1:42" x14ac:dyDescent="0.25">
      <c r="A105">
        <f t="shared" ref="A105:A168" si="63">A104+1</f>
        <v>66</v>
      </c>
      <c r="B105">
        <f t="shared" si="39"/>
        <v>2.7408681907708679</v>
      </c>
      <c r="C105">
        <f t="shared" ref="C105:C168" ca="1" si="64">C104+(B105-B104)*I104</f>
        <v>2095365476.6417134</v>
      </c>
      <c r="D105">
        <f t="shared" si="42"/>
        <v>10000000</v>
      </c>
      <c r="E105">
        <f t="shared" ca="1" si="43"/>
        <v>10000000.002205929</v>
      </c>
      <c r="F105">
        <f t="shared" ref="F105:F168" ca="1" si="65">F104+(C105-C104)*K104</f>
        <v>3673048448.4419985</v>
      </c>
      <c r="G105">
        <f t="shared" ca="1" si="40"/>
        <v>949.99696687121457</v>
      </c>
      <c r="H105">
        <f t="shared" ca="1" si="44"/>
        <v>9499969670.8077717</v>
      </c>
      <c r="I105">
        <f t="shared" ca="1" si="45"/>
        <v>791842534.56154466</v>
      </c>
      <c r="J105">
        <f t="shared" ca="1" si="34"/>
        <v>828358019674.28906</v>
      </c>
      <c r="K105">
        <f t="shared" ca="1" si="46"/>
        <v>8.667446673739295E-6</v>
      </c>
      <c r="L105">
        <f t="shared" ref="L105:L168" ca="1" si="66">$B$9*1000*(1-C105)</f>
        <v>-151334856647.8158</v>
      </c>
      <c r="M105">
        <f t="shared" ref="M105:M168" ca="1" si="67">$B$10*1000-$B$9*C105*1000</f>
        <v>-151334856690.67166</v>
      </c>
      <c r="N105">
        <f t="shared" ca="1" si="47"/>
        <v>151334856724.05502</v>
      </c>
      <c r="O105">
        <f t="shared" ca="1" si="48"/>
        <v>-151334856614.4324</v>
      </c>
      <c r="Q105">
        <f t="shared" ref="Q105:Q168" si="68">Q104+1</f>
        <v>66</v>
      </c>
      <c r="R105" s="23">
        <f t="shared" si="38"/>
        <v>95.885198870175159</v>
      </c>
      <c r="S105">
        <f t="shared" ref="S105:S168" ca="1" si="69">S104+(R105-R104)*Y104</f>
        <v>1.2012718162284568E-2</v>
      </c>
      <c r="T105" s="23">
        <f t="shared" ref="T105:T168" ca="1" si="70">T104+(R105-R104)*AB104</f>
        <v>499999.99999965425</v>
      </c>
      <c r="U105">
        <f t="shared" ca="1" si="37"/>
        <v>354202.33823910606</v>
      </c>
      <c r="V105">
        <f t="shared" ref="V105:V168" ca="1" si="71">V104+(S105-S104)*AA104</f>
        <v>355.85233067541822</v>
      </c>
      <c r="W105">
        <f t="shared" ref="W105:W168" ca="1" si="72">$R$24*EXP(-$R$25/V105)</f>
        <v>4.6284413674937653E-12</v>
      </c>
      <c r="X105">
        <f t="shared" ca="1" si="49"/>
        <v>1.6394047547688971E-6</v>
      </c>
      <c r="Y105">
        <f t="shared" ca="1" si="50"/>
        <v>1.6723595071669757E-4</v>
      </c>
      <c r="Z105">
        <f t="shared" ca="1" si="51"/>
        <v>146.33345544806761</v>
      </c>
      <c r="AA105">
        <f t="shared" ca="1" si="52"/>
        <v>487.09818497719004</v>
      </c>
      <c r="AB105" s="6">
        <f t="shared" ca="1" si="53"/>
        <v>-3.6175890746753786E-9</v>
      </c>
      <c r="AC105">
        <f t="shared" ca="1" si="54"/>
        <v>71.356007056948258</v>
      </c>
      <c r="AD105">
        <f t="shared" ref="AD105:AD168" ca="1" si="73">$AD$39-$AC$39*S105</f>
        <v>28.500122495569627</v>
      </c>
      <c r="AE105">
        <f t="shared" ca="1" si="55"/>
        <v>0.87161749122082788</v>
      </c>
      <c r="AF105">
        <f t="shared" ca="1" si="56"/>
        <v>100.72774704373872</v>
      </c>
      <c r="AG105">
        <f t="shared" ca="1" si="41"/>
        <v>0.59601741661648289</v>
      </c>
      <c r="AI105">
        <f t="shared" ca="1" si="57"/>
        <v>8.0897725616332951E-5</v>
      </c>
      <c r="AK105">
        <f t="shared" ca="1" si="58"/>
        <v>6.8279722062235371E-2</v>
      </c>
      <c r="AM105">
        <f t="shared" ca="1" si="59"/>
        <v>11539.365092961998</v>
      </c>
      <c r="AN105" s="6">
        <f t="shared" si="60"/>
        <v>1.9495613999999998E-5</v>
      </c>
      <c r="AO105" s="6">
        <f t="shared" ca="1" si="61"/>
        <v>4637646.9846094595</v>
      </c>
      <c r="AP105" s="6">
        <f t="shared" ca="1" si="62"/>
        <v>2.319802854620101E-3</v>
      </c>
    </row>
    <row r="106" spans="1:42" x14ac:dyDescent="0.25">
      <c r="A106">
        <f t="shared" si="63"/>
        <v>67</v>
      </c>
      <c r="B106">
        <f t="shared" si="39"/>
        <v>2.7823964966916384</v>
      </c>
      <c r="C106">
        <f t="shared" ca="1" si="64"/>
        <v>2128249355.6580634</v>
      </c>
      <c r="D106">
        <f t="shared" si="42"/>
        <v>10000000</v>
      </c>
      <c r="E106">
        <f t="shared" ca="1" si="43"/>
        <v>10000000.002171842</v>
      </c>
      <c r="F106">
        <f t="shared" ca="1" si="65"/>
        <v>3673048733.4612665</v>
      </c>
      <c r="G106">
        <f t="shared" ca="1" si="40"/>
        <v>949.9969668714499</v>
      </c>
      <c r="H106">
        <f t="shared" ca="1" si="44"/>
        <v>9499969670.7777424</v>
      </c>
      <c r="I106">
        <f t="shared" ca="1" si="45"/>
        <v>791842534.55904162</v>
      </c>
      <c r="J106">
        <f t="shared" ref="J106:J169" ca="1" si="74">(L106*$G$18+M106*$G$19+N106*$G$20)</f>
        <v>841357959152.25781</v>
      </c>
      <c r="K106">
        <f t="shared" ca="1" si="46"/>
        <v>8.5335247431728296E-6</v>
      </c>
      <c r="L106">
        <f t="shared" ca="1" si="66"/>
        <v>-153709849065.5177</v>
      </c>
      <c r="M106">
        <f t="shared" ca="1" si="67"/>
        <v>-153709849108.3736</v>
      </c>
      <c r="N106">
        <f t="shared" ca="1" si="47"/>
        <v>153709849141.75696</v>
      </c>
      <c r="O106">
        <f t="shared" ca="1" si="48"/>
        <v>-153709849032.13434</v>
      </c>
      <c r="Q106">
        <f t="shared" si="68"/>
        <v>67</v>
      </c>
      <c r="R106" s="23">
        <f t="shared" si="38"/>
        <v>97.338004913662658</v>
      </c>
      <c r="S106">
        <f t="shared" ca="1" si="69"/>
        <v>1.2255679562174163E-2</v>
      </c>
      <c r="T106" s="23">
        <f t="shared" ca="1" si="70"/>
        <v>499999.99999964901</v>
      </c>
      <c r="U106">
        <f t="shared" ca="1" si="37"/>
        <v>354176.93473831285</v>
      </c>
      <c r="V106">
        <f t="shared" ca="1" si="71"/>
        <v>355.97067673232397</v>
      </c>
      <c r="W106">
        <f t="shared" ca="1" si="72"/>
        <v>4.6794308284357686E-12</v>
      </c>
      <c r="X106">
        <f t="shared" ca="1" si="49"/>
        <v>1.6573464671353445E-6</v>
      </c>
      <c r="Y106">
        <f t="shared" ca="1" si="50"/>
        <v>1.690661877685056E-4</v>
      </c>
      <c r="Z106">
        <f t="shared" ca="1" si="51"/>
        <v>146.35990602719329</v>
      </c>
      <c r="AA106">
        <f t="shared" ca="1" si="52"/>
        <v>487.09501090717043</v>
      </c>
      <c r="AB106" s="6">
        <f t="shared" ca="1" si="53"/>
        <v>-3.6181617573261253E-9</v>
      </c>
      <c r="AC106">
        <f t="shared" ca="1" si="54"/>
        <v>71.338459507821057</v>
      </c>
      <c r="AD106">
        <f t="shared" ca="1" si="73"/>
        <v>28.482574946442437</v>
      </c>
      <c r="AE106">
        <f t="shared" ca="1" si="55"/>
        <v>0.88916504034801958</v>
      </c>
      <c r="AF106">
        <f t="shared" ca="1" si="56"/>
        <v>100.71019949461152</v>
      </c>
      <c r="AG106">
        <f t="shared" ca="1" si="41"/>
        <v>0.59611176918859488</v>
      </c>
      <c r="AI106">
        <f t="shared" ca="1" si="57"/>
        <v>8.0910532135533754E-5</v>
      </c>
      <c r="AK106">
        <f t="shared" ca="1" si="58"/>
        <v>6.829161898810078E-2</v>
      </c>
      <c r="AM106">
        <f t="shared" ca="1" si="59"/>
        <v>11537.538642230209</v>
      </c>
      <c r="AN106" s="6">
        <f t="shared" si="60"/>
        <v>1.9495613999999998E-5</v>
      </c>
      <c r="AO106" s="6">
        <f t="shared" ca="1" si="61"/>
        <v>4637646.9846094595</v>
      </c>
      <c r="AP106" s="6">
        <f t="shared" ca="1" si="62"/>
        <v>2.319802854620101E-3</v>
      </c>
    </row>
    <row r="107" spans="1:42" x14ac:dyDescent="0.25">
      <c r="A107">
        <f t="shared" si="63"/>
        <v>68</v>
      </c>
      <c r="B107">
        <f t="shared" si="39"/>
        <v>2.8239248026124089</v>
      </c>
      <c r="C107">
        <f t="shared" ca="1" si="64"/>
        <v>2161133234.6743097</v>
      </c>
      <c r="D107">
        <f t="shared" si="42"/>
        <v>10000000</v>
      </c>
      <c r="E107">
        <f t="shared" ca="1" si="43"/>
        <v>10000000.002138795</v>
      </c>
      <c r="F107">
        <f t="shared" ca="1" si="65"/>
        <v>3673049014.0766616</v>
      </c>
      <c r="G107">
        <f t="shared" ca="1" si="40"/>
        <v>949.99696687168159</v>
      </c>
      <c r="H107">
        <f t="shared" ca="1" si="44"/>
        <v>9499969670.7486649</v>
      </c>
      <c r="I107">
        <f t="shared" ca="1" si="45"/>
        <v>791842534.55661786</v>
      </c>
      <c r="J107">
        <f t="shared" ca="1" si="74"/>
        <v>854357898630.1875</v>
      </c>
      <c r="K107">
        <f t="shared" ca="1" si="46"/>
        <v>8.4036783341064086E-6</v>
      </c>
      <c r="L107">
        <f t="shared" ca="1" si="66"/>
        <v>-156084841483.21213</v>
      </c>
      <c r="M107">
        <f t="shared" ca="1" si="67"/>
        <v>-156084841526.06802</v>
      </c>
      <c r="N107">
        <f t="shared" ca="1" si="47"/>
        <v>156084841559.45139</v>
      </c>
      <c r="O107">
        <f t="shared" ca="1" si="48"/>
        <v>-156084841449.82877</v>
      </c>
      <c r="Q107">
        <f t="shared" si="68"/>
        <v>68</v>
      </c>
      <c r="R107" s="23">
        <f t="shared" si="38"/>
        <v>98.790810957150171</v>
      </c>
      <c r="S107">
        <f t="shared" ca="1" si="69"/>
        <v>1.2501299941513644E-2</v>
      </c>
      <c r="T107" s="23">
        <f t="shared" ca="1" si="70"/>
        <v>499999.99999964377</v>
      </c>
      <c r="U107">
        <f t="shared" ref="U107:U170" ca="1" si="75">T107*(AC107/AF107)</f>
        <v>354151.24422062107</v>
      </c>
      <c r="V107">
        <f t="shared" ca="1" si="71"/>
        <v>356.09031719367738</v>
      </c>
      <c r="W107">
        <f t="shared" ca="1" si="72"/>
        <v>4.7315139591431845E-12</v>
      </c>
      <c r="X107">
        <f t="shared" ca="1" si="49"/>
        <v>1.6756715556777957E-6</v>
      </c>
      <c r="Y107">
        <f t="shared" ca="1" si="50"/>
        <v>1.7093553308756106E-4</v>
      </c>
      <c r="Z107">
        <f t="shared" ca="1" si="51"/>
        <v>146.38665545344438</v>
      </c>
      <c r="AA107">
        <f t="shared" ca="1" si="52"/>
        <v>487.09180214204667</v>
      </c>
      <c r="AB107" s="6">
        <f t="shared" ca="1" si="53"/>
        <v>-3.6187402734299359E-9</v>
      </c>
      <c r="AC107">
        <f t="shared" ca="1" si="54"/>
        <v>71.320719917601977</v>
      </c>
      <c r="AD107">
        <f t="shared" ca="1" si="73"/>
        <v>28.464835356223343</v>
      </c>
      <c r="AE107">
        <f t="shared" ca="1" si="55"/>
        <v>0.90690463056711434</v>
      </c>
      <c r="AF107">
        <f t="shared" ca="1" si="56"/>
        <v>100.69245990439244</v>
      </c>
      <c r="AG107">
        <f t="shared" ca="1" si="41"/>
        <v>0.59620708285373103</v>
      </c>
      <c r="AI107">
        <f t="shared" ca="1" si="57"/>
        <v>8.0923469104344912E-5</v>
      </c>
      <c r="AK107">
        <f t="shared" ca="1" si="58"/>
        <v>6.8303650329249829E-2</v>
      </c>
      <c r="AM107">
        <f t="shared" ca="1" si="59"/>
        <v>11535.694173879756</v>
      </c>
      <c r="AN107" s="6">
        <f t="shared" si="60"/>
        <v>1.9495613999999998E-5</v>
      </c>
      <c r="AO107" s="6">
        <f t="shared" ca="1" si="61"/>
        <v>4637646.9846094595</v>
      </c>
      <c r="AP107" s="6">
        <f t="shared" ca="1" si="62"/>
        <v>2.319802854620101E-3</v>
      </c>
    </row>
    <row r="108" spans="1:42" x14ac:dyDescent="0.25">
      <c r="A108">
        <f t="shared" si="63"/>
        <v>69</v>
      </c>
      <c r="B108">
        <f t="shared" si="39"/>
        <v>2.8654531085331802</v>
      </c>
      <c r="C108">
        <f t="shared" ca="1" si="64"/>
        <v>2194017113.6904559</v>
      </c>
      <c r="D108">
        <f t="shared" si="42"/>
        <v>10000000</v>
      </c>
      <c r="E108">
        <f t="shared" ca="1" si="43"/>
        <v>10000000.002106741</v>
      </c>
      <c r="F108">
        <f t="shared" ca="1" si="65"/>
        <v>3673049290.4222031</v>
      </c>
      <c r="G108">
        <f t="shared" ca="1" si="40"/>
        <v>949.99696687190988</v>
      </c>
      <c r="H108">
        <f t="shared" ca="1" si="44"/>
        <v>9499969670.7204971</v>
      </c>
      <c r="I108">
        <f t="shared" ca="1" si="45"/>
        <v>791842534.55427015</v>
      </c>
      <c r="J108">
        <f t="shared" ca="1" si="74"/>
        <v>867357838108.0625</v>
      </c>
      <c r="K108">
        <f t="shared" ca="1" si="46"/>
        <v>8.2777241950705419E-6</v>
      </c>
      <c r="L108">
        <f t="shared" ca="1" si="66"/>
        <v>-158459833900.89935</v>
      </c>
      <c r="M108">
        <f t="shared" ca="1" si="67"/>
        <v>-158459833943.75522</v>
      </c>
      <c r="N108">
        <f t="shared" ca="1" si="47"/>
        <v>158459833977.13858</v>
      </c>
      <c r="O108">
        <f t="shared" ca="1" si="48"/>
        <v>-158459833867.51596</v>
      </c>
      <c r="Q108">
        <f t="shared" si="68"/>
        <v>69</v>
      </c>
      <c r="R108" s="23">
        <f t="shared" si="38"/>
        <v>100.24361700063768</v>
      </c>
      <c r="S108">
        <f t="shared" ca="1" si="69"/>
        <v>1.2749636117030012E-2</v>
      </c>
      <c r="T108" s="23">
        <f t="shared" ca="1" si="70"/>
        <v>499999.99999963853</v>
      </c>
      <c r="U108">
        <f t="shared" ca="1" si="75"/>
        <v>354125.26044141338</v>
      </c>
      <c r="V108">
        <f t="shared" ca="1" si="71"/>
        <v>356.21127970894673</v>
      </c>
      <c r="W108">
        <f t="shared" ca="1" si="72"/>
        <v>4.7847258175077756E-12</v>
      </c>
      <c r="X108">
        <f t="shared" ca="1" si="49"/>
        <v>1.6943922762656956E-6</v>
      </c>
      <c r="Y108">
        <f t="shared" ca="1" si="50"/>
        <v>1.7284523689713703E-4</v>
      </c>
      <c r="Z108">
        <f t="shared" ca="1" si="51"/>
        <v>146.41371022882808</v>
      </c>
      <c r="AA108">
        <f t="shared" ca="1" si="52"/>
        <v>487.08855794095689</v>
      </c>
      <c r="AB108" s="6">
        <f t="shared" ca="1" si="53"/>
        <v>-3.6193247424891617E-9</v>
      </c>
      <c r="AC108">
        <f t="shared" ca="1" si="54"/>
        <v>71.302784182781892</v>
      </c>
      <c r="AD108">
        <f t="shared" ca="1" si="73"/>
        <v>28.446899621403276</v>
      </c>
      <c r="AE108">
        <f t="shared" ca="1" si="55"/>
        <v>0.92484036538718284</v>
      </c>
      <c r="AF108">
        <f t="shared" ca="1" si="56"/>
        <v>100.67452416957235</v>
      </c>
      <c r="AG108">
        <f t="shared" ca="1" si="41"/>
        <v>0.59630337730055205</v>
      </c>
      <c r="AI108">
        <f t="shared" ca="1" si="57"/>
        <v>8.0936539195117631E-5</v>
      </c>
      <c r="AK108">
        <f t="shared" ca="1" si="58"/>
        <v>6.8315819010151532E-2</v>
      </c>
      <c r="AM108">
        <f t="shared" ca="1" si="59"/>
        <v>11533.831324646539</v>
      </c>
      <c r="AN108" s="6">
        <f t="shared" si="60"/>
        <v>1.9495613999999998E-5</v>
      </c>
      <c r="AO108" s="6">
        <f t="shared" ca="1" si="61"/>
        <v>4637646.9846094595</v>
      </c>
      <c r="AP108" s="6">
        <f t="shared" ca="1" si="62"/>
        <v>2.319802854620101E-3</v>
      </c>
    </row>
    <row r="109" spans="1:42" x14ac:dyDescent="0.25">
      <c r="A109">
        <f t="shared" si="63"/>
        <v>70</v>
      </c>
      <c r="B109">
        <f t="shared" si="39"/>
        <v>2.9069814144539508</v>
      </c>
      <c r="C109">
        <f t="shared" ca="1" si="64"/>
        <v>2226900992.7065039</v>
      </c>
      <c r="D109">
        <f t="shared" si="42"/>
        <v>10000000</v>
      </c>
      <c r="E109">
        <f t="shared" ca="1" si="43"/>
        <v>10000000.002075629</v>
      </c>
      <c r="F109">
        <f t="shared" ca="1" si="65"/>
        <v>3673049562.6258841</v>
      </c>
      <c r="G109">
        <f t="shared" ca="1" si="40"/>
        <v>949.99696687213464</v>
      </c>
      <c r="H109">
        <f t="shared" ca="1" si="44"/>
        <v>9499969670.6931877</v>
      </c>
      <c r="I109">
        <f t="shared" ca="1" si="45"/>
        <v>791842534.55199385</v>
      </c>
      <c r="J109">
        <f t="shared" ca="1" si="74"/>
        <v>880357777585.91406</v>
      </c>
      <c r="K109">
        <f t="shared" ca="1" si="46"/>
        <v>8.1554898986401186E-6</v>
      </c>
      <c r="L109">
        <f t="shared" ca="1" si="66"/>
        <v>-160834826318.57944</v>
      </c>
      <c r="M109">
        <f t="shared" ca="1" si="67"/>
        <v>-160834826361.4353</v>
      </c>
      <c r="N109">
        <f t="shared" ca="1" si="47"/>
        <v>160834826394.81866</v>
      </c>
      <c r="O109">
        <f t="shared" ca="1" si="48"/>
        <v>-160834826285.19611</v>
      </c>
      <c r="Q109">
        <f t="shared" si="68"/>
        <v>70</v>
      </c>
      <c r="R109" s="23">
        <f t="shared" si="38"/>
        <v>101.69642304412517</v>
      </c>
      <c r="S109">
        <f t="shared" ca="1" si="69"/>
        <v>1.3000746721782199E-2</v>
      </c>
      <c r="T109" s="23">
        <f t="shared" ca="1" si="70"/>
        <v>499999.99999963329</v>
      </c>
      <c r="U109">
        <f t="shared" ca="1" si="75"/>
        <v>354098.97695385542</v>
      </c>
      <c r="V109">
        <f t="shared" ca="1" si="71"/>
        <v>356.33359281129918</v>
      </c>
      <c r="W109">
        <f t="shared" ca="1" si="72"/>
        <v>4.839102963954799E-12</v>
      </c>
      <c r="X109">
        <f t="shared" ca="1" si="49"/>
        <v>1.7135214089107638E-6</v>
      </c>
      <c r="Y109">
        <f t="shared" ca="1" si="50"/>
        <v>1.747966028883469E-4</v>
      </c>
      <c r="Z109">
        <f t="shared" ca="1" si="51"/>
        <v>146.44107706590356</v>
      </c>
      <c r="AA109">
        <f t="shared" ca="1" si="52"/>
        <v>487.08527753936551</v>
      </c>
      <c r="AB109" s="6">
        <f t="shared" ca="1" si="53"/>
        <v>-3.619915287710302E-9</v>
      </c>
      <c r="AC109">
        <f t="shared" ca="1" si="54"/>
        <v>71.284648068669739</v>
      </c>
      <c r="AD109">
        <f t="shared" ca="1" si="73"/>
        <v>28.428763507291116</v>
      </c>
      <c r="AE109">
        <f t="shared" ca="1" si="55"/>
        <v>0.94297647949934282</v>
      </c>
      <c r="AF109">
        <f t="shared" ca="1" si="56"/>
        <v>100.6563880554602</v>
      </c>
      <c r="AG109">
        <f t="shared" ca="1" si="41"/>
        <v>0.59640067282799714</v>
      </c>
      <c r="AI109">
        <f t="shared" ca="1" si="57"/>
        <v>8.0949745163036541E-5</v>
      </c>
      <c r="AK109">
        <f t="shared" ca="1" si="58"/>
        <v>6.8328128049976691E-2</v>
      </c>
      <c r="AM109">
        <f t="shared" ca="1" si="59"/>
        <v>11531.949720125745</v>
      </c>
      <c r="AN109" s="6">
        <f t="shared" si="60"/>
        <v>1.9495613999999998E-5</v>
      </c>
      <c r="AO109" s="6">
        <f t="shared" ca="1" si="61"/>
        <v>4637646.9846094586</v>
      </c>
      <c r="AP109" s="6">
        <f t="shared" ca="1" si="62"/>
        <v>2.319802854620101E-3</v>
      </c>
    </row>
    <row r="110" spans="1:42" x14ac:dyDescent="0.25">
      <c r="A110">
        <f t="shared" si="63"/>
        <v>71</v>
      </c>
      <c r="B110">
        <f t="shared" si="39"/>
        <v>2.9485097203747217</v>
      </c>
      <c r="C110">
        <f t="shared" ca="1" si="64"/>
        <v>2259784871.7224579</v>
      </c>
      <c r="D110">
        <f t="shared" si="42"/>
        <v>10000000</v>
      </c>
      <c r="E110">
        <f t="shared" ca="1" si="43"/>
        <v>10000000.002045425</v>
      </c>
      <c r="F110">
        <f t="shared" ca="1" si="65"/>
        <v>3673049830.8100271</v>
      </c>
      <c r="G110">
        <f t="shared" ca="1" si="40"/>
        <v>949.9969668723561</v>
      </c>
      <c r="H110">
        <f t="shared" ca="1" si="44"/>
        <v>9499969670.666708</v>
      </c>
      <c r="I110">
        <f t="shared" ca="1" si="45"/>
        <v>791842534.54978669</v>
      </c>
      <c r="J110">
        <f t="shared" ca="1" si="74"/>
        <v>893357717063.71875</v>
      </c>
      <c r="K110">
        <f t="shared" ca="1" si="46"/>
        <v>8.0368130538901364E-6</v>
      </c>
      <c r="L110">
        <f t="shared" ca="1" si="66"/>
        <v>-163209818736.25278</v>
      </c>
      <c r="M110">
        <f t="shared" ca="1" si="67"/>
        <v>-163209818779.10864</v>
      </c>
      <c r="N110">
        <f t="shared" ca="1" si="47"/>
        <v>163209818812.492</v>
      </c>
      <c r="O110">
        <f t="shared" ca="1" si="48"/>
        <v>-163209818702.86945</v>
      </c>
      <c r="Q110">
        <f t="shared" si="68"/>
        <v>71</v>
      </c>
      <c r="R110" s="23">
        <f t="shared" si="38"/>
        <v>103.14922908761268</v>
      </c>
      <c r="S110">
        <f t="shared" ca="1" si="69"/>
        <v>1.3254692282839476E-2</v>
      </c>
      <c r="T110" s="23">
        <f t="shared" ca="1" si="70"/>
        <v>499999.99999962805</v>
      </c>
      <c r="U110">
        <f t="shared" ca="1" si="75"/>
        <v>354072.38710015966</v>
      </c>
      <c r="V110">
        <f t="shared" ca="1" si="71"/>
        <v>356.45728595538668</v>
      </c>
      <c r="W110">
        <f t="shared" ca="1" si="72"/>
        <v>4.8946835423875807E-12</v>
      </c>
      <c r="X110">
        <f t="shared" ca="1" si="49"/>
        <v>1.7330722859530363E-6</v>
      </c>
      <c r="Y110">
        <f t="shared" ca="1" si="50"/>
        <v>1.7679099109540721E-4</v>
      </c>
      <c r="Z110">
        <f t="shared" ca="1" si="51"/>
        <v>146.46876289687816</v>
      </c>
      <c r="AA110">
        <f t="shared" ca="1" si="52"/>
        <v>487.08196014805299</v>
      </c>
      <c r="AB110" s="6">
        <f t="shared" ca="1" si="53"/>
        <v>-3.6205120361585297E-9</v>
      </c>
      <c r="AC110">
        <f t="shared" ca="1" si="54"/>
        <v>71.266307203782105</v>
      </c>
      <c r="AD110">
        <f t="shared" ca="1" si="73"/>
        <v>28.410422642403482</v>
      </c>
      <c r="AE110">
        <f t="shared" ca="1" si="55"/>
        <v>0.96131734438697414</v>
      </c>
      <c r="AF110">
        <f t="shared" ca="1" si="56"/>
        <v>100.63804719057256</v>
      </c>
      <c r="AG110">
        <f t="shared" ca="1" si="41"/>
        <v>0.59649899037074183</v>
      </c>
      <c r="AI110">
        <f t="shared" ca="1" si="57"/>
        <v>8.096308984957505E-5</v>
      </c>
      <c r="AK110">
        <f t="shared" ca="1" si="58"/>
        <v>6.8340580566689554E-2</v>
      </c>
      <c r="AM110">
        <f t="shared" ca="1" si="59"/>
        <v>11530.048974310848</v>
      </c>
      <c r="AN110" s="6">
        <f t="shared" si="60"/>
        <v>1.9495613999999998E-5</v>
      </c>
      <c r="AO110" s="6">
        <f t="shared" ca="1" si="61"/>
        <v>4637646.9846094586</v>
      </c>
      <c r="AP110" s="6">
        <f t="shared" ca="1" si="62"/>
        <v>2.319802854620101E-3</v>
      </c>
    </row>
    <row r="111" spans="1:42" x14ac:dyDescent="0.25">
      <c r="A111">
        <f t="shared" si="63"/>
        <v>72</v>
      </c>
      <c r="B111">
        <f t="shared" si="39"/>
        <v>2.9900380262954922</v>
      </c>
      <c r="C111">
        <f t="shared" ca="1" si="64"/>
        <v>2292668750.7383199</v>
      </c>
      <c r="D111">
        <f t="shared" si="42"/>
        <v>10000000</v>
      </c>
      <c r="E111">
        <f t="shared" ca="1" si="43"/>
        <v>10000000.00201609</v>
      </c>
      <c r="F111">
        <f t="shared" ca="1" si="65"/>
        <v>3673050095.0916152</v>
      </c>
      <c r="G111">
        <f t="shared" ca="1" si="40"/>
        <v>949.99696687257426</v>
      </c>
      <c r="H111">
        <f t="shared" ca="1" si="44"/>
        <v>9499969670.6410217</v>
      </c>
      <c r="I111">
        <f t="shared" ca="1" si="45"/>
        <v>791842534.54764557</v>
      </c>
      <c r="J111">
        <f t="shared" ca="1" si="74"/>
        <v>906357656541.49219</v>
      </c>
      <c r="K111">
        <f t="shared" ca="1" si="46"/>
        <v>7.9215405866243767E-6</v>
      </c>
      <c r="L111">
        <f t="shared" ca="1" si="66"/>
        <v>-165584811153.91943</v>
      </c>
      <c r="M111">
        <f t="shared" ca="1" si="67"/>
        <v>-165584811196.7753</v>
      </c>
      <c r="N111">
        <f t="shared" ca="1" si="47"/>
        <v>165584811230.15866</v>
      </c>
      <c r="O111">
        <f t="shared" ca="1" si="48"/>
        <v>-165584811120.53604</v>
      </c>
      <c r="Q111">
        <f t="shared" si="68"/>
        <v>72</v>
      </c>
      <c r="R111" s="23">
        <f t="shared" si="38"/>
        <v>104.60203513110018</v>
      </c>
      <c r="S111">
        <f t="shared" ca="1" si="69"/>
        <v>1.3511535303137027E-2</v>
      </c>
      <c r="T111" s="23">
        <f t="shared" ca="1" si="70"/>
        <v>499999.99999962281</v>
      </c>
      <c r="U111">
        <f t="shared" ca="1" si="75"/>
        <v>354045.48400237516</v>
      </c>
      <c r="V111">
        <f t="shared" ca="1" si="71"/>
        <v>356.58238955716354</v>
      </c>
      <c r="W111">
        <f t="shared" ca="1" si="72"/>
        <v>4.9515073664019994E-12</v>
      </c>
      <c r="X111">
        <f t="shared" ca="1" si="49"/>
        <v>1.7530588220791219E-6</v>
      </c>
      <c r="Y111">
        <f t="shared" ca="1" si="50"/>
        <v>1.7882982095780489E-4</v>
      </c>
      <c r="Z111">
        <f t="shared" ca="1" si="51"/>
        <v>146.49677488319745</v>
      </c>
      <c r="AA111">
        <f t="shared" ca="1" si="52"/>
        <v>487.07860495204778</v>
      </c>
      <c r="AB111" s="6">
        <f t="shared" ca="1" si="53"/>
        <v>-3.6211151189203529E-9</v>
      </c>
      <c r="AC111">
        <f t="shared" ca="1" si="54"/>
        <v>71.247757073931467</v>
      </c>
      <c r="AD111">
        <f t="shared" ca="1" si="73"/>
        <v>28.391872512552833</v>
      </c>
      <c r="AE111">
        <f t="shared" ca="1" si="55"/>
        <v>0.97986747423762377</v>
      </c>
      <c r="AF111">
        <f t="shared" ca="1" si="56"/>
        <v>100.61949706072193</v>
      </c>
      <c r="AG111">
        <f t="shared" ca="1" si="41"/>
        <v>0.59659835152599949</v>
      </c>
      <c r="AI111">
        <f t="shared" ca="1" si="57"/>
        <v>8.0976576186133099E-5</v>
      </c>
      <c r="AK111">
        <f t="shared" ca="1" si="58"/>
        <v>6.8353179781360809E-2</v>
      </c>
      <c r="AM111">
        <f t="shared" ca="1" si="59"/>
        <v>11528.128689108364</v>
      </c>
      <c r="AN111" s="6">
        <f t="shared" si="60"/>
        <v>1.9495613999999998E-5</v>
      </c>
      <c r="AO111" s="6">
        <f t="shared" ca="1" si="61"/>
        <v>4637646.9846094595</v>
      </c>
      <c r="AP111" s="6">
        <f t="shared" ca="1" si="62"/>
        <v>2.319802854620101E-3</v>
      </c>
    </row>
    <row r="112" spans="1:42" x14ac:dyDescent="0.25">
      <c r="A112">
        <f t="shared" si="63"/>
        <v>73</v>
      </c>
      <c r="B112">
        <f t="shared" si="39"/>
        <v>3.0315663322162631</v>
      </c>
      <c r="C112">
        <f t="shared" ca="1" si="64"/>
        <v>2325552629.7540932</v>
      </c>
      <c r="D112">
        <f t="shared" si="42"/>
        <v>10000000</v>
      </c>
      <c r="E112">
        <f t="shared" ca="1" si="43"/>
        <v>10000000.001987582</v>
      </c>
      <c r="F112">
        <f t="shared" ca="1" si="65"/>
        <v>3673050355.5825973</v>
      </c>
      <c r="G112">
        <f t="shared" ca="1" si="40"/>
        <v>949.99696687278936</v>
      </c>
      <c r="H112">
        <f t="shared" ca="1" si="44"/>
        <v>9499969670.6160908</v>
      </c>
      <c r="I112">
        <f t="shared" ca="1" si="45"/>
        <v>791842534.54556763</v>
      </c>
      <c r="J112">
        <f t="shared" ca="1" si="74"/>
        <v>919357596019.22656</v>
      </c>
      <c r="K112">
        <f t="shared" ca="1" si="46"/>
        <v>7.8095280806719264E-6</v>
      </c>
      <c r="L112">
        <f t="shared" ca="1" si="66"/>
        <v>-167959803571.57971</v>
      </c>
      <c r="M112">
        <f t="shared" ca="1" si="67"/>
        <v>-167959803614.43558</v>
      </c>
      <c r="N112">
        <f t="shared" ca="1" si="47"/>
        <v>167959803647.81894</v>
      </c>
      <c r="O112">
        <f t="shared" ca="1" si="48"/>
        <v>-167959803538.19632</v>
      </c>
      <c r="Q112">
        <f t="shared" si="68"/>
        <v>73</v>
      </c>
      <c r="R112" s="23">
        <f t="shared" ref="R112:R175" si="76">$R$33*Q112/$R$36</f>
        <v>106.05484117458768</v>
      </c>
      <c r="S112">
        <f t="shared" ca="1" si="69"/>
        <v>1.3771340347780313E-2</v>
      </c>
      <c r="T112" s="23">
        <f t="shared" ca="1" si="70"/>
        <v>499999.99999961758</v>
      </c>
      <c r="U112">
        <f t="shared" ca="1" si="75"/>
        <v>354018.26055267255</v>
      </c>
      <c r="V112">
        <f t="shared" ca="1" si="71"/>
        <v>356.70893503586791</v>
      </c>
      <c r="W112">
        <f t="shared" ca="1" si="72"/>
        <v>5.009616011174653E-12</v>
      </c>
      <c r="X112">
        <f t="shared" ca="1" si="49"/>
        <v>1.7734955463128685E-6</v>
      </c>
      <c r="Y112">
        <f t="shared" ca="1" si="50"/>
        <v>1.8091457458367039E-4</v>
      </c>
      <c r="Z112">
        <f t="shared" ca="1" si="51"/>
        <v>146.5251204256603</v>
      </c>
      <c r="AA112">
        <f t="shared" ca="1" si="52"/>
        <v>487.07521110950302</v>
      </c>
      <c r="AB112" s="6">
        <f t="shared" ca="1" si="53"/>
        <v>-3.6217246712749344E-9</v>
      </c>
      <c r="AC112">
        <f t="shared" ca="1" si="54"/>
        <v>71.22899301599287</v>
      </c>
      <c r="AD112">
        <f t="shared" ca="1" si="73"/>
        <v>28.37310845461424</v>
      </c>
      <c r="AE112">
        <f t="shared" ca="1" si="55"/>
        <v>0.99863153217621792</v>
      </c>
      <c r="AF112">
        <f t="shared" ca="1" si="56"/>
        <v>100.60073300278333</v>
      </c>
      <c r="AG112">
        <f t="shared" ca="1" si="41"/>
        <v>0.59669877858174614</v>
      </c>
      <c r="AI112">
        <f t="shared" ca="1" si="57"/>
        <v>8.0990207197868247E-5</v>
      </c>
      <c r="AK112">
        <f t="shared" ca="1" si="58"/>
        <v>6.8365929022717403E-2</v>
      </c>
      <c r="AM112">
        <f t="shared" ca="1" si="59"/>
        <v>11526.188453827055</v>
      </c>
      <c r="AN112" s="6">
        <f t="shared" si="60"/>
        <v>1.9495613999999998E-5</v>
      </c>
      <c r="AO112" s="6">
        <f t="shared" ca="1" si="61"/>
        <v>4637646.9846094595</v>
      </c>
      <c r="AP112" s="6">
        <f t="shared" ca="1" si="62"/>
        <v>2.319802854620101E-3</v>
      </c>
    </row>
    <row r="113" spans="1:42" x14ac:dyDescent="0.25">
      <c r="A113">
        <f t="shared" si="63"/>
        <v>74</v>
      </c>
      <c r="B113">
        <f t="shared" si="39"/>
        <v>3.0730946381370337</v>
      </c>
      <c r="C113">
        <f t="shared" ca="1" si="64"/>
        <v>2358436508.7697797</v>
      </c>
      <c r="D113">
        <f t="shared" si="42"/>
        <v>10000000</v>
      </c>
      <c r="E113">
        <f t="shared" ca="1" si="43"/>
        <v>10000000.00195987</v>
      </c>
      <c r="F113">
        <f t="shared" ca="1" si="65"/>
        <v>3673050612.3901739</v>
      </c>
      <c r="G113">
        <f t="shared" ca="1" si="40"/>
        <v>949.9969668730015</v>
      </c>
      <c r="H113">
        <f t="shared" ca="1" si="44"/>
        <v>9499969670.5918846</v>
      </c>
      <c r="I113">
        <f t="shared" ca="1" si="45"/>
        <v>791842534.54355001</v>
      </c>
      <c r="J113">
        <f t="shared" ca="1" si="74"/>
        <v>932357535496.92969</v>
      </c>
      <c r="K113">
        <f t="shared" ca="1" si="46"/>
        <v>7.700639174288981E-6</v>
      </c>
      <c r="L113">
        <f t="shared" ca="1" si="66"/>
        <v>-170334795989.2337</v>
      </c>
      <c r="M113">
        <f t="shared" ca="1" si="67"/>
        <v>-170334796032.08957</v>
      </c>
      <c r="N113">
        <f t="shared" ca="1" si="47"/>
        <v>170334796065.47293</v>
      </c>
      <c r="O113">
        <f t="shared" ca="1" si="48"/>
        <v>-170334795955.85031</v>
      </c>
      <c r="Q113">
        <f t="shared" si="68"/>
        <v>74</v>
      </c>
      <c r="R113" s="23">
        <f t="shared" si="76"/>
        <v>107.50764721807518</v>
      </c>
      <c r="S113">
        <f t="shared" ca="1" si="69"/>
        <v>1.4034174135090439E-2</v>
      </c>
      <c r="T113" s="23">
        <f t="shared" ca="1" si="70"/>
        <v>499999.99999961234</v>
      </c>
      <c r="U113">
        <f t="shared" ca="1" si="75"/>
        <v>353990.70940309111</v>
      </c>
      <c r="V113">
        <f t="shared" ca="1" si="71"/>
        <v>356.83695485830867</v>
      </c>
      <c r="W113">
        <f t="shared" ca="1" si="72"/>
        <v>5.0690529114634528E-12</v>
      </c>
      <c r="X113">
        <f t="shared" ca="1" si="49"/>
        <v>1.7943976361307521E-6</v>
      </c>
      <c r="Y113">
        <f t="shared" ca="1" si="50"/>
        <v>1.8304680022989423E-4</v>
      </c>
      <c r="Z113">
        <f t="shared" ca="1" si="51"/>
        <v>146.55380717509493</v>
      </c>
      <c r="AA113">
        <f t="shared" ca="1" si="52"/>
        <v>487.07177775050963</v>
      </c>
      <c r="AB113" s="6">
        <f t="shared" ca="1" si="53"/>
        <v>-3.6223408328746395E-9</v>
      </c>
      <c r="AC113">
        <f t="shared" ca="1" si="54"/>
        <v>71.210010211328395</v>
      </c>
      <c r="AD113">
        <f t="shared" ca="1" si="73"/>
        <v>28.354125649949768</v>
      </c>
      <c r="AE113">
        <f t="shared" ca="1" si="55"/>
        <v>1.0176143368406878</v>
      </c>
      <c r="AF113">
        <f t="shared" ca="1" si="56"/>
        <v>100.58175019811885</v>
      </c>
      <c r="AG113">
        <f t="shared" ca="1" si="41"/>
        <v>0.59680029454646566</v>
      </c>
      <c r="AI113">
        <f t="shared" ca="1" si="57"/>
        <v>8.1003986007732856E-5</v>
      </c>
      <c r="AK113">
        <f t="shared" ca="1" si="58"/>
        <v>6.8378831731944353E-2</v>
      </c>
      <c r="AM113">
        <f t="shared" ca="1" si="59"/>
        <v>11524.227844639827</v>
      </c>
      <c r="AN113" s="6">
        <f t="shared" si="60"/>
        <v>1.9495613999999998E-5</v>
      </c>
      <c r="AO113" s="6">
        <f t="shared" ca="1" si="61"/>
        <v>4637646.9846094595</v>
      </c>
      <c r="AP113" s="6">
        <f t="shared" ca="1" si="62"/>
        <v>2.319802854620101E-3</v>
      </c>
    </row>
    <row r="114" spans="1:42" x14ac:dyDescent="0.25">
      <c r="A114">
        <f t="shared" si="63"/>
        <v>75</v>
      </c>
      <c r="B114">
        <f t="shared" si="39"/>
        <v>3.1146229440578042</v>
      </c>
      <c r="C114">
        <f t="shared" ca="1" si="64"/>
        <v>2391320387.7853827</v>
      </c>
      <c r="D114">
        <f t="shared" si="42"/>
        <v>10000000</v>
      </c>
      <c r="E114">
        <f t="shared" ca="1" si="43"/>
        <v>10000000.001932913</v>
      </c>
      <c r="F114">
        <f t="shared" ca="1" si="65"/>
        <v>3673050865.6170607</v>
      </c>
      <c r="G114">
        <f t="shared" ca="1" si="40"/>
        <v>949.99696687321057</v>
      </c>
      <c r="H114">
        <f t="shared" ca="1" si="44"/>
        <v>9499969670.568367</v>
      </c>
      <c r="I114">
        <f t="shared" ca="1" si="45"/>
        <v>791842534.54158974</v>
      </c>
      <c r="J114">
        <f t="shared" ca="1" si="74"/>
        <v>945357474974.59375</v>
      </c>
      <c r="K114">
        <f t="shared" ca="1" si="46"/>
        <v>7.5947450063629539E-6</v>
      </c>
      <c r="L114">
        <f t="shared" ca="1" si="66"/>
        <v>-172709788406.88168</v>
      </c>
      <c r="M114">
        <f t="shared" ca="1" si="67"/>
        <v>-172709788449.73755</v>
      </c>
      <c r="N114">
        <f t="shared" ca="1" si="47"/>
        <v>172709788483.12091</v>
      </c>
      <c r="O114">
        <f t="shared" ca="1" si="48"/>
        <v>-172709788373.49835</v>
      </c>
      <c r="Q114">
        <f t="shared" si="68"/>
        <v>75</v>
      </c>
      <c r="R114" s="23">
        <f t="shared" si="76"/>
        <v>108.96045326156269</v>
      </c>
      <c r="S114">
        <f t="shared" ca="1" si="69"/>
        <v>1.430010563270548E-2</v>
      </c>
      <c r="T114" s="23">
        <f t="shared" ca="1" si="70"/>
        <v>499999.9999996071</v>
      </c>
      <c r="U114">
        <f t="shared" ca="1" si="75"/>
        <v>353962.82295471104</v>
      </c>
      <c r="V114">
        <f t="shared" ca="1" si="71"/>
        <v>356.96648258561191</v>
      </c>
      <c r="W114">
        <f t="shared" ca="1" si="72"/>
        <v>5.12986346619921E-12</v>
      </c>
      <c r="X114">
        <f t="shared" ca="1" si="49"/>
        <v>1.8157809538681112E-6</v>
      </c>
      <c r="Y114">
        <f t="shared" ca="1" si="50"/>
        <v>1.8522811601593304E-4</v>
      </c>
      <c r="Z114">
        <f t="shared" ca="1" si="51"/>
        <v>146.58284304363227</v>
      </c>
      <c r="AA114">
        <f t="shared" ca="1" si="52"/>
        <v>487.06830397584537</v>
      </c>
      <c r="AB114" s="6">
        <f t="shared" ca="1" si="53"/>
        <v>-3.6229637479353754E-9</v>
      </c>
      <c r="AC114">
        <f t="shared" ca="1" si="54"/>
        <v>71.190803678846336</v>
      </c>
      <c r="AD114">
        <f t="shared" ca="1" si="73"/>
        <v>28.334919117467702</v>
      </c>
      <c r="AE114">
        <f t="shared" ca="1" si="55"/>
        <v>1.0368208693227532</v>
      </c>
      <c r="AF114">
        <f t="shared" ca="1" si="56"/>
        <v>100.5625436656368</v>
      </c>
      <c r="AG114">
        <f t="shared" ca="1" si="41"/>
        <v>0.59690292318051086</v>
      </c>
      <c r="AI114">
        <f t="shared" ca="1" si="57"/>
        <v>8.1017915840730863E-5</v>
      </c>
      <c r="AK114">
        <f t="shared" ca="1" si="58"/>
        <v>6.8391891467755248E-2</v>
      </c>
      <c r="AM114">
        <f t="shared" ca="1" si="59"/>
        <v>11522.246424016488</v>
      </c>
      <c r="AN114" s="6">
        <f t="shared" si="60"/>
        <v>1.9495613999999998E-5</v>
      </c>
      <c r="AO114" s="6">
        <f t="shared" ca="1" si="61"/>
        <v>4637646.9846094595</v>
      </c>
      <c r="AP114" s="6">
        <f t="shared" ca="1" si="62"/>
        <v>2.319802854620101E-3</v>
      </c>
    </row>
    <row r="115" spans="1:42" x14ac:dyDescent="0.25">
      <c r="A115">
        <f t="shared" si="63"/>
        <v>76</v>
      </c>
      <c r="B115">
        <f t="shared" si="39"/>
        <v>3.1561512499785751</v>
      </c>
      <c r="C115">
        <f t="shared" ca="1" si="64"/>
        <v>2424204266.8009048</v>
      </c>
      <c r="D115">
        <f t="shared" si="42"/>
        <v>10000000</v>
      </c>
      <c r="E115">
        <f t="shared" ca="1" si="43"/>
        <v>10000000.001906699</v>
      </c>
      <c r="F115">
        <f t="shared" ca="1" si="65"/>
        <v>3673051115.3617368</v>
      </c>
      <c r="G115">
        <f t="shared" ca="1" si="40"/>
        <v>949.9969668734168</v>
      </c>
      <c r="H115">
        <f t="shared" ca="1" si="44"/>
        <v>9499969670.5455265</v>
      </c>
      <c r="I115">
        <f t="shared" ca="1" si="45"/>
        <v>791842534.53968596</v>
      </c>
      <c r="J115">
        <f t="shared" ca="1" si="74"/>
        <v>958357414452.23438</v>
      </c>
      <c r="K115">
        <f t="shared" ca="1" si="46"/>
        <v>7.4917237076888431E-6</v>
      </c>
      <c r="L115">
        <f t="shared" ca="1" si="66"/>
        <v>-175084780824.5238</v>
      </c>
      <c r="M115">
        <f t="shared" ca="1" si="67"/>
        <v>-175084780867.37967</v>
      </c>
      <c r="N115">
        <f t="shared" ca="1" si="47"/>
        <v>175084780900.76303</v>
      </c>
      <c r="O115">
        <f t="shared" ca="1" si="48"/>
        <v>-175084780791.14041</v>
      </c>
      <c r="Q115">
        <f t="shared" si="68"/>
        <v>76</v>
      </c>
      <c r="R115" s="23">
        <f t="shared" si="76"/>
        <v>110.41325930505018</v>
      </c>
      <c r="S115">
        <f t="shared" ca="1" si="69"/>
        <v>1.4569206159077228E-2</v>
      </c>
      <c r="T115" s="23">
        <f t="shared" ca="1" si="70"/>
        <v>499999.99999960186</v>
      </c>
      <c r="U115">
        <f t="shared" ca="1" si="75"/>
        <v>353934.59334621328</v>
      </c>
      <c r="V115">
        <f t="shared" ca="1" si="71"/>
        <v>357.09755292259081</v>
      </c>
      <c r="W115">
        <f t="shared" ca="1" si="72"/>
        <v>5.1920951501896761E-12</v>
      </c>
      <c r="X115">
        <f t="shared" ca="1" si="49"/>
        <v>1.8376620855972292E-6</v>
      </c>
      <c r="Y115">
        <f t="shared" ca="1" si="50"/>
        <v>1.8746021388976907E-4</v>
      </c>
      <c r="Z115">
        <f t="shared" ca="1" si="51"/>
        <v>146.61223621661841</v>
      </c>
      <c r="AA115">
        <f t="shared" ca="1" si="52"/>
        <v>487.06478885565127</v>
      </c>
      <c r="AB115" s="6">
        <f t="shared" ca="1" si="53"/>
        <v>-3.6235935654374002E-9</v>
      </c>
      <c r="AC115">
        <f t="shared" ca="1" si="54"/>
        <v>71.171368267670701</v>
      </c>
      <c r="AD115">
        <f t="shared" ca="1" si="73"/>
        <v>28.315483706292071</v>
      </c>
      <c r="AE115">
        <f t="shared" ca="1" si="55"/>
        <v>1.0562562804983853</v>
      </c>
      <c r="AF115">
        <f t="shared" ca="1" si="56"/>
        <v>100.54310825446116</v>
      </c>
      <c r="AG115">
        <f t="shared" ca="1" si="41"/>
        <v>0.59700668902918763</v>
      </c>
      <c r="AI115">
        <f t="shared" ca="1" si="57"/>
        <v>8.1032000028408217E-5</v>
      </c>
      <c r="AK115">
        <f t="shared" ca="1" si="58"/>
        <v>6.840511191175018E-2</v>
      </c>
      <c r="AM115">
        <f t="shared" ca="1" si="59"/>
        <v>11520.243740125632</v>
      </c>
      <c r="AN115" s="6">
        <f t="shared" si="60"/>
        <v>1.9495613999999998E-5</v>
      </c>
      <c r="AO115" s="6">
        <f t="shared" ca="1" si="61"/>
        <v>4637646.9846094595</v>
      </c>
      <c r="AP115" s="6">
        <f t="shared" ca="1" si="62"/>
        <v>2.319802854620101E-3</v>
      </c>
    </row>
    <row r="116" spans="1:42" x14ac:dyDescent="0.25">
      <c r="A116">
        <f t="shared" si="63"/>
        <v>77</v>
      </c>
      <c r="B116">
        <f t="shared" si="39"/>
        <v>3.1976795558993456</v>
      </c>
      <c r="C116">
        <f t="shared" ca="1" si="64"/>
        <v>2457088145.8163471</v>
      </c>
      <c r="D116">
        <f t="shared" si="42"/>
        <v>10000000</v>
      </c>
      <c r="E116">
        <f t="shared" ca="1" si="43"/>
        <v>10000000.00188118</v>
      </c>
      <c r="F116">
        <f t="shared" ca="1" si="65"/>
        <v>3673051361.7186728</v>
      </c>
      <c r="G116">
        <f t="shared" ca="1" si="40"/>
        <v>949.99696687362029</v>
      </c>
      <c r="H116">
        <f t="shared" ca="1" si="44"/>
        <v>9499969670.5233192</v>
      </c>
      <c r="I116">
        <f t="shared" ca="1" si="45"/>
        <v>791842534.53783488</v>
      </c>
      <c r="J116">
        <f t="shared" ca="1" si="74"/>
        <v>971357353929.83594</v>
      </c>
      <c r="K116">
        <f t="shared" ca="1" si="46"/>
        <v>7.3914599330966733E-6</v>
      </c>
      <c r="L116">
        <f t="shared" ca="1" si="66"/>
        <v>-177459773242.16016</v>
      </c>
      <c r="M116">
        <f t="shared" ca="1" si="67"/>
        <v>-177459773285.01605</v>
      </c>
      <c r="N116">
        <f t="shared" ca="1" si="47"/>
        <v>177459773318.39941</v>
      </c>
      <c r="O116">
        <f t="shared" ca="1" si="48"/>
        <v>-177459773208.77679</v>
      </c>
      <c r="Q116">
        <f t="shared" si="68"/>
        <v>77</v>
      </c>
      <c r="R116" s="23">
        <f t="shared" si="76"/>
        <v>111.86606534853769</v>
      </c>
      <c r="S116">
        <f t="shared" ca="1" si="69"/>
        <v>1.4841549490729746E-2</v>
      </c>
      <c r="T116" s="23">
        <f t="shared" ca="1" si="70"/>
        <v>499999.99999959662</v>
      </c>
      <c r="U116">
        <f t="shared" ca="1" si="75"/>
        <v>353906.01244178391</v>
      </c>
      <c r="V116">
        <f t="shared" ca="1" si="71"/>
        <v>357.23020176991838</v>
      </c>
      <c r="W116">
        <f t="shared" ca="1" si="72"/>
        <v>5.2557976335053091E-12</v>
      </c>
      <c r="X116">
        <f t="shared" ca="1" si="49"/>
        <v>1.8600583826748284E-6</v>
      </c>
      <c r="Y116">
        <f t="shared" ca="1" si="50"/>
        <v>1.8974486386617707E-4</v>
      </c>
      <c r="Z116">
        <f t="shared" ca="1" si="51"/>
        <v>146.64199516520821</v>
      </c>
      <c r="AA116">
        <f t="shared" ca="1" si="52"/>
        <v>487.06123142803563</v>
      </c>
      <c r="AB116" s="6">
        <f t="shared" ca="1" si="53"/>
        <v>-3.6242304393373132E-9</v>
      </c>
      <c r="AC116">
        <f t="shared" ca="1" si="54"/>
        <v>71.151698649394675</v>
      </c>
      <c r="AD116">
        <f t="shared" ca="1" si="73"/>
        <v>28.295814088016051</v>
      </c>
      <c r="AE116">
        <f t="shared" ca="1" si="55"/>
        <v>1.0759258987744045</v>
      </c>
      <c r="AF116">
        <f t="shared" ca="1" si="56"/>
        <v>100.52343863618513</v>
      </c>
      <c r="AG116">
        <f t="shared" ca="1" si="41"/>
        <v>0.59711161745767982</v>
      </c>
      <c r="AI116">
        <f t="shared" ca="1" si="57"/>
        <v>8.1046242013593325E-5</v>
      </c>
      <c r="AK116">
        <f t="shared" ca="1" si="58"/>
        <v>6.8418496874080234E-2</v>
      </c>
      <c r="AM116">
        <f t="shared" ca="1" si="59"/>
        <v>11518.219326203416</v>
      </c>
      <c r="AN116" s="6">
        <f t="shared" si="60"/>
        <v>1.9495613999999998E-5</v>
      </c>
      <c r="AO116" s="6">
        <f t="shared" ca="1" si="61"/>
        <v>4637646.9846094595</v>
      </c>
      <c r="AP116" s="6">
        <f t="shared" ca="1" si="62"/>
        <v>2.319802854620101E-3</v>
      </c>
    </row>
    <row r="117" spans="1:42" x14ac:dyDescent="0.25">
      <c r="A117">
        <f t="shared" si="63"/>
        <v>78</v>
      </c>
      <c r="B117">
        <f t="shared" si="39"/>
        <v>3.239207861820117</v>
      </c>
      <c r="C117">
        <f t="shared" ca="1" si="64"/>
        <v>2489972024.8317132</v>
      </c>
      <c r="D117">
        <f t="shared" si="42"/>
        <v>10000000</v>
      </c>
      <c r="E117">
        <f t="shared" ca="1" si="43"/>
        <v>10000000.001856338</v>
      </c>
      <c r="F117">
        <f t="shared" ca="1" si="65"/>
        <v>3673051604.7785468</v>
      </c>
      <c r="G117">
        <f t="shared" ca="1" si="40"/>
        <v>949.99696687382095</v>
      </c>
      <c r="H117">
        <f t="shared" ca="1" si="44"/>
        <v>9499969670.5017262</v>
      </c>
      <c r="I117">
        <f t="shared" ca="1" si="45"/>
        <v>791842534.53603506</v>
      </c>
      <c r="J117">
        <f t="shared" ca="1" si="74"/>
        <v>984357293407.40625</v>
      </c>
      <c r="K117">
        <f t="shared" ca="1" si="46"/>
        <v>7.2938444306518985E-6</v>
      </c>
      <c r="L117">
        <f t="shared" ca="1" si="66"/>
        <v>-179834765659.79102</v>
      </c>
      <c r="M117">
        <f t="shared" ca="1" si="67"/>
        <v>-179834765702.64688</v>
      </c>
      <c r="N117">
        <f t="shared" ca="1" si="47"/>
        <v>179834765736.03024</v>
      </c>
      <c r="O117">
        <f t="shared" ca="1" si="48"/>
        <v>-179834765626.40762</v>
      </c>
      <c r="Q117">
        <f t="shared" si="68"/>
        <v>78</v>
      </c>
      <c r="R117" s="23">
        <f t="shared" si="76"/>
        <v>113.31887139202519</v>
      </c>
      <c r="S117">
        <f t="shared" ca="1" si="69"/>
        <v>1.511721197567524E-2</v>
      </c>
      <c r="T117" s="23">
        <f t="shared" ca="1" si="70"/>
        <v>499999.99999959138</v>
      </c>
      <c r="U117">
        <f t="shared" ca="1" si="75"/>
        <v>353877.07181831816</v>
      </c>
      <c r="V117">
        <f t="shared" ca="1" si="71"/>
        <v>357.36446627929445</v>
      </c>
      <c r="W117">
        <f t="shared" ca="1" si="72"/>
        <v>5.3210229091676152E-12</v>
      </c>
      <c r="X117">
        <f t="shared" ca="1" si="49"/>
        <v>1.8829880061744243E-6</v>
      </c>
      <c r="Y117">
        <f t="shared" ca="1" si="50"/>
        <v>1.9208391855927596E-4</v>
      </c>
      <c r="Z117">
        <f t="shared" ca="1" si="51"/>
        <v>146.67212865968889</v>
      </c>
      <c r="AA117">
        <f t="shared" ca="1" si="52"/>
        <v>487.05763069759564</v>
      </c>
      <c r="AB117" s="6">
        <f t="shared" ca="1" si="53"/>
        <v>-3.6248745287919199E-9</v>
      </c>
      <c r="AC117">
        <f t="shared" ca="1" si="54"/>
        <v>71.131789309889299</v>
      </c>
      <c r="AD117">
        <f t="shared" ca="1" si="73"/>
        <v>28.275904748510669</v>
      </c>
      <c r="AE117">
        <f t="shared" ca="1" si="55"/>
        <v>1.0958352382797865</v>
      </c>
      <c r="AF117">
        <f t="shared" ca="1" si="56"/>
        <v>100.50352929667976</v>
      </c>
      <c r="AG117">
        <f t="shared" ca="1" si="41"/>
        <v>0.59721773468793471</v>
      </c>
      <c r="AI117">
        <f t="shared" ca="1" si="57"/>
        <v>8.1060645355403462E-5</v>
      </c>
      <c r="AK117">
        <f t="shared" ca="1" si="58"/>
        <v>6.8432050299439995E-2</v>
      </c>
      <c r="AM117">
        <f t="shared" ca="1" si="59"/>
        <v>11516.172699887133</v>
      </c>
      <c r="AN117" s="6">
        <f t="shared" si="60"/>
        <v>1.9495613999999998E-5</v>
      </c>
      <c r="AO117" s="6">
        <f t="shared" ca="1" si="61"/>
        <v>4637646.9846094605</v>
      </c>
      <c r="AP117" s="6">
        <f t="shared" ca="1" si="62"/>
        <v>2.3198028546201001E-3</v>
      </c>
    </row>
    <row r="118" spans="1:42" x14ac:dyDescent="0.25">
      <c r="A118">
        <f t="shared" si="63"/>
        <v>79</v>
      </c>
      <c r="B118">
        <f t="shared" si="39"/>
        <v>3.2807361677408875</v>
      </c>
      <c r="C118">
        <f t="shared" ca="1" si="64"/>
        <v>2522855903.8470039</v>
      </c>
      <c r="D118">
        <f t="shared" si="42"/>
        <v>10000000</v>
      </c>
      <c r="E118">
        <f t="shared" ca="1" si="43"/>
        <v>10000000.001832141</v>
      </c>
      <c r="F118">
        <f t="shared" ca="1" si="65"/>
        <v>3673051844.6284447</v>
      </c>
      <c r="G118">
        <f t="shared" ca="1" si="40"/>
        <v>949.99696687401899</v>
      </c>
      <c r="H118">
        <f t="shared" ca="1" si="44"/>
        <v>9499969670.4807186</v>
      </c>
      <c r="I118">
        <f t="shared" ca="1" si="45"/>
        <v>791842534.53428411</v>
      </c>
      <c r="J118">
        <f t="shared" ca="1" si="74"/>
        <v>997357232884.95313</v>
      </c>
      <c r="K118">
        <f t="shared" ca="1" si="46"/>
        <v>7.1987736445476637E-6</v>
      </c>
      <c r="L118">
        <f t="shared" ca="1" si="66"/>
        <v>-182209758077.41644</v>
      </c>
      <c r="M118">
        <f t="shared" ca="1" si="67"/>
        <v>-182209758120.27231</v>
      </c>
      <c r="N118">
        <f t="shared" ca="1" si="47"/>
        <v>182209758153.65567</v>
      </c>
      <c r="O118">
        <f t="shared" ca="1" si="48"/>
        <v>-182209758044.03305</v>
      </c>
      <c r="Q118">
        <f t="shared" si="68"/>
        <v>79</v>
      </c>
      <c r="R118" s="23">
        <f t="shared" si="76"/>
        <v>114.7716774355127</v>
      </c>
      <c r="S118">
        <f t="shared" ca="1" si="69"/>
        <v>1.539627265341492E-2</v>
      </c>
      <c r="T118" s="23">
        <f t="shared" ca="1" si="70"/>
        <v>499999.99999958614</v>
      </c>
      <c r="U118">
        <f t="shared" ca="1" si="75"/>
        <v>353847.7627518755</v>
      </c>
      <c r="V118">
        <f t="shared" ca="1" si="71"/>
        <v>357.50038491181522</v>
      </c>
      <c r="W118">
        <f t="shared" ca="1" si="72"/>
        <v>5.3878254298207959E-12</v>
      </c>
      <c r="X118">
        <f t="shared" ca="1" si="49"/>
        <v>1.9064699744397507E-6</v>
      </c>
      <c r="Y118">
        <f t="shared" ca="1" si="50"/>
        <v>1.9447931803346182E-4</v>
      </c>
      <c r="Z118">
        <f t="shared" ca="1" si="51"/>
        <v>146.70264578358322</v>
      </c>
      <c r="AA118">
        <f t="shared" ca="1" si="52"/>
        <v>487.05398563385461</v>
      </c>
      <c r="AB118" s="6">
        <f t="shared" ca="1" si="53"/>
        <v>-3.6255259983948456E-9</v>
      </c>
      <c r="AC118">
        <f t="shared" ca="1" si="54"/>
        <v>71.11163454063653</v>
      </c>
      <c r="AD118">
        <f t="shared" ca="1" si="73"/>
        <v>28.255749979257903</v>
      </c>
      <c r="AE118">
        <f t="shared" ca="1" si="55"/>
        <v>1.1159900075325553</v>
      </c>
      <c r="AF118">
        <f t="shared" ca="1" si="56"/>
        <v>100.48337452742699</v>
      </c>
      <c r="AG118">
        <f t="shared" ca="1" si="41"/>
        <v>0.59732506783764439</v>
      </c>
      <c r="AI118">
        <f t="shared" ca="1" si="57"/>
        <v>8.1075213734535813E-5</v>
      </c>
      <c r="AK118">
        <f t="shared" ca="1" si="58"/>
        <v>6.8445776273410974E-2</v>
      </c>
      <c r="AM118">
        <f t="shared" ca="1" si="59"/>
        <v>11514.103362511165</v>
      </c>
      <c r="AN118" s="6">
        <f t="shared" si="60"/>
        <v>1.9495613999999998E-5</v>
      </c>
      <c r="AO118" s="6">
        <f t="shared" ca="1" si="61"/>
        <v>4637646.9846094605</v>
      </c>
      <c r="AP118" s="6">
        <f t="shared" ca="1" si="62"/>
        <v>2.3198028546201001E-3</v>
      </c>
    </row>
    <row r="119" spans="1:42" x14ac:dyDescent="0.25">
      <c r="A119">
        <f t="shared" si="63"/>
        <v>80</v>
      </c>
      <c r="B119">
        <f t="shared" si="39"/>
        <v>3.322264473661658</v>
      </c>
      <c r="C119">
        <f t="shared" ca="1" si="64"/>
        <v>2555739782.8622222</v>
      </c>
      <c r="D119">
        <f t="shared" si="42"/>
        <v>10000000</v>
      </c>
      <c r="E119">
        <f t="shared" ca="1" si="43"/>
        <v>10000000.001808567</v>
      </c>
      <c r="F119">
        <f t="shared" ca="1" si="65"/>
        <v>3673052081.3520465</v>
      </c>
      <c r="G119">
        <f t="shared" ca="1" si="40"/>
        <v>949.99696687421454</v>
      </c>
      <c r="H119">
        <f t="shared" ca="1" si="44"/>
        <v>9499969670.4602776</v>
      </c>
      <c r="I119">
        <f t="shared" ca="1" si="45"/>
        <v>791842534.53258026</v>
      </c>
      <c r="J119">
        <f t="shared" ca="1" si="74"/>
        <v>1010357172362.4766</v>
      </c>
      <c r="K119">
        <f t="shared" ca="1" si="46"/>
        <v>7.1061493486536802E-6</v>
      </c>
      <c r="L119">
        <f t="shared" ca="1" si="66"/>
        <v>-184584750495.03662</v>
      </c>
      <c r="M119">
        <f t="shared" ca="1" si="67"/>
        <v>-184584750537.89249</v>
      </c>
      <c r="N119">
        <f t="shared" ca="1" si="47"/>
        <v>184584750571.27585</v>
      </c>
      <c r="O119">
        <f t="shared" ca="1" si="48"/>
        <v>-184584750461.65323</v>
      </c>
      <c r="Q119">
        <f t="shared" si="68"/>
        <v>80</v>
      </c>
      <c r="R119" s="23">
        <f t="shared" si="76"/>
        <v>116.22448347900018</v>
      </c>
      <c r="S119">
        <f t="shared" ca="1" si="69"/>
        <v>1.5678813381987258E-2</v>
      </c>
      <c r="T119" s="23">
        <f t="shared" ca="1" si="70"/>
        <v>499999.9999995809</v>
      </c>
      <c r="U119">
        <f t="shared" ca="1" si="75"/>
        <v>353818.07620333217</v>
      </c>
      <c r="V119">
        <f t="shared" ca="1" si="71"/>
        <v>357.63799749977028</v>
      </c>
      <c r="W119">
        <f t="shared" ca="1" si="72"/>
        <v>5.4562622541293919E-12</v>
      </c>
      <c r="X119">
        <f t="shared" ca="1" si="49"/>
        <v>1.9305242140169182E-6</v>
      </c>
      <c r="Y119">
        <f t="shared" ca="1" si="50"/>
        <v>1.9693309499900554E-4</v>
      </c>
      <c r="Z119">
        <f t="shared" ca="1" si="51"/>
        <v>146.73355594858847</v>
      </c>
      <c r="AA119">
        <f t="shared" ca="1" si="52"/>
        <v>487.05029516960684</v>
      </c>
      <c r="AB119" s="6">
        <f t="shared" ca="1" si="53"/>
        <v>-3.6261850184267443E-9</v>
      </c>
      <c r="AC119">
        <f t="shared" ca="1" si="54"/>
        <v>71.091228429553411</v>
      </c>
      <c r="AD119">
        <f t="shared" ca="1" si="73"/>
        <v>28.235343868174787</v>
      </c>
      <c r="AE119">
        <f t="shared" ca="1" si="55"/>
        <v>1.1363961186156679</v>
      </c>
      <c r="AF119">
        <f t="shared" ca="1" si="56"/>
        <v>100.46296841634387</v>
      </c>
      <c r="AG119">
        <f t="shared" ca="1" si="41"/>
        <v>0.59743364496146989</v>
      </c>
      <c r="AI119">
        <f t="shared" ca="1" si="57"/>
        <v>8.1089950958862758E-5</v>
      </c>
      <c r="AK119">
        <f t="shared" ca="1" si="58"/>
        <v>6.8459679029180792E-2</v>
      </c>
      <c r="AM119">
        <f t="shared" ca="1" si="59"/>
        <v>11512.010798362699</v>
      </c>
      <c r="AN119" s="6">
        <f t="shared" si="60"/>
        <v>1.9495613999999998E-5</v>
      </c>
      <c r="AO119" s="6">
        <f t="shared" ca="1" si="61"/>
        <v>4637646.9846094586</v>
      </c>
      <c r="AP119" s="6">
        <f t="shared" ca="1" si="62"/>
        <v>2.319802854620101E-3</v>
      </c>
    </row>
    <row r="120" spans="1:42" x14ac:dyDescent="0.25">
      <c r="A120">
        <f t="shared" si="63"/>
        <v>81</v>
      </c>
      <c r="B120">
        <f t="shared" si="39"/>
        <v>3.3637927795824289</v>
      </c>
      <c r="C120">
        <f t="shared" ca="1" si="64"/>
        <v>2588623661.8773699</v>
      </c>
      <c r="D120">
        <f t="shared" si="42"/>
        <v>10000000</v>
      </c>
      <c r="E120">
        <f t="shared" ca="1" si="43"/>
        <v>10000000.001785591</v>
      </c>
      <c r="F120">
        <f t="shared" ca="1" si="65"/>
        <v>3673052315.0298018</v>
      </c>
      <c r="G120">
        <f t="shared" ca="1" si="40"/>
        <v>949.99696687440746</v>
      </c>
      <c r="H120">
        <f t="shared" ca="1" si="44"/>
        <v>9499969670.4403801</v>
      </c>
      <c r="I120">
        <f t="shared" ca="1" si="45"/>
        <v>791842534.53092182</v>
      </c>
      <c r="J120">
        <f t="shared" ca="1" si="74"/>
        <v>1023357111839.9609</v>
      </c>
      <c r="K120">
        <f t="shared" ca="1" si="46"/>
        <v>7.0158783079957738E-6</v>
      </c>
      <c r="L120">
        <f t="shared" ca="1" si="66"/>
        <v>-186959742912.6517</v>
      </c>
      <c r="M120">
        <f t="shared" ca="1" si="67"/>
        <v>-186959742955.5076</v>
      </c>
      <c r="N120">
        <f t="shared" ca="1" si="47"/>
        <v>186959742988.89096</v>
      </c>
      <c r="O120">
        <f t="shared" ca="1" si="48"/>
        <v>-186959742879.26834</v>
      </c>
      <c r="Q120">
        <f t="shared" si="68"/>
        <v>81</v>
      </c>
      <c r="R120" s="23">
        <f t="shared" si="76"/>
        <v>117.6772895224877</v>
      </c>
      <c r="S120">
        <f t="shared" ca="1" si="69"/>
        <v>1.5964918972564513E-2</v>
      </c>
      <c r="T120" s="23">
        <f t="shared" ca="1" si="70"/>
        <v>499999.99999957561</v>
      </c>
      <c r="U120">
        <f t="shared" ca="1" si="75"/>
        <v>353788.00280317396</v>
      </c>
      <c r="V120">
        <f t="shared" ca="1" si="71"/>
        <v>357.77734531211058</v>
      </c>
      <c r="W120">
        <f t="shared" ca="1" si="72"/>
        <v>5.5263932037175036E-12</v>
      </c>
      <c r="X120">
        <f t="shared" ca="1" si="49"/>
        <v>1.9551716142482498E-6</v>
      </c>
      <c r="Y120">
        <f t="shared" ca="1" si="50"/>
        <v>1.9944738038117936E-4</v>
      </c>
      <c r="Z120">
        <f t="shared" ca="1" si="51"/>
        <v>146.76486891041043</v>
      </c>
      <c r="AA120">
        <f t="shared" ca="1" si="52"/>
        <v>487.046558199164</v>
      </c>
      <c r="AB120" s="6">
        <f t="shared" ca="1" si="53"/>
        <v>-3.6268517651200492E-9</v>
      </c>
      <c r="AC120">
        <f t="shared" ca="1" si="54"/>
        <v>71.07056485127103</v>
      </c>
      <c r="AD120">
        <f t="shared" ca="1" si="73"/>
        <v>28.214680289892396</v>
      </c>
      <c r="AE120">
        <f t="shared" ca="1" si="55"/>
        <v>1.1570596968980618</v>
      </c>
      <c r="AF120">
        <f t="shared" ca="1" si="56"/>
        <v>100.44230483806149</v>
      </c>
      <c r="AG120">
        <f t="shared" ca="1" si="41"/>
        <v>0.5975434950946602</v>
      </c>
      <c r="AI120">
        <f t="shared" ca="1" si="57"/>
        <v>8.1104860969352373E-5</v>
      </c>
      <c r="AK120">
        <f t="shared" ca="1" si="58"/>
        <v>6.8473762954665063E-2</v>
      </c>
      <c r="AM120">
        <f t="shared" ca="1" si="59"/>
        <v>11509.894473894494</v>
      </c>
      <c r="AN120" s="6">
        <f t="shared" si="60"/>
        <v>1.9495613999999998E-5</v>
      </c>
      <c r="AO120" s="6">
        <f t="shared" ca="1" si="61"/>
        <v>4637646.9846094605</v>
      </c>
      <c r="AP120" s="6">
        <f t="shared" ca="1" si="62"/>
        <v>2.3198028546201001E-3</v>
      </c>
    </row>
    <row r="121" spans="1:42" x14ac:dyDescent="0.25">
      <c r="A121">
        <f t="shared" si="63"/>
        <v>82</v>
      </c>
      <c r="B121">
        <f t="shared" si="39"/>
        <v>3.4053210855031995</v>
      </c>
      <c r="C121">
        <f t="shared" ca="1" si="64"/>
        <v>2621507540.8924484</v>
      </c>
      <c r="D121">
        <f t="shared" si="42"/>
        <v>10000000</v>
      </c>
      <c r="E121">
        <f t="shared" ca="1" si="43"/>
        <v>10000000.001763191</v>
      </c>
      <c r="F121">
        <f t="shared" ca="1" si="65"/>
        <v>3673052545.7390952</v>
      </c>
      <c r="G121">
        <f t="shared" ca="1" si="40"/>
        <v>949.996966874598</v>
      </c>
      <c r="H121">
        <f t="shared" ca="1" si="44"/>
        <v>9499969670.4210052</v>
      </c>
      <c r="I121">
        <f t="shared" ca="1" si="45"/>
        <v>791842534.52930689</v>
      </c>
      <c r="J121">
        <f t="shared" ca="1" si="74"/>
        <v>1036357051317.4219</v>
      </c>
      <c r="K121">
        <f t="shared" ca="1" si="46"/>
        <v>6.927871965713223E-6</v>
      </c>
      <c r="L121">
        <f t="shared" ca="1" si="66"/>
        <v>-189334735330.26178</v>
      </c>
      <c r="M121">
        <f t="shared" ca="1" si="67"/>
        <v>-189334735373.11768</v>
      </c>
      <c r="N121">
        <f t="shared" ca="1" si="47"/>
        <v>189334735406.50104</v>
      </c>
      <c r="O121">
        <f t="shared" ca="1" si="48"/>
        <v>-189334735296.87842</v>
      </c>
      <c r="Q121">
        <f t="shared" si="68"/>
        <v>82</v>
      </c>
      <c r="R121" s="23">
        <f t="shared" si="76"/>
        <v>119.13009556597521</v>
      </c>
      <c r="S121">
        <f t="shared" ca="1" si="69"/>
        <v>1.6254677332140043E-2</v>
      </c>
      <c r="T121" s="23">
        <f t="shared" ca="1" si="70"/>
        <v>499999.99999957031</v>
      </c>
      <c r="U121">
        <f t="shared" ca="1" si="75"/>
        <v>353757.53283536684</v>
      </c>
      <c r="V121">
        <f t="shared" ca="1" si="71"/>
        <v>357.9184711238513</v>
      </c>
      <c r="W121">
        <f t="shared" ca="1" si="72"/>
        <v>5.598281031542842E-12</v>
      </c>
      <c r="X121">
        <f t="shared" ca="1" si="49"/>
        <v>1.9804340858376283E-6</v>
      </c>
      <c r="Y121">
        <f t="shared" ca="1" si="50"/>
        <v>2.0202440929451739E-4</v>
      </c>
      <c r="Z121">
        <f t="shared" ca="1" si="51"/>
        <v>146.79659478555729</v>
      </c>
      <c r="AA121">
        <f t="shared" ca="1" si="52"/>
        <v>487.04277357649744</v>
      </c>
      <c r="AB121" s="6">
        <f t="shared" ca="1" si="53"/>
        <v>-3.6275264209393032E-9</v>
      </c>
      <c r="AC121">
        <f t="shared" ca="1" si="54"/>
        <v>71.049637456829046</v>
      </c>
      <c r="AD121">
        <f t="shared" ca="1" si="73"/>
        <v>28.193752895450412</v>
      </c>
      <c r="AE121">
        <f t="shared" ca="1" si="55"/>
        <v>1.1779870913400454</v>
      </c>
      <c r="AF121">
        <f t="shared" ca="1" si="56"/>
        <v>100.42137744361951</v>
      </c>
      <c r="AG121">
        <f t="shared" ca="1" si="41"/>
        <v>0.5976546482992382</v>
      </c>
      <c r="AI121">
        <f t="shared" ca="1" si="57"/>
        <v>8.1119947846337233E-5</v>
      </c>
      <c r="AK121">
        <f t="shared" ca="1" si="58"/>
        <v>6.8488032600060866E-2</v>
      </c>
      <c r="AM121">
        <f t="shared" ca="1" si="59"/>
        <v>11507.753836891552</v>
      </c>
      <c r="AN121" s="6">
        <f t="shared" si="60"/>
        <v>1.9495613999999998E-5</v>
      </c>
      <c r="AO121" s="6">
        <f t="shared" ca="1" si="61"/>
        <v>4637646.9846094595</v>
      </c>
      <c r="AP121" s="6">
        <f t="shared" ca="1" si="62"/>
        <v>2.319802854620101E-3</v>
      </c>
    </row>
    <row r="122" spans="1:42" x14ac:dyDescent="0.25">
      <c r="A122">
        <f t="shared" si="63"/>
        <v>83</v>
      </c>
      <c r="B122">
        <f t="shared" si="39"/>
        <v>3.44684939142397</v>
      </c>
      <c r="C122">
        <f t="shared" ca="1" si="64"/>
        <v>2654391419.9074597</v>
      </c>
      <c r="D122">
        <f t="shared" si="42"/>
        <v>10000000</v>
      </c>
      <c r="E122">
        <f t="shared" ca="1" si="43"/>
        <v>10000000.00174135</v>
      </c>
      <c r="F122">
        <f t="shared" ca="1" si="65"/>
        <v>3673052773.5543985</v>
      </c>
      <c r="G122">
        <f t="shared" ca="1" si="40"/>
        <v>949.99696687478615</v>
      </c>
      <c r="H122">
        <f t="shared" ca="1" si="44"/>
        <v>9499969670.4021378</v>
      </c>
      <c r="I122">
        <f t="shared" ca="1" si="45"/>
        <v>791842534.52773416</v>
      </c>
      <c r="J122">
        <f t="shared" ca="1" si="74"/>
        <v>1049356990794.8438</v>
      </c>
      <c r="K122">
        <f t="shared" ca="1" si="46"/>
        <v>6.8420461532855745E-6</v>
      </c>
      <c r="L122">
        <f t="shared" ca="1" si="66"/>
        <v>-191709727747.86703</v>
      </c>
      <c r="M122">
        <f t="shared" ca="1" si="67"/>
        <v>-191709727790.72287</v>
      </c>
      <c r="N122">
        <f t="shared" ca="1" si="47"/>
        <v>191709727824.10623</v>
      </c>
      <c r="O122">
        <f t="shared" ca="1" si="48"/>
        <v>-191709727714.48367</v>
      </c>
      <c r="Q122">
        <f t="shared" si="68"/>
        <v>83</v>
      </c>
      <c r="R122" s="23">
        <f t="shared" si="76"/>
        <v>120.5829016094627</v>
      </c>
      <c r="S122">
        <f t="shared" ca="1" si="69"/>
        <v>1.6548179614895107E-2</v>
      </c>
      <c r="T122" s="23">
        <f t="shared" ca="1" si="70"/>
        <v>499999.99999956501</v>
      </c>
      <c r="U122">
        <f t="shared" ca="1" si="75"/>
        <v>353726.65622023819</v>
      </c>
      <c r="V122">
        <f t="shared" ca="1" si="71"/>
        <v>358.06141928969538</v>
      </c>
      <c r="W122">
        <f t="shared" ca="1" si="72"/>
        <v>5.6719916026864896E-12</v>
      </c>
      <c r="X122">
        <f t="shared" ca="1" si="49"/>
        <v>2.0063346237275616E-6</v>
      </c>
      <c r="Y122">
        <f t="shared" ca="1" si="50"/>
        <v>2.0466652745691557E-4</v>
      </c>
      <c r="Z122">
        <f t="shared" ca="1" si="51"/>
        <v>146.82874406916432</v>
      </c>
      <c r="AA122">
        <f t="shared" ca="1" si="52"/>
        <v>487.03894011326543</v>
      </c>
      <c r="AB122" s="6">
        <f t="shared" ca="1" si="53"/>
        <v>-3.6282091748781699E-9</v>
      </c>
      <c r="AC122">
        <f t="shared" ca="1" si="54"/>
        <v>71.028439662743523</v>
      </c>
      <c r="AD122">
        <f t="shared" ca="1" si="73"/>
        <v>28.1725551013649</v>
      </c>
      <c r="AE122">
        <f t="shared" ca="1" si="55"/>
        <v>1.1991848854255576</v>
      </c>
      <c r="AF122">
        <f t="shared" ca="1" si="56"/>
        <v>100.40017964953398</v>
      </c>
      <c r="AG122">
        <f t="shared" ca="1" si="41"/>
        <v>0.59776713571293505</v>
      </c>
      <c r="AI122">
        <f t="shared" ca="1" si="57"/>
        <v>8.1135215816156302E-5</v>
      </c>
      <c r="AK122">
        <f t="shared" ca="1" si="58"/>
        <v>6.8502492685863961E-2</v>
      </c>
      <c r="AM122">
        <f t="shared" ca="1" si="59"/>
        <v>11505.588315588631</v>
      </c>
      <c r="AN122" s="6">
        <f t="shared" si="60"/>
        <v>1.9495613999999998E-5</v>
      </c>
      <c r="AO122" s="6">
        <f t="shared" ca="1" si="61"/>
        <v>4637646.9846094595</v>
      </c>
      <c r="AP122" s="6">
        <f t="shared" ca="1" si="62"/>
        <v>2.319802854620101E-3</v>
      </c>
    </row>
    <row r="123" spans="1:42" x14ac:dyDescent="0.25">
      <c r="A123">
        <f t="shared" si="63"/>
        <v>84</v>
      </c>
      <c r="B123">
        <f t="shared" si="39"/>
        <v>3.4883776973447409</v>
      </c>
      <c r="C123">
        <f t="shared" ca="1" si="64"/>
        <v>2687275298.9224062</v>
      </c>
      <c r="D123">
        <f t="shared" si="42"/>
        <v>10000000</v>
      </c>
      <c r="E123">
        <f t="shared" ca="1" si="43"/>
        <v>10000000.001720039</v>
      </c>
      <c r="F123">
        <f t="shared" ca="1" si="65"/>
        <v>3673052998.5474167</v>
      </c>
      <c r="G123">
        <f t="shared" ca="1" si="40"/>
        <v>949.99696687497192</v>
      </c>
      <c r="H123">
        <f t="shared" ca="1" si="44"/>
        <v>9499969670.3837509</v>
      </c>
      <c r="I123">
        <f t="shared" ca="1" si="45"/>
        <v>791842534.52620161</v>
      </c>
      <c r="J123">
        <f t="shared" ca="1" si="74"/>
        <v>1062356930272.2656</v>
      </c>
      <c r="K123">
        <f t="shared" ca="1" si="46"/>
        <v>6.7583208220340106E-6</v>
      </c>
      <c r="L123">
        <f t="shared" ca="1" si="66"/>
        <v>-194084720165.46756</v>
      </c>
      <c r="M123">
        <f t="shared" ca="1" si="67"/>
        <v>-194084720208.32346</v>
      </c>
      <c r="N123">
        <f t="shared" ca="1" si="47"/>
        <v>194084720241.70682</v>
      </c>
      <c r="O123">
        <f t="shared" ca="1" si="48"/>
        <v>-194084720132.0842</v>
      </c>
      <c r="Q123">
        <f t="shared" si="68"/>
        <v>84</v>
      </c>
      <c r="R123" s="23">
        <f t="shared" si="76"/>
        <v>122.03570765295021</v>
      </c>
      <c r="S123">
        <f t="shared" ca="1" si="69"/>
        <v>1.6845520382884116E-2</v>
      </c>
      <c r="T123" s="23">
        <f t="shared" ca="1" si="70"/>
        <v>499999.99999955972</v>
      </c>
      <c r="U123">
        <f t="shared" ca="1" si="75"/>
        <v>353695.36249629519</v>
      </c>
      <c r="V123">
        <f t="shared" ca="1" si="71"/>
        <v>358.20623582218923</v>
      </c>
      <c r="W123">
        <f t="shared" ca="1" si="72"/>
        <v>5.7475940886371872E-12</v>
      </c>
      <c r="X123">
        <f t="shared" ca="1" si="49"/>
        <v>2.0328973746620931E-6</v>
      </c>
      <c r="Y123">
        <f t="shared" ca="1" si="50"/>
        <v>2.073761980817354E-4</v>
      </c>
      <c r="Z123">
        <f t="shared" ca="1" si="51"/>
        <v>146.86132765392503</v>
      </c>
      <c r="AA123">
        <f t="shared" ca="1" si="52"/>
        <v>487.03505657672054</v>
      </c>
      <c r="AB123" s="6">
        <f t="shared" ca="1" si="53"/>
        <v>-3.6289002227743529E-9</v>
      </c>
      <c r="AC123">
        <f t="shared" ca="1" si="54"/>
        <v>71.006964639401644</v>
      </c>
      <c r="AD123">
        <f t="shared" ca="1" si="73"/>
        <v>28.151080078023021</v>
      </c>
      <c r="AE123">
        <f t="shared" ca="1" si="55"/>
        <v>1.2206599087674341</v>
      </c>
      <c r="AF123">
        <f t="shared" ca="1" si="56"/>
        <v>100.3787046261921</v>
      </c>
      <c r="AG123">
        <f t="shared" ca="1" si="41"/>
        <v>0.59788098960107416</v>
      </c>
      <c r="AI123">
        <f t="shared" ca="1" si="57"/>
        <v>8.1150669258197168E-5</v>
      </c>
      <c r="AK123">
        <f t="shared" ca="1" si="58"/>
        <v>6.8517148111383597E-2</v>
      </c>
      <c r="AM123">
        <f t="shared" ca="1" si="59"/>
        <v>11503.397317734811</v>
      </c>
      <c r="AN123" s="6">
        <f t="shared" si="60"/>
        <v>1.9495613999999998E-5</v>
      </c>
      <c r="AO123" s="6">
        <f t="shared" ca="1" si="61"/>
        <v>4637646.9846094595</v>
      </c>
      <c r="AP123" s="6">
        <f t="shared" ca="1" si="62"/>
        <v>2.319802854620101E-3</v>
      </c>
    </row>
    <row r="124" spans="1:42" x14ac:dyDescent="0.25">
      <c r="A124">
        <f t="shared" si="63"/>
        <v>85</v>
      </c>
      <c r="B124">
        <f t="shared" si="39"/>
        <v>3.5299060032655114</v>
      </c>
      <c r="C124">
        <f t="shared" ca="1" si="64"/>
        <v>2720159177.9372888</v>
      </c>
      <c r="D124">
        <f t="shared" si="42"/>
        <v>10000000</v>
      </c>
      <c r="E124">
        <f t="shared" ca="1" si="43"/>
        <v>10000000.001699245</v>
      </c>
      <c r="F124">
        <f t="shared" ca="1" si="65"/>
        <v>3673053220.787221</v>
      </c>
      <c r="G124">
        <f t="shared" ca="1" si="40"/>
        <v>949.99696687515541</v>
      </c>
      <c r="H124">
        <f t="shared" ca="1" si="44"/>
        <v>9499969670.3658314</v>
      </c>
      <c r="I124">
        <f t="shared" ca="1" si="45"/>
        <v>791842534.52470803</v>
      </c>
      <c r="J124">
        <f t="shared" ca="1" si="74"/>
        <v>1075356869749.6484</v>
      </c>
      <c r="K124">
        <f t="shared" ca="1" si="46"/>
        <v>6.6766197940993199E-6</v>
      </c>
      <c r="L124">
        <f t="shared" ca="1" si="66"/>
        <v>-196459712583.06351</v>
      </c>
      <c r="M124">
        <f t="shared" ca="1" si="67"/>
        <v>-196459712625.91937</v>
      </c>
      <c r="N124">
        <f t="shared" ca="1" si="47"/>
        <v>196459712659.30273</v>
      </c>
      <c r="O124">
        <f t="shared" ca="1" si="48"/>
        <v>-196459712549.68018</v>
      </c>
      <c r="Q124">
        <f t="shared" si="68"/>
        <v>85</v>
      </c>
      <c r="R124" s="23">
        <f t="shared" si="76"/>
        <v>123.48851369643771</v>
      </c>
      <c r="S124">
        <f t="shared" ca="1" si="69"/>
        <v>1.7146797776732722E-2</v>
      </c>
      <c r="T124" s="23">
        <f t="shared" ca="1" si="70"/>
        <v>499999.99999955442</v>
      </c>
      <c r="U124">
        <f t="shared" ca="1" si="75"/>
        <v>353663.64080089965</v>
      </c>
      <c r="V124">
        <f t="shared" ca="1" si="71"/>
        <v>358.35296847474757</v>
      </c>
      <c r="W124">
        <f t="shared" ca="1" si="72"/>
        <v>5.825161176255493E-12</v>
      </c>
      <c r="X124">
        <f t="shared" ca="1" si="49"/>
        <v>2.0601477098465689E-6</v>
      </c>
      <c r="Y124">
        <f t="shared" ca="1" si="50"/>
        <v>2.1015600928983873E-4</v>
      </c>
      <c r="Z124">
        <f t="shared" ca="1" si="51"/>
        <v>146.8943568502124</v>
      </c>
      <c r="AA124">
        <f t="shared" ca="1" si="52"/>
        <v>487.03112168748635</v>
      </c>
      <c r="AB124" s="6">
        <f t="shared" ca="1" si="53"/>
        <v>-3.6295997676436887E-9</v>
      </c>
      <c r="AC124">
        <f t="shared" ca="1" si="54"/>
        <v>70.985205298733248</v>
      </c>
      <c r="AD124">
        <f t="shared" ca="1" si="73"/>
        <v>28.129320737354615</v>
      </c>
      <c r="AE124">
        <f t="shared" ca="1" si="55"/>
        <v>1.242419249435841</v>
      </c>
      <c r="AF124">
        <f t="shared" ca="1" si="56"/>
        <v>100.35694528552371</v>
      </c>
      <c r="AG124">
        <f t="shared" ca="1" si="41"/>
        <v>0.5979962434116155</v>
      </c>
      <c r="AI124">
        <f t="shared" ca="1" si="57"/>
        <v>8.1166312712367247E-5</v>
      </c>
      <c r="AK124">
        <f t="shared" ca="1" si="58"/>
        <v>6.8532003963792637E-2</v>
      </c>
      <c r="AM124">
        <f t="shared" ca="1" si="59"/>
        <v>11501.180229601488</v>
      </c>
      <c r="AN124" s="6">
        <f t="shared" si="60"/>
        <v>1.9495613999999998E-5</v>
      </c>
      <c r="AO124" s="6">
        <f t="shared" ca="1" si="61"/>
        <v>4637646.9846094605</v>
      </c>
      <c r="AP124" s="6">
        <f t="shared" ca="1" si="62"/>
        <v>2.3198028546201001E-3</v>
      </c>
    </row>
    <row r="125" spans="1:42" x14ac:dyDescent="0.25">
      <c r="A125">
        <f t="shared" si="63"/>
        <v>86</v>
      </c>
      <c r="B125">
        <f t="shared" si="39"/>
        <v>3.5714343091862819</v>
      </c>
      <c r="C125">
        <f t="shared" ca="1" si="64"/>
        <v>2753043056.9521093</v>
      </c>
      <c r="D125">
        <f t="shared" si="42"/>
        <v>10000000</v>
      </c>
      <c r="E125">
        <f t="shared" ca="1" si="43"/>
        <v>10000000.001678953</v>
      </c>
      <c r="F125">
        <f t="shared" ca="1" si="65"/>
        <v>3673053440.3403783</v>
      </c>
      <c r="G125">
        <f t="shared" ca="1" si="40"/>
        <v>949.99696687533674</v>
      </c>
      <c r="H125">
        <f t="shared" ca="1" si="44"/>
        <v>9499969670.3483677</v>
      </c>
      <c r="I125">
        <f t="shared" ca="1" si="45"/>
        <v>791842534.52325237</v>
      </c>
      <c r="J125">
        <f t="shared" ca="1" si="74"/>
        <v>1088356809227.0078</v>
      </c>
      <c r="K125">
        <f t="shared" ca="1" si="46"/>
        <v>6.5968705312649403E-6</v>
      </c>
      <c r="L125">
        <f t="shared" ca="1" si="66"/>
        <v>-198834705000.65497</v>
      </c>
      <c r="M125">
        <f t="shared" ca="1" si="67"/>
        <v>-198834705043.51083</v>
      </c>
      <c r="N125">
        <f t="shared" ca="1" si="47"/>
        <v>198834705076.8942</v>
      </c>
      <c r="O125">
        <f t="shared" ca="1" si="48"/>
        <v>-198834704967.27158</v>
      </c>
      <c r="Q125">
        <f t="shared" si="68"/>
        <v>86</v>
      </c>
      <c r="R125" s="23">
        <f t="shared" si="76"/>
        <v>124.94131973992521</v>
      </c>
      <c r="S125">
        <f t="shared" ca="1" si="69"/>
        <v>1.7452113697104213E-2</v>
      </c>
      <c r="T125" s="23">
        <f t="shared" ca="1" si="70"/>
        <v>499999.99999954912</v>
      </c>
      <c r="U125">
        <f t="shared" ca="1" si="75"/>
        <v>353631.47984971397</v>
      </c>
      <c r="V125">
        <f t="shared" ca="1" si="71"/>
        <v>358.50166682991517</v>
      </c>
      <c r="W125">
        <f t="shared" ca="1" si="72"/>
        <v>5.9047692927253412E-12</v>
      </c>
      <c r="X125">
        <f t="shared" ca="1" si="49"/>
        <v>2.0881123031576115E-6</v>
      </c>
      <c r="Y125">
        <f t="shared" ca="1" si="50"/>
        <v>2.1300868208780024E-4</v>
      </c>
      <c r="Z125">
        <f t="shared" ca="1" si="51"/>
        <v>146.9278434074804</v>
      </c>
      <c r="AA125">
        <f t="shared" ca="1" si="52"/>
        <v>487.0271341171939</v>
      </c>
      <c r="AB125" s="6">
        <f t="shared" ca="1" si="53"/>
        <v>-3.6303080200348813E-9</v>
      </c>
      <c r="AC125">
        <f t="shared" ca="1" si="54"/>
        <v>70.96315428110465</v>
      </c>
      <c r="AD125">
        <f t="shared" ca="1" si="73"/>
        <v>28.107269719726027</v>
      </c>
      <c r="AE125">
        <f t="shared" ca="1" si="55"/>
        <v>1.2644702670644317</v>
      </c>
      <c r="AF125">
        <f t="shared" ca="1" si="56"/>
        <v>100.33489426789511</v>
      </c>
      <c r="AG125">
        <f t="shared" ca="1" si="41"/>
        <v>0.59811293183359959</v>
      </c>
      <c r="AI125">
        <f t="shared" ca="1" si="57"/>
        <v>8.1182150887026407E-5</v>
      </c>
      <c r="AK125">
        <f t="shared" ca="1" si="58"/>
        <v>6.8547065527753526E-2</v>
      </c>
      <c r="AM125">
        <f t="shared" ca="1" si="59"/>
        <v>11498.936414929507</v>
      </c>
      <c r="AN125" s="6">
        <f t="shared" si="60"/>
        <v>1.9495613999999998E-5</v>
      </c>
      <c r="AO125" s="6">
        <f t="shared" ca="1" si="61"/>
        <v>4637646.9846094586</v>
      </c>
      <c r="AP125" s="6">
        <f t="shared" ca="1" si="62"/>
        <v>2.319802854620101E-3</v>
      </c>
    </row>
    <row r="126" spans="1:42" x14ac:dyDescent="0.25">
      <c r="A126">
        <f t="shared" si="63"/>
        <v>87</v>
      </c>
      <c r="B126">
        <f t="shared" si="39"/>
        <v>3.6129626151070533</v>
      </c>
      <c r="C126">
        <f t="shared" ca="1" si="64"/>
        <v>2785926935.9668698</v>
      </c>
      <c r="D126">
        <f t="shared" si="42"/>
        <v>10000000</v>
      </c>
      <c r="E126">
        <f t="shared" ca="1" si="43"/>
        <v>10000000.001659131</v>
      </c>
      <c r="F126">
        <f t="shared" ca="1" si="65"/>
        <v>3673053657.2710705</v>
      </c>
      <c r="G126">
        <f t="shared" ca="1" si="40"/>
        <v>949.99696687551591</v>
      </c>
      <c r="H126">
        <f t="shared" ca="1" si="44"/>
        <v>9499969670.3313274</v>
      </c>
      <c r="I126">
        <f t="shared" ca="1" si="45"/>
        <v>791842534.52183199</v>
      </c>
      <c r="J126">
        <f t="shared" ca="1" si="74"/>
        <v>1101356748704.3516</v>
      </c>
      <c r="K126">
        <f t="shared" ca="1" si="46"/>
        <v>6.5190039201535048E-6</v>
      </c>
      <c r="L126">
        <f t="shared" ca="1" si="66"/>
        <v>-201209697418.2421</v>
      </c>
      <c r="M126">
        <f t="shared" ca="1" si="67"/>
        <v>-201209697461.09796</v>
      </c>
      <c r="N126">
        <f t="shared" ca="1" si="47"/>
        <v>201209697494.48132</v>
      </c>
      <c r="O126">
        <f t="shared" ca="1" si="48"/>
        <v>-201209697384.85876</v>
      </c>
      <c r="Q126">
        <f t="shared" si="68"/>
        <v>87</v>
      </c>
      <c r="R126" s="23">
        <f t="shared" si="76"/>
        <v>126.3941257834127</v>
      </c>
      <c r="S126">
        <f t="shared" ca="1" si="69"/>
        <v>1.7761573997756675E-2</v>
      </c>
      <c r="T126" s="23">
        <f t="shared" ca="1" si="70"/>
        <v>499999.99999954383</v>
      </c>
      <c r="U126">
        <f t="shared" ca="1" si="75"/>
        <v>353598.86791482248</v>
      </c>
      <c r="V126">
        <f t="shared" ca="1" si="71"/>
        <v>358.65238239326499</v>
      </c>
      <c r="W126">
        <f t="shared" ca="1" si="72"/>
        <v>5.9864988479329945E-12</v>
      </c>
      <c r="X126">
        <f t="shared" ca="1" si="49"/>
        <v>2.1168192154024958E-6</v>
      </c>
      <c r="Y126">
        <f t="shared" ca="1" si="50"/>
        <v>2.159370789632203E-4</v>
      </c>
      <c r="Z126">
        <f t="shared" ca="1" si="51"/>
        <v>146.9617995370445</v>
      </c>
      <c r="AA126">
        <f t="shared" ca="1" si="52"/>
        <v>487.02309248596674</v>
      </c>
      <c r="AB126" s="6">
        <f t="shared" ca="1" si="53"/>
        <v>-3.631025198406392E-9</v>
      </c>
      <c r="AC126">
        <f t="shared" ca="1" si="54"/>
        <v>70.940803941375449</v>
      </c>
      <c r="AD126">
        <f t="shared" ca="1" si="73"/>
        <v>28.084919379996826</v>
      </c>
      <c r="AE126">
        <f t="shared" ca="1" si="55"/>
        <v>1.2868206067936323</v>
      </c>
      <c r="AF126">
        <f t="shared" ca="1" si="56"/>
        <v>100.31254392816591</v>
      </c>
      <c r="AG126">
        <f t="shared" ca="1" si="41"/>
        <v>0.59823109085924275</v>
      </c>
      <c r="AI126">
        <f t="shared" ca="1" si="57"/>
        <v>8.1198188667415178E-5</v>
      </c>
      <c r="AK126">
        <f t="shared" ca="1" si="58"/>
        <v>6.8562338295664618E-2</v>
      </c>
      <c r="AM126">
        <f t="shared" ca="1" si="59"/>
        <v>11496.665213810942</v>
      </c>
      <c r="AN126" s="6">
        <f t="shared" si="60"/>
        <v>1.9495613999999998E-5</v>
      </c>
      <c r="AO126" s="6">
        <f t="shared" ca="1" si="61"/>
        <v>4637646.9846094595</v>
      </c>
      <c r="AP126" s="6">
        <f t="shared" ca="1" si="62"/>
        <v>2.319802854620101E-3</v>
      </c>
    </row>
    <row r="127" spans="1:42" x14ac:dyDescent="0.25">
      <c r="A127">
        <f t="shared" si="63"/>
        <v>88</v>
      </c>
      <c r="B127">
        <f t="shared" si="39"/>
        <v>3.6544909210278238</v>
      </c>
      <c r="C127">
        <f t="shared" ca="1" si="64"/>
        <v>2818810814.9815707</v>
      </c>
      <c r="D127">
        <f t="shared" si="42"/>
        <v>10000000</v>
      </c>
      <c r="E127">
        <f t="shared" ca="1" si="43"/>
        <v>10000000.001639778</v>
      </c>
      <c r="F127">
        <f t="shared" ca="1" si="65"/>
        <v>3673053871.6412067</v>
      </c>
      <c r="G127">
        <f t="shared" ca="1" si="40"/>
        <v>949.99696687569292</v>
      </c>
      <c r="H127">
        <f t="shared" ca="1" si="44"/>
        <v>9499969670.3147125</v>
      </c>
      <c r="I127">
        <f t="shared" ca="1" si="45"/>
        <v>791842534.52044702</v>
      </c>
      <c r="J127">
        <f t="shared" ca="1" si="74"/>
        <v>1114356688181.6641</v>
      </c>
      <c r="K127">
        <f t="shared" ca="1" si="46"/>
        <v>6.4429540724582916E-6</v>
      </c>
      <c r="L127">
        <f t="shared" ca="1" si="66"/>
        <v>-203584689835.82489</v>
      </c>
      <c r="M127">
        <f t="shared" ca="1" si="67"/>
        <v>-203584689878.68079</v>
      </c>
      <c r="N127">
        <f t="shared" ca="1" si="47"/>
        <v>203584689912.06415</v>
      </c>
      <c r="O127">
        <f t="shared" ca="1" si="48"/>
        <v>-203584689802.44153</v>
      </c>
      <c r="Q127">
        <f t="shared" si="68"/>
        <v>88</v>
      </c>
      <c r="R127" s="23">
        <f t="shared" si="76"/>
        <v>127.84693182690022</v>
      </c>
      <c r="S127">
        <f t="shared" ca="1" si="69"/>
        <v>1.8075288691087481E-2</v>
      </c>
      <c r="T127" s="23">
        <f t="shared" ca="1" si="70"/>
        <v>499999.99999953853</v>
      </c>
      <c r="U127">
        <f t="shared" ca="1" si="75"/>
        <v>353565.79280142509</v>
      </c>
      <c r="V127">
        <f t="shared" ca="1" si="71"/>
        <v>358.80516869336924</v>
      </c>
      <c r="W127">
        <f t="shared" ca="1" si="72"/>
        <v>6.0704344958653177E-12</v>
      </c>
      <c r="X127">
        <f t="shared" ca="1" si="49"/>
        <v>2.1462979851797403E-6</v>
      </c>
      <c r="Y127">
        <f t="shared" ca="1" si="50"/>
        <v>2.189442131534289E-4</v>
      </c>
      <c r="Z127">
        <f t="shared" ca="1" si="51"/>
        <v>146.99623793634856</v>
      </c>
      <c r="AA127">
        <f t="shared" ca="1" si="52"/>
        <v>487.018995359744</v>
      </c>
      <c r="AB127" s="6">
        <f t="shared" ca="1" si="53"/>
        <v>-3.6317515295271823E-9</v>
      </c>
      <c r="AC127">
        <f t="shared" ca="1" si="54"/>
        <v>70.91814633405329</v>
      </c>
      <c r="AD127">
        <f t="shared" ca="1" si="73"/>
        <v>28.062261772674649</v>
      </c>
      <c r="AE127">
        <f t="shared" ca="1" si="55"/>
        <v>1.3094782141158066</v>
      </c>
      <c r="AF127">
        <f t="shared" ca="1" si="56"/>
        <v>100.28988632084375</v>
      </c>
      <c r="AG127">
        <f t="shared" ca="1" si="41"/>
        <v>0.59835075784996095</v>
      </c>
      <c r="AI127">
        <f t="shared" ca="1" si="57"/>
        <v>8.121443112461619E-5</v>
      </c>
      <c r="AK127">
        <f t="shared" ca="1" si="58"/>
        <v>6.8577827978574646E-2</v>
      </c>
      <c r="AM127">
        <f t="shared" ca="1" si="59"/>
        <v>11494.365941500542</v>
      </c>
      <c r="AN127" s="6">
        <f t="shared" si="60"/>
        <v>1.9495613999999998E-5</v>
      </c>
      <c r="AO127" s="6">
        <f t="shared" ca="1" si="61"/>
        <v>4637646.9846094595</v>
      </c>
      <c r="AP127" s="6">
        <f t="shared" ca="1" si="62"/>
        <v>2.319802854620101E-3</v>
      </c>
    </row>
    <row r="128" spans="1:42" x14ac:dyDescent="0.25">
      <c r="A128">
        <f t="shared" si="63"/>
        <v>89</v>
      </c>
      <c r="B128">
        <f t="shared" si="39"/>
        <v>3.6960192269485947</v>
      </c>
      <c r="C128">
        <f t="shared" ca="1" si="64"/>
        <v>2851694693.9962144</v>
      </c>
      <c r="D128">
        <f t="shared" si="42"/>
        <v>10000000</v>
      </c>
      <c r="E128">
        <f t="shared" ca="1" si="43"/>
        <v>10000000.001620868</v>
      </c>
      <c r="F128">
        <f t="shared" ca="1" si="65"/>
        <v>3673054083.510529</v>
      </c>
      <c r="G128">
        <f t="shared" ca="1" si="40"/>
        <v>949.99696687586788</v>
      </c>
      <c r="H128">
        <f t="shared" ca="1" si="44"/>
        <v>9499969670.2984982</v>
      </c>
      <c r="I128">
        <f t="shared" ca="1" si="45"/>
        <v>791842534.51909554</v>
      </c>
      <c r="J128">
        <f t="shared" ca="1" si="74"/>
        <v>1127356627658.9453</v>
      </c>
      <c r="K128">
        <f t="shared" ca="1" si="46"/>
        <v>6.368658138995966E-6</v>
      </c>
      <c r="L128">
        <f t="shared" ca="1" si="66"/>
        <v>-205959682253.40359</v>
      </c>
      <c r="M128">
        <f t="shared" ca="1" si="67"/>
        <v>-205959682296.25946</v>
      </c>
      <c r="N128">
        <f t="shared" ca="1" si="47"/>
        <v>205959682329.64282</v>
      </c>
      <c r="O128">
        <f t="shared" ca="1" si="48"/>
        <v>-205959682220.02026</v>
      </c>
      <c r="Q128">
        <f t="shared" si="68"/>
        <v>89</v>
      </c>
      <c r="R128" s="23">
        <f t="shared" si="76"/>
        <v>129.29973787038773</v>
      </c>
      <c r="S128">
        <f t="shared" ca="1" si="69"/>
        <v>1.8393372167143401E-2</v>
      </c>
      <c r="T128" s="23">
        <f t="shared" ca="1" si="70"/>
        <v>499999.99999953323</v>
      </c>
      <c r="U128">
        <f t="shared" ca="1" si="75"/>
        <v>353532.24182299088</v>
      </c>
      <c r="V128">
        <f t="shared" ca="1" si="71"/>
        <v>358.96008138831854</v>
      </c>
      <c r="W128">
        <f t="shared" ca="1" si="72"/>
        <v>6.1566654167853901E-12</v>
      </c>
      <c r="X128">
        <f t="shared" ca="1" si="49"/>
        <v>2.1765797269502176E-6</v>
      </c>
      <c r="Y128">
        <f t="shared" ca="1" si="50"/>
        <v>2.2203325864973602E-4</v>
      </c>
      <c r="Z128">
        <f t="shared" ca="1" si="51"/>
        <v>147.03117181483529</v>
      </c>
      <c r="AA128">
        <f t="shared" ca="1" si="52"/>
        <v>487.01484124742836</v>
      </c>
      <c r="AB128" s="6">
        <f t="shared" ca="1" si="53"/>
        <v>-3.632487248903128E-9</v>
      </c>
      <c r="AC128">
        <f t="shared" ca="1" si="54"/>
        <v>70.895173197476126</v>
      </c>
      <c r="AD128">
        <f t="shared" ca="1" si="73"/>
        <v>28.039288636097499</v>
      </c>
      <c r="AE128">
        <f t="shared" ca="1" si="55"/>
        <v>1.3324513506929565</v>
      </c>
      <c r="AF128">
        <f t="shared" ca="1" si="56"/>
        <v>100.26691318426658</v>
      </c>
      <c r="AG128">
        <f t="shared" ca="1" si="41"/>
        <v>0.59847197160662446</v>
      </c>
      <c r="AI128">
        <f t="shared" ca="1" si="57"/>
        <v>8.1230883525089915E-5</v>
      </c>
      <c r="AK128">
        <f t="shared" ca="1" si="58"/>
        <v>6.8593540517818991E-2</v>
      </c>
      <c r="AM128">
        <f t="shared" ca="1" si="59"/>
        <v>11492.037887151573</v>
      </c>
      <c r="AN128" s="6">
        <f t="shared" si="60"/>
        <v>1.9495613999999998E-5</v>
      </c>
      <c r="AO128" s="6">
        <f t="shared" ca="1" si="61"/>
        <v>4637646.9846094586</v>
      </c>
      <c r="AP128" s="6">
        <f t="shared" ca="1" si="62"/>
        <v>2.319802854620101E-3</v>
      </c>
    </row>
    <row r="129" spans="1:42" x14ac:dyDescent="0.25">
      <c r="A129">
        <f t="shared" si="63"/>
        <v>90</v>
      </c>
      <c r="B129">
        <f t="shared" si="39"/>
        <v>3.7375475328693653</v>
      </c>
      <c r="C129">
        <f t="shared" ca="1" si="64"/>
        <v>2884578573.0108018</v>
      </c>
      <c r="D129">
        <f t="shared" si="42"/>
        <v>10000000</v>
      </c>
      <c r="E129">
        <f t="shared" ca="1" si="43"/>
        <v>10000000.001602391</v>
      </c>
      <c r="F129">
        <f t="shared" ca="1" si="65"/>
        <v>3673054292.9367127</v>
      </c>
      <c r="G129">
        <f t="shared" ca="1" si="40"/>
        <v>949.99696687604069</v>
      </c>
      <c r="H129">
        <f t="shared" ca="1" si="44"/>
        <v>9499969670.2826729</v>
      </c>
      <c r="I129">
        <f t="shared" ca="1" si="45"/>
        <v>791842534.51777649</v>
      </c>
      <c r="J129">
        <f t="shared" ca="1" si="74"/>
        <v>1140356567136.2109</v>
      </c>
      <c r="K129">
        <f t="shared" ca="1" si="46"/>
        <v>6.2960561364782279E-6</v>
      </c>
      <c r="L129">
        <f t="shared" ca="1" si="66"/>
        <v>-208334674670.97821</v>
      </c>
      <c r="M129">
        <f t="shared" ca="1" si="67"/>
        <v>-208334674713.83408</v>
      </c>
      <c r="N129">
        <f t="shared" ca="1" si="47"/>
        <v>208334674747.21744</v>
      </c>
      <c r="O129">
        <f t="shared" ca="1" si="48"/>
        <v>-208334674637.59482</v>
      </c>
      <c r="Q129">
        <f t="shared" si="68"/>
        <v>90</v>
      </c>
      <c r="R129" s="23">
        <f t="shared" si="76"/>
        <v>130.75254391387523</v>
      </c>
      <c r="S129">
        <f t="shared" ca="1" si="69"/>
        <v>1.8715943427164962E-2</v>
      </c>
      <c r="T129" s="23">
        <f t="shared" ca="1" si="70"/>
        <v>499999.99999952794</v>
      </c>
      <c r="U129">
        <f t="shared" ca="1" si="75"/>
        <v>353498.20177474862</v>
      </c>
      <c r="V129">
        <f t="shared" ca="1" si="71"/>
        <v>359.11717837930894</v>
      </c>
      <c r="W129">
        <f t="shared" ca="1" si="72"/>
        <v>6.2452856221319558E-12</v>
      </c>
      <c r="X129">
        <f t="shared" ca="1" si="49"/>
        <v>2.2076972369933386E-6</v>
      </c>
      <c r="Y129">
        <f t="shared" ca="1" si="50"/>
        <v>2.2520756100603931E-4</v>
      </c>
      <c r="Z129">
        <f t="shared" ca="1" si="51"/>
        <v>147.06661492154876</v>
      </c>
      <c r="AA129">
        <f t="shared" ca="1" si="52"/>
        <v>487.01062859784321</v>
      </c>
      <c r="AB129" s="6">
        <f t="shared" ca="1" si="53"/>
        <v>-3.6332326012311283E-9</v>
      </c>
      <c r="AC129">
        <f t="shared" ca="1" si="54"/>
        <v>70.871875936944946</v>
      </c>
      <c r="AD129">
        <f t="shared" ca="1" si="73"/>
        <v>28.015991375566319</v>
      </c>
      <c r="AE129">
        <f t="shared" ca="1" si="55"/>
        <v>1.3557486112241379</v>
      </c>
      <c r="AF129">
        <f t="shared" ca="1" si="56"/>
        <v>100.2436159237354</v>
      </c>
      <c r="AG129">
        <f t="shared" ca="1" si="41"/>
        <v>0.59859477244437409</v>
      </c>
      <c r="AI129">
        <f t="shared" ca="1" si="57"/>
        <v>8.1247551340829467E-5</v>
      </c>
      <c r="AK129">
        <f t="shared" ca="1" si="58"/>
        <v>6.8609482097434546E-2</v>
      </c>
      <c r="AM129">
        <f t="shared" ca="1" si="59"/>
        <v>11489.680312470075</v>
      </c>
      <c r="AN129" s="6">
        <f t="shared" si="60"/>
        <v>1.9495613999999998E-5</v>
      </c>
      <c r="AO129" s="6">
        <f t="shared" ca="1" si="61"/>
        <v>4637646.9846094595</v>
      </c>
      <c r="AP129" s="6">
        <f t="shared" ca="1" si="62"/>
        <v>2.319802854620101E-3</v>
      </c>
    </row>
    <row r="130" spans="1:42" x14ac:dyDescent="0.25">
      <c r="A130">
        <f t="shared" si="63"/>
        <v>91</v>
      </c>
      <c r="B130">
        <f t="shared" si="39"/>
        <v>3.7790758387901362</v>
      </c>
      <c r="C130">
        <f t="shared" ca="1" si="64"/>
        <v>2917462452.0253348</v>
      </c>
      <c r="D130">
        <f t="shared" si="42"/>
        <v>10000000</v>
      </c>
      <c r="E130">
        <f t="shared" ca="1" si="43"/>
        <v>10000000.001584331</v>
      </c>
      <c r="F130">
        <f t="shared" ca="1" si="65"/>
        <v>3673054499.975461</v>
      </c>
      <c r="G130">
        <f t="shared" ca="1" si="40"/>
        <v>949.99696687621167</v>
      </c>
      <c r="H130">
        <f t="shared" ca="1" si="44"/>
        <v>9499969670.2672253</v>
      </c>
      <c r="I130">
        <f t="shared" ca="1" si="45"/>
        <v>791842534.51648891</v>
      </c>
      <c r="J130">
        <f t="shared" ca="1" si="74"/>
        <v>1153356506613.4609</v>
      </c>
      <c r="K130">
        <f t="shared" ca="1" si="46"/>
        <v>6.2250907859987711E-6</v>
      </c>
      <c r="L130">
        <f t="shared" ca="1" si="66"/>
        <v>-210709667088.54889</v>
      </c>
      <c r="M130">
        <f t="shared" ca="1" si="67"/>
        <v>-210709667131.40475</v>
      </c>
      <c r="N130">
        <f t="shared" ca="1" si="47"/>
        <v>210709667164.78812</v>
      </c>
      <c r="O130">
        <f t="shared" ca="1" si="48"/>
        <v>-210709667055.1655</v>
      </c>
      <c r="Q130">
        <f t="shared" si="68"/>
        <v>91</v>
      </c>
      <c r="R130" s="23">
        <f t="shared" si="76"/>
        <v>132.20534995736273</v>
      </c>
      <c r="S130">
        <f t="shared" ca="1" si="69"/>
        <v>1.9043126332833615E-2</v>
      </c>
      <c r="T130" s="23">
        <f t="shared" ca="1" si="70"/>
        <v>499999.99999952264</v>
      </c>
      <c r="U130">
        <f t="shared" ca="1" si="75"/>
        <v>353463.65890537808</v>
      </c>
      <c r="V130">
        <f t="shared" ca="1" si="71"/>
        <v>359.2765199318651</v>
      </c>
      <c r="W130">
        <f t="shared" ca="1" si="72"/>
        <v>6.3363942843006373E-12</v>
      </c>
      <c r="X130">
        <f t="shared" ca="1" si="49"/>
        <v>2.2396851079960275E-6</v>
      </c>
      <c r="Y130">
        <f t="shared" ca="1" si="50"/>
        <v>2.2847064902806468E-4</v>
      </c>
      <c r="Z130">
        <f t="shared" ca="1" si="51"/>
        <v>147.10258157460908</v>
      </c>
      <c r="AA130">
        <f t="shared" ca="1" si="52"/>
        <v>487.00635579648792</v>
      </c>
      <c r="AB130" s="6">
        <f t="shared" ca="1" si="53"/>
        <v>-3.6339878408830543E-9</v>
      </c>
      <c r="AC130">
        <f t="shared" ca="1" si="54"/>
        <v>70.848245606722088</v>
      </c>
      <c r="AD130">
        <f t="shared" ca="1" si="73"/>
        <v>27.992361045343465</v>
      </c>
      <c r="AE130">
        <f t="shared" ca="1" si="55"/>
        <v>1.3793789414469921</v>
      </c>
      <c r="AF130">
        <f t="shared" ca="1" si="56"/>
        <v>100.21998559351255</v>
      </c>
      <c r="AG130">
        <f t="shared" ca="1" si="41"/>
        <v>0.59871920227235487</v>
      </c>
      <c r="AI130">
        <f t="shared" ca="1" si="57"/>
        <v>8.1264440260182897E-5</v>
      </c>
      <c r="AK130">
        <f t="shared" ca="1" si="58"/>
        <v>6.8625659157416946E-2</v>
      </c>
      <c r="AM130">
        <f t="shared" ca="1" si="59"/>
        <v>11487.29245028124</v>
      </c>
      <c r="AN130" s="6">
        <f t="shared" si="60"/>
        <v>1.9495613999999998E-5</v>
      </c>
      <c r="AO130" s="6">
        <f t="shared" ca="1" si="61"/>
        <v>4637646.9846094595</v>
      </c>
      <c r="AP130" s="6">
        <f t="shared" ca="1" si="62"/>
        <v>2.319802854620101E-3</v>
      </c>
    </row>
    <row r="131" spans="1:42" x14ac:dyDescent="0.25">
      <c r="A131">
        <f t="shared" si="63"/>
        <v>92</v>
      </c>
      <c r="B131">
        <f t="shared" si="39"/>
        <v>3.8206041447109067</v>
      </c>
      <c r="C131">
        <f t="shared" ca="1" si="64"/>
        <v>2950346331.039814</v>
      </c>
      <c r="D131">
        <f t="shared" si="42"/>
        <v>10000000</v>
      </c>
      <c r="E131">
        <f t="shared" ca="1" si="43"/>
        <v>10000000.001566669</v>
      </c>
      <c r="F131">
        <f t="shared" ca="1" si="65"/>
        <v>3673054704.6805935</v>
      </c>
      <c r="G131">
        <f t="shared" ca="1" si="40"/>
        <v>949.99696687638072</v>
      </c>
      <c r="H131">
        <f t="shared" ca="1" si="44"/>
        <v>9499969670.2521381</v>
      </c>
      <c r="I131">
        <f t="shared" ca="1" si="45"/>
        <v>791842534.51523137</v>
      </c>
      <c r="J131">
        <f t="shared" ca="1" si="74"/>
        <v>1166356446090.6875</v>
      </c>
      <c r="K131">
        <f t="shared" ca="1" si="46"/>
        <v>6.1557073623211589E-6</v>
      </c>
      <c r="L131">
        <f t="shared" ca="1" si="66"/>
        <v>-213084659506.11569</v>
      </c>
      <c r="M131">
        <f t="shared" ca="1" si="67"/>
        <v>-213084659548.97156</v>
      </c>
      <c r="N131">
        <f t="shared" ca="1" si="47"/>
        <v>213084659582.35492</v>
      </c>
      <c r="O131">
        <f t="shared" ca="1" si="48"/>
        <v>-213084659472.73236</v>
      </c>
      <c r="Q131">
        <f t="shared" si="68"/>
        <v>92</v>
      </c>
      <c r="R131" s="23">
        <f t="shared" si="76"/>
        <v>133.65815600085023</v>
      </c>
      <c r="S131">
        <f t="shared" ca="1" si="69"/>
        <v>1.9375049872501098E-2</v>
      </c>
      <c r="T131" s="23">
        <f t="shared" ca="1" si="70"/>
        <v>499999.99999951734</v>
      </c>
      <c r="U131">
        <f t="shared" ca="1" si="75"/>
        <v>353428.59888675745</v>
      </c>
      <c r="V131">
        <f t="shared" ca="1" si="71"/>
        <v>359.43816880532165</v>
      </c>
      <c r="W131">
        <f t="shared" ca="1" si="72"/>
        <v>6.430096093700129E-12</v>
      </c>
      <c r="X131">
        <f t="shared" ca="1" si="49"/>
        <v>2.272579853103649E-6</v>
      </c>
      <c r="Y131">
        <f t="shared" ca="1" si="50"/>
        <v>2.3182624742782164E-4</v>
      </c>
      <c r="Z131">
        <f t="shared" ca="1" si="51"/>
        <v>147.13908669271305</v>
      </c>
      <c r="AA131">
        <f t="shared" ca="1" si="52"/>
        <v>487.00202116206918</v>
      </c>
      <c r="AB131" s="6">
        <f t="shared" ca="1" si="53"/>
        <v>-3.6347532324219598E-9</v>
      </c>
      <c r="AC131">
        <f t="shared" ca="1" si="54"/>
        <v>70.8242728908033</v>
      </c>
      <c r="AD131">
        <f t="shared" ca="1" si="73"/>
        <v>27.968388329424666</v>
      </c>
      <c r="AE131">
        <f t="shared" ca="1" si="55"/>
        <v>1.4033516573657892</v>
      </c>
      <c r="AF131">
        <f t="shared" ca="1" si="56"/>
        <v>100.19601287759376</v>
      </c>
      <c r="AG131">
        <f t="shared" ca="1" si="41"/>
        <v>0.59884530467876462</v>
      </c>
      <c r="AI131">
        <f t="shared" ca="1" si="57"/>
        <v>8.1281556199396906E-5</v>
      </c>
      <c r="AK131">
        <f t="shared" ca="1" si="58"/>
        <v>6.8642078407888829E-2</v>
      </c>
      <c r="AM131">
        <f t="shared" ca="1" si="59"/>
        <v>11484.873503000876</v>
      </c>
      <c r="AN131" s="6">
        <f t="shared" si="60"/>
        <v>1.9495613999999998E-5</v>
      </c>
      <c r="AO131" s="6">
        <f t="shared" ca="1" si="61"/>
        <v>4637646.9846094595</v>
      </c>
      <c r="AP131" s="6">
        <f t="shared" ca="1" si="62"/>
        <v>2.319802854620101E-3</v>
      </c>
    </row>
    <row r="132" spans="1:42" x14ac:dyDescent="0.25">
      <c r="A132">
        <f t="shared" si="63"/>
        <v>93</v>
      </c>
      <c r="B132">
        <f t="shared" si="39"/>
        <v>3.8621324506316772</v>
      </c>
      <c r="C132">
        <f t="shared" ca="1" si="64"/>
        <v>2983230210.0542407</v>
      </c>
      <c r="D132">
        <f t="shared" si="42"/>
        <v>10000000</v>
      </c>
      <c r="E132">
        <f t="shared" ca="1" si="43"/>
        <v>10000000.001549402</v>
      </c>
      <c r="F132">
        <f t="shared" ca="1" si="65"/>
        <v>3673054907.1041298</v>
      </c>
      <c r="G132">
        <f t="shared" ca="1" si="40"/>
        <v>949.99696687654796</v>
      </c>
      <c r="H132">
        <f t="shared" ca="1" si="44"/>
        <v>9499969670.2374077</v>
      </c>
      <c r="I132">
        <f t="shared" ca="1" si="45"/>
        <v>791842534.51400363</v>
      </c>
      <c r="J132">
        <f t="shared" ca="1" si="74"/>
        <v>1179356385567.8906</v>
      </c>
      <c r="K132">
        <f t="shared" ca="1" si="46"/>
        <v>6.0878535531343667E-6</v>
      </c>
      <c r="L132">
        <f t="shared" ca="1" si="66"/>
        <v>-215459651923.67871</v>
      </c>
      <c r="M132">
        <f t="shared" ca="1" si="67"/>
        <v>-215459651966.53461</v>
      </c>
      <c r="N132">
        <f t="shared" ca="1" si="47"/>
        <v>215459651999.91797</v>
      </c>
      <c r="O132">
        <f t="shared" ca="1" si="48"/>
        <v>-215459651890.29535</v>
      </c>
      <c r="Q132">
        <f t="shared" si="68"/>
        <v>93</v>
      </c>
      <c r="R132" s="23">
        <f t="shared" si="76"/>
        <v>135.11096204433773</v>
      </c>
      <c r="S132">
        <f t="shared" ca="1" si="69"/>
        <v>1.9711848445803266E-2</v>
      </c>
      <c r="T132" s="23">
        <f t="shared" ca="1" si="70"/>
        <v>499999.99999951205</v>
      </c>
      <c r="U132">
        <f t="shared" ca="1" si="75"/>
        <v>353393.00678160106</v>
      </c>
      <c r="V132">
        <f t="shared" ca="1" si="71"/>
        <v>359.60219039124433</v>
      </c>
      <c r="W132">
        <f t="shared" ca="1" si="72"/>
        <v>6.5265016457436927E-12</v>
      </c>
      <c r="X132">
        <f t="shared" ca="1" si="49"/>
        <v>2.3064200403544311E-6</v>
      </c>
      <c r="Y132">
        <f t="shared" ca="1" si="50"/>
        <v>2.3527829053728144E-4</v>
      </c>
      <c r="Z132">
        <f t="shared" ca="1" si="51"/>
        <v>147.17614582882933</v>
      </c>
      <c r="AA132">
        <f t="shared" ca="1" si="52"/>
        <v>486.9976229427956</v>
      </c>
      <c r="AB132" s="6">
        <f t="shared" ca="1" si="53"/>
        <v>-3.6355290511531409E-9</v>
      </c>
      <c r="AC132">
        <f t="shared" ca="1" si="54"/>
        <v>70.799948082361809</v>
      </c>
      <c r="AD132">
        <f t="shared" ca="1" si="73"/>
        <v>27.944063520983189</v>
      </c>
      <c r="AE132">
        <f t="shared" ca="1" si="55"/>
        <v>1.427676465807268</v>
      </c>
      <c r="AF132">
        <f t="shared" ca="1" si="56"/>
        <v>100.17168806915227</v>
      </c>
      <c r="AG132">
        <f t="shared" ca="1" si="41"/>
        <v>0.5989731250216439</v>
      </c>
      <c r="AI132">
        <f t="shared" ca="1" si="57"/>
        <v>8.1298905314939761E-5</v>
      </c>
      <c r="AK132">
        <f t="shared" ca="1" si="58"/>
        <v>6.8658746844255242E-2</v>
      </c>
      <c r="AM132">
        <f t="shared" ca="1" si="59"/>
        <v>11482.42264100431</v>
      </c>
      <c r="AN132" s="6">
        <f t="shared" si="60"/>
        <v>1.9495613999999998E-5</v>
      </c>
      <c r="AO132" s="6">
        <f t="shared" ca="1" si="61"/>
        <v>4637646.9846094595</v>
      </c>
      <c r="AP132" s="6">
        <f t="shared" ca="1" si="62"/>
        <v>2.319802854620101E-3</v>
      </c>
    </row>
    <row r="133" spans="1:42" x14ac:dyDescent="0.25">
      <c r="A133">
        <f t="shared" si="63"/>
        <v>94</v>
      </c>
      <c r="B133">
        <f t="shared" si="39"/>
        <v>3.9036607565524482</v>
      </c>
      <c r="C133">
        <f t="shared" ca="1" si="64"/>
        <v>3016114089.0686169</v>
      </c>
      <c r="D133">
        <f t="shared" si="42"/>
        <v>10000000</v>
      </c>
      <c r="E133">
        <f t="shared" ca="1" si="43"/>
        <v>10000000.001532508</v>
      </c>
      <c r="F133">
        <f t="shared" ca="1" si="65"/>
        <v>3673055107.2963696</v>
      </c>
      <c r="G133">
        <f t="shared" ca="1" si="40"/>
        <v>949.99696687671326</v>
      </c>
      <c r="H133">
        <f t="shared" ca="1" si="44"/>
        <v>9499969670.223011</v>
      </c>
      <c r="I133">
        <f t="shared" ca="1" si="45"/>
        <v>791842534.51280355</v>
      </c>
      <c r="J133">
        <f t="shared" ca="1" si="74"/>
        <v>1192356325045.0703</v>
      </c>
      <c r="K133">
        <f t="shared" ca="1" si="46"/>
        <v>6.0214793275154525E-6</v>
      </c>
      <c r="L133">
        <f t="shared" ca="1" si="66"/>
        <v>-217834644341.23807</v>
      </c>
      <c r="M133">
        <f t="shared" ca="1" si="67"/>
        <v>-217834644384.09393</v>
      </c>
      <c r="N133">
        <f t="shared" ca="1" si="47"/>
        <v>217834644417.47729</v>
      </c>
      <c r="O133">
        <f t="shared" ca="1" si="48"/>
        <v>-217834644307.85474</v>
      </c>
      <c r="Q133">
        <f t="shared" si="68"/>
        <v>94</v>
      </c>
      <c r="R133" s="23">
        <f t="shared" si="76"/>
        <v>136.56376808782522</v>
      </c>
      <c r="S133">
        <f t="shared" ca="1" si="69"/>
        <v>2.0053662168197237E-2</v>
      </c>
      <c r="T133" s="23">
        <f t="shared" ca="1" si="70"/>
        <v>499999.99999950675</v>
      </c>
      <c r="U133">
        <f t="shared" ca="1" si="75"/>
        <v>353356.8670088136</v>
      </c>
      <c r="V133">
        <f t="shared" ca="1" si="71"/>
        <v>359.76865286153941</v>
      </c>
      <c r="W133">
        <f t="shared" ca="1" si="72"/>
        <v>6.6257278607361943E-12</v>
      </c>
      <c r="X133">
        <f t="shared" ca="1" si="49"/>
        <v>2.3412464385227504E-6</v>
      </c>
      <c r="Y133">
        <f t="shared" ca="1" si="50"/>
        <v>2.3883093718587444E-4</v>
      </c>
      <c r="Z133">
        <f t="shared" ca="1" si="51"/>
        <v>147.21377520627311</v>
      </c>
      <c r="AA133">
        <f t="shared" ca="1" si="52"/>
        <v>486.99315931241074</v>
      </c>
      <c r="AB133" s="6">
        <f t="shared" ca="1" si="53"/>
        <v>-3.6363155837129278E-9</v>
      </c>
      <c r="AC133">
        <f t="shared" ca="1" si="54"/>
        <v>70.775261061753682</v>
      </c>
      <c r="AD133">
        <f t="shared" ca="1" si="73"/>
        <v>27.919376500375051</v>
      </c>
      <c r="AE133">
        <f t="shared" ca="1" si="55"/>
        <v>1.452363486415406</v>
      </c>
      <c r="AF133">
        <f t="shared" ca="1" si="56"/>
        <v>100.14700104854414</v>
      </c>
      <c r="AG133">
        <f t="shared" ca="1" si="41"/>
        <v>0.59910271052588215</v>
      </c>
      <c r="AI133">
        <f t="shared" ca="1" si="57"/>
        <v>8.1316494016668019E-5</v>
      </c>
      <c r="AK133">
        <f t="shared" ca="1" si="58"/>
        <v>6.8675671763429327E-2</v>
      </c>
      <c r="AM133">
        <f t="shared" ca="1" si="59"/>
        <v>11479.939000884398</v>
      </c>
      <c r="AN133" s="6">
        <f t="shared" si="60"/>
        <v>1.9495613999999998E-5</v>
      </c>
      <c r="AO133" s="6">
        <f t="shared" ca="1" si="61"/>
        <v>4637646.9846094595</v>
      </c>
      <c r="AP133" s="6">
        <f t="shared" ca="1" si="62"/>
        <v>2.319802854620101E-3</v>
      </c>
    </row>
    <row r="134" spans="1:42" x14ac:dyDescent="0.25">
      <c r="A134">
        <f t="shared" si="63"/>
        <v>95</v>
      </c>
      <c r="B134">
        <f t="shared" si="39"/>
        <v>3.9451890624732187</v>
      </c>
      <c r="C134">
        <f t="shared" ca="1" si="64"/>
        <v>3048997968.082943</v>
      </c>
      <c r="D134">
        <f t="shared" si="42"/>
        <v>10000000</v>
      </c>
      <c r="E134">
        <f t="shared" ca="1" si="43"/>
        <v>10000000.001515983</v>
      </c>
      <c r="F134">
        <f t="shared" ca="1" si="65"/>
        <v>3673055305.3059673</v>
      </c>
      <c r="G134">
        <f t="shared" ca="1" si="40"/>
        <v>949.99696687687674</v>
      </c>
      <c r="H134">
        <f t="shared" ca="1" si="44"/>
        <v>9499969670.2089462</v>
      </c>
      <c r="I134">
        <f t="shared" ca="1" si="45"/>
        <v>791842534.51163125</v>
      </c>
      <c r="J134">
        <f t="shared" ca="1" si="74"/>
        <v>1205356264522.2422</v>
      </c>
      <c r="K134">
        <f t="shared" ca="1" si="46"/>
        <v>5.9565368129039999E-6</v>
      </c>
      <c r="L134">
        <f t="shared" ca="1" si="66"/>
        <v>-220209636758.79382</v>
      </c>
      <c r="M134">
        <f t="shared" ca="1" si="67"/>
        <v>-220209636801.64969</v>
      </c>
      <c r="N134">
        <f t="shared" ca="1" si="47"/>
        <v>220209636835.03305</v>
      </c>
      <c r="O134">
        <f t="shared" ca="1" si="48"/>
        <v>-220209636725.41043</v>
      </c>
      <c r="Q134">
        <f t="shared" si="68"/>
        <v>95</v>
      </c>
      <c r="R134" s="23">
        <f t="shared" si="76"/>
        <v>138.01657413131272</v>
      </c>
      <c r="S134">
        <f t="shared" ca="1" si="69"/>
        <v>2.0400637197112659E-2</v>
      </c>
      <c r="T134" s="23">
        <f t="shared" ca="1" si="70"/>
        <v>499999.99999950145</v>
      </c>
      <c r="U134">
        <f t="shared" ca="1" si="75"/>
        <v>353320.16330636182</v>
      </c>
      <c r="V134">
        <f t="shared" ca="1" si="71"/>
        <v>359.93762732707347</v>
      </c>
      <c r="W134">
        <f t="shared" ca="1" si="72"/>
        <v>6.7278984399553228E-12</v>
      </c>
      <c r="X134">
        <f t="shared" ca="1" si="49"/>
        <v>2.3771021755136315E-6</v>
      </c>
      <c r="Y134">
        <f t="shared" ca="1" si="50"/>
        <v>2.4248858685833936E-4</v>
      </c>
      <c r="Z134">
        <f t="shared" ca="1" si="51"/>
        <v>147.25199175736395</v>
      </c>
      <c r="AA134">
        <f t="shared" ca="1" si="52"/>
        <v>486.98862836594645</v>
      </c>
      <c r="AB134" s="6">
        <f t="shared" ca="1" si="53"/>
        <v>-3.6371131286983078E-9</v>
      </c>
      <c r="AC134">
        <f t="shared" ca="1" si="54"/>
        <v>70.750201272961846</v>
      </c>
      <c r="AD134">
        <f t="shared" ca="1" si="73"/>
        <v>27.894316711583215</v>
      </c>
      <c r="AE134">
        <f t="shared" ca="1" si="55"/>
        <v>1.4774232752072423</v>
      </c>
      <c r="AF134">
        <f t="shared" ca="1" si="56"/>
        <v>100.1219412597523</v>
      </c>
      <c r="AG134">
        <f t="shared" ca="1" si="41"/>
        <v>0.59923411038695262</v>
      </c>
      <c r="AI134">
        <f t="shared" ca="1" si="57"/>
        <v>8.133432898190654E-5</v>
      </c>
      <c r="AK134">
        <f t="shared" ca="1" si="58"/>
        <v>6.8692860781219778E-2</v>
      </c>
      <c r="AM134">
        <f t="shared" ca="1" si="59"/>
        <v>11477.421683589424</v>
      </c>
      <c r="AN134" s="6">
        <f t="shared" si="60"/>
        <v>1.9495613999999998E-5</v>
      </c>
      <c r="AO134" s="6">
        <f t="shared" ca="1" si="61"/>
        <v>4637646.9846094595</v>
      </c>
      <c r="AP134" s="6">
        <f t="shared" ca="1" si="62"/>
        <v>2.319802854620101E-3</v>
      </c>
    </row>
    <row r="135" spans="1:42" x14ac:dyDescent="0.25">
      <c r="A135">
        <f t="shared" si="63"/>
        <v>96</v>
      </c>
      <c r="B135">
        <f t="shared" si="39"/>
        <v>3.9867173683939892</v>
      </c>
      <c r="C135">
        <f t="shared" ca="1" si="64"/>
        <v>3081881847.0972204</v>
      </c>
      <c r="D135">
        <f t="shared" si="42"/>
        <v>10000000</v>
      </c>
      <c r="E135">
        <f t="shared" ca="1" si="43"/>
        <v>10000000.001499806</v>
      </c>
      <c r="F135">
        <f t="shared" ca="1" si="65"/>
        <v>3673055501.1800032</v>
      </c>
      <c r="G135">
        <f t="shared" ca="1" si="40"/>
        <v>949.99696687703852</v>
      </c>
      <c r="H135">
        <f t="shared" ca="1" si="44"/>
        <v>9499969670.1951962</v>
      </c>
      <c r="I135">
        <f t="shared" ca="1" si="45"/>
        <v>791842534.51048517</v>
      </c>
      <c r="J135">
        <f t="shared" ca="1" si="74"/>
        <v>1218356203999.3906</v>
      </c>
      <c r="K135">
        <f t="shared" ca="1" si="46"/>
        <v>5.8929801799530031E-6</v>
      </c>
      <c r="L135">
        <f t="shared" ca="1" si="66"/>
        <v>-222584629176.34604</v>
      </c>
      <c r="M135">
        <f t="shared" ca="1" si="67"/>
        <v>-222584629219.20193</v>
      </c>
      <c r="N135">
        <f t="shared" ca="1" si="47"/>
        <v>222584629252.5853</v>
      </c>
      <c r="O135">
        <f t="shared" ca="1" si="48"/>
        <v>-222584629142.96268</v>
      </c>
      <c r="Q135">
        <f t="shared" si="68"/>
        <v>96</v>
      </c>
      <c r="R135" s="23">
        <f t="shared" si="76"/>
        <v>139.46938017480025</v>
      </c>
      <c r="S135">
        <f t="shared" ca="1" si="69"/>
        <v>2.0752926081577205E-2</v>
      </c>
      <c r="T135" s="23">
        <f t="shared" ca="1" si="70"/>
        <v>499999.99999949615</v>
      </c>
      <c r="U135">
        <f t="shared" ca="1" si="75"/>
        <v>353282.87869145145</v>
      </c>
      <c r="V135">
        <f t="shared" ca="1" si="71"/>
        <v>360.10918800770742</v>
      </c>
      <c r="W135">
        <f t="shared" ca="1" si="72"/>
        <v>6.833144361607314E-12</v>
      </c>
      <c r="X135">
        <f t="shared" ca="1" si="49"/>
        <v>2.4140329105828923E-6</v>
      </c>
      <c r="Y135">
        <f t="shared" ca="1" si="50"/>
        <v>2.462558972629288E-4</v>
      </c>
      <c r="Z135">
        <f t="shared" ca="1" si="51"/>
        <v>147.29081316489084</v>
      </c>
      <c r="AA135">
        <f t="shared" ca="1" si="52"/>
        <v>486.98402811516911</v>
      </c>
      <c r="AB135" s="6">
        <f t="shared" ca="1" si="53"/>
        <v>-3.6379219973408786E-9</v>
      </c>
      <c r="AC135">
        <f t="shared" ca="1" si="54"/>
        <v>70.724757698344987</v>
      </c>
      <c r="AD135">
        <f t="shared" ca="1" si="73"/>
        <v>27.868873136966364</v>
      </c>
      <c r="AE135">
        <f t="shared" ca="1" si="55"/>
        <v>1.5028668498240922</v>
      </c>
      <c r="AF135">
        <f t="shared" ca="1" si="56"/>
        <v>100.09649768513545</v>
      </c>
      <c r="AG135">
        <f t="shared" ca="1" si="41"/>
        <v>0.59936737588194822</v>
      </c>
      <c r="AI135">
        <f t="shared" ca="1" si="57"/>
        <v>8.1352417170519351E-5</v>
      </c>
      <c r="AK135">
        <f t="shared" ca="1" si="58"/>
        <v>6.8710321850980971E-2</v>
      </c>
      <c r="AM135">
        <f t="shared" ca="1" si="59"/>
        <v>11474.869752430865</v>
      </c>
      <c r="AN135" s="6">
        <f t="shared" si="60"/>
        <v>1.9495613999999998E-5</v>
      </c>
      <c r="AO135" s="6">
        <f t="shared" ca="1" si="61"/>
        <v>4637646.9846094595</v>
      </c>
      <c r="AP135" s="6">
        <f t="shared" ca="1" si="62"/>
        <v>2.319802854620101E-3</v>
      </c>
    </row>
    <row r="136" spans="1:42" x14ac:dyDescent="0.25">
      <c r="A136">
        <f t="shared" si="63"/>
        <v>97</v>
      </c>
      <c r="B136">
        <f t="shared" si="39"/>
        <v>4.0282456743147605</v>
      </c>
      <c r="C136">
        <f t="shared" ca="1" si="64"/>
        <v>3114765726.1114507</v>
      </c>
      <c r="D136">
        <f t="shared" si="42"/>
        <v>10000000</v>
      </c>
      <c r="E136">
        <f t="shared" ca="1" si="43"/>
        <v>10000000.001483971</v>
      </c>
      <c r="F136">
        <f t="shared" ca="1" si="65"/>
        <v>3673055694.9640503</v>
      </c>
      <c r="G136">
        <f t="shared" ca="1" si="40"/>
        <v>949.99696687719859</v>
      </c>
      <c r="H136">
        <f t="shared" ca="1" si="44"/>
        <v>9499969670.1817532</v>
      </c>
      <c r="I136">
        <f t="shared" ca="1" si="45"/>
        <v>791842534.50936472</v>
      </c>
      <c r="J136">
        <f t="shared" ca="1" si="74"/>
        <v>1231356143476.5078</v>
      </c>
      <c r="K136">
        <f t="shared" ca="1" si="46"/>
        <v>5.8307655346734088E-6</v>
      </c>
      <c r="L136">
        <f t="shared" ca="1" si="66"/>
        <v>-224959621593.89487</v>
      </c>
      <c r="M136">
        <f t="shared" ca="1" si="67"/>
        <v>-224959621636.75073</v>
      </c>
      <c r="N136">
        <f t="shared" ca="1" si="47"/>
        <v>224959621670.13409</v>
      </c>
      <c r="O136">
        <f t="shared" ca="1" si="48"/>
        <v>-224959621560.51154</v>
      </c>
      <c r="Q136">
        <f t="shared" si="68"/>
        <v>97</v>
      </c>
      <c r="R136" s="23">
        <f t="shared" si="76"/>
        <v>140.92218621828772</v>
      </c>
      <c r="S136">
        <f t="shared" ca="1" si="69"/>
        <v>2.1110688137365219E-2</v>
      </c>
      <c r="T136" s="23">
        <f t="shared" ca="1" si="70"/>
        <v>499999.99999949086</v>
      </c>
      <c r="U136">
        <f t="shared" ca="1" si="75"/>
        <v>353244.99541777064</v>
      </c>
      <c r="V136">
        <f t="shared" ca="1" si="71"/>
        <v>360.2834124147418</v>
      </c>
      <c r="W136">
        <f t="shared" ca="1" si="72"/>
        <v>6.9416044207716647E-12</v>
      </c>
      <c r="X136">
        <f t="shared" ca="1" si="49"/>
        <v>2.452087021807463E-6</v>
      </c>
      <c r="Y136">
        <f t="shared" ca="1" si="50"/>
        <v>2.5013780345528776E-4</v>
      </c>
      <c r="Z136">
        <f t="shared" ca="1" si="51"/>
        <v>147.33025790663089</v>
      </c>
      <c r="AA136">
        <f t="shared" ca="1" si="52"/>
        <v>486.97935648369531</v>
      </c>
      <c r="AB136" s="6">
        <f t="shared" ca="1" si="53"/>
        <v>-3.6387425142288802E-9</v>
      </c>
      <c r="AC136">
        <f t="shared" ca="1" si="54"/>
        <v>70.69891883154294</v>
      </c>
      <c r="AD136">
        <f t="shared" ca="1" si="73"/>
        <v>27.843034270164321</v>
      </c>
      <c r="AE136">
        <f t="shared" ca="1" si="55"/>
        <v>1.5287057166261357</v>
      </c>
      <c r="AF136">
        <f t="shared" ca="1" si="56"/>
        <v>100.0706588183334</v>
      </c>
      <c r="AG136">
        <f t="shared" ca="1" si="41"/>
        <v>0.59950256048854178</v>
      </c>
      <c r="AI136">
        <f t="shared" ca="1" si="57"/>
        <v>8.1370765841056264E-5</v>
      </c>
      <c r="AK136">
        <f t="shared" ca="1" si="58"/>
        <v>6.8728063283636634E-2</v>
      </c>
      <c r="AM136">
        <f t="shared" ca="1" si="59"/>
        <v>11472.282230949837</v>
      </c>
      <c r="AN136" s="6">
        <f t="shared" si="60"/>
        <v>1.9495613999999998E-5</v>
      </c>
      <c r="AO136" s="6">
        <f t="shared" ca="1" si="61"/>
        <v>4637646.9846094595</v>
      </c>
      <c r="AP136" s="6">
        <f t="shared" ca="1" si="62"/>
        <v>2.319802854620101E-3</v>
      </c>
    </row>
    <row r="137" spans="1:42" x14ac:dyDescent="0.25">
      <c r="A137">
        <f t="shared" si="63"/>
        <v>98</v>
      </c>
      <c r="B137">
        <f t="shared" si="39"/>
        <v>4.0697739802355315</v>
      </c>
      <c r="C137">
        <f t="shared" ca="1" si="64"/>
        <v>3147649605.1256342</v>
      </c>
      <c r="D137">
        <f t="shared" si="42"/>
        <v>10000000</v>
      </c>
      <c r="E137">
        <f t="shared" ca="1" si="43"/>
        <v>10000000.001468468</v>
      </c>
      <c r="F137">
        <f t="shared" ca="1" si="65"/>
        <v>3673055886.7022386</v>
      </c>
      <c r="G137">
        <f t="shared" ca="1" si="40"/>
        <v>949.99696687735684</v>
      </c>
      <c r="H137">
        <f t="shared" ca="1" si="44"/>
        <v>9499969670.1686096</v>
      </c>
      <c r="I137">
        <f t="shared" ca="1" si="45"/>
        <v>791842534.50826919</v>
      </c>
      <c r="J137">
        <f t="shared" ca="1" si="74"/>
        <v>1244356082953.625</v>
      </c>
      <c r="K137">
        <f t="shared" ca="1" si="46"/>
        <v>5.7698508173393674E-6</v>
      </c>
      <c r="L137">
        <f t="shared" ca="1" si="66"/>
        <v>-227334614011.44031</v>
      </c>
      <c r="M137">
        <f t="shared" ca="1" si="67"/>
        <v>-227334614054.2962</v>
      </c>
      <c r="N137">
        <f t="shared" ca="1" si="47"/>
        <v>227334614087.67957</v>
      </c>
      <c r="O137">
        <f t="shared" ca="1" si="48"/>
        <v>-227334613978.05695</v>
      </c>
      <c r="Q137">
        <f t="shared" si="68"/>
        <v>98</v>
      </c>
      <c r="R137" s="23">
        <f t="shared" si="76"/>
        <v>142.37499226177525</v>
      </c>
      <c r="S137">
        <f t="shared" ca="1" si="69"/>
        <v>2.1474089849929757E-2</v>
      </c>
      <c r="T137" s="23">
        <f t="shared" ca="1" si="70"/>
        <v>499999.99999948556</v>
      </c>
      <c r="U137">
        <f t="shared" ca="1" si="75"/>
        <v>353206.49492953834</v>
      </c>
      <c r="V137">
        <f t="shared" ca="1" si="71"/>
        <v>360.46038154687153</v>
      </c>
      <c r="W137">
        <f t="shared" ca="1" si="72"/>
        <v>7.0534258179399046E-12</v>
      </c>
      <c r="X137">
        <f t="shared" ca="1" si="49"/>
        <v>2.4913158104000657E-6</v>
      </c>
      <c r="Y137">
        <f t="shared" ca="1" si="50"/>
        <v>2.5413953868062752E-4</v>
      </c>
      <c r="Z137">
        <f t="shared" ca="1" si="51"/>
        <v>147.37034530319511</v>
      </c>
      <c r="AA137">
        <f t="shared" ca="1" si="52"/>
        <v>486.97461130174395</v>
      </c>
      <c r="AB137" s="6">
        <f t="shared" ca="1" si="53"/>
        <v>-3.639575018081497E-9</v>
      </c>
      <c r="AC137">
        <f t="shared" ca="1" si="54"/>
        <v>70.672672648375453</v>
      </c>
      <c r="AD137">
        <f t="shared" ca="1" si="73"/>
        <v>27.816788086996834</v>
      </c>
      <c r="AE137">
        <f t="shared" ca="1" si="55"/>
        <v>1.5549518997936247</v>
      </c>
      <c r="AF137">
        <f t="shared" ca="1" si="56"/>
        <v>100.04441263516591</v>
      </c>
      <c r="AG137">
        <f t="shared" ca="1" si="41"/>
        <v>0.5996397200125555</v>
      </c>
      <c r="AI137">
        <f t="shared" ca="1" si="57"/>
        <v>8.1389382568067899E-5</v>
      </c>
      <c r="AK137">
        <f t="shared" ca="1" si="58"/>
        <v>6.8746093769199754E-2</v>
      </c>
      <c r="AM137">
        <f t="shared" ca="1" si="59"/>
        <v>11469.658100630193</v>
      </c>
      <c r="AN137" s="6">
        <f t="shared" si="60"/>
        <v>1.9495613999999998E-5</v>
      </c>
      <c r="AO137" s="6">
        <f t="shared" ca="1" si="61"/>
        <v>4637646.9846094586</v>
      </c>
      <c r="AP137" s="6">
        <f t="shared" ca="1" si="62"/>
        <v>2.319802854620101E-3</v>
      </c>
    </row>
    <row r="138" spans="1:42" x14ac:dyDescent="0.25">
      <c r="A138">
        <f t="shared" si="63"/>
        <v>99</v>
      </c>
      <c r="B138">
        <f t="shared" si="39"/>
        <v>4.1113022861563016</v>
      </c>
      <c r="C138">
        <f t="shared" ca="1" si="64"/>
        <v>3180533484.1397715</v>
      </c>
      <c r="D138">
        <f t="shared" si="42"/>
        <v>10000000</v>
      </c>
      <c r="E138">
        <f t="shared" ca="1" si="43"/>
        <v>10000000.001453286</v>
      </c>
      <c r="F138">
        <f t="shared" ca="1" si="65"/>
        <v>3673056076.437315</v>
      </c>
      <c r="G138">
        <f t="shared" ca="1" si="40"/>
        <v>949.9969668775135</v>
      </c>
      <c r="H138">
        <f t="shared" ca="1" si="44"/>
        <v>9499969670.1557522</v>
      </c>
      <c r="I138">
        <f t="shared" ca="1" si="45"/>
        <v>791842534.50719738</v>
      </c>
      <c r="J138">
        <f t="shared" ca="1" si="74"/>
        <v>1257356022430.7109</v>
      </c>
      <c r="K138">
        <f t="shared" ca="1" si="46"/>
        <v>5.7101957076654797E-6</v>
      </c>
      <c r="L138">
        <f t="shared" ca="1" si="66"/>
        <v>-229709606428.98242</v>
      </c>
      <c r="M138">
        <f t="shared" ca="1" si="67"/>
        <v>-229709606471.83832</v>
      </c>
      <c r="N138">
        <f t="shared" ca="1" si="47"/>
        <v>229709606505.22168</v>
      </c>
      <c r="O138">
        <f t="shared" ca="1" si="48"/>
        <v>-229709606395.59906</v>
      </c>
      <c r="Q138">
        <f t="shared" si="68"/>
        <v>99</v>
      </c>
      <c r="R138" s="23">
        <f t="shared" si="76"/>
        <v>143.82779830526275</v>
      </c>
      <c r="S138">
        <f t="shared" ca="1" si="69"/>
        <v>2.1843305307614098E-2</v>
      </c>
      <c r="T138" s="23">
        <f t="shared" ca="1" si="70"/>
        <v>499999.99999948026</v>
      </c>
      <c r="U138">
        <f t="shared" ca="1" si="75"/>
        <v>353167.3578120686</v>
      </c>
      <c r="V138">
        <f t="shared" ca="1" si="71"/>
        <v>360.64018010086397</v>
      </c>
      <c r="W138">
        <f t="shared" ca="1" si="72"/>
        <v>7.1687648013107636E-12</v>
      </c>
      <c r="X138">
        <f t="shared" ca="1" si="49"/>
        <v>2.5317737236550814E-6</v>
      </c>
      <c r="Y138">
        <f t="shared" ca="1" si="50"/>
        <v>2.5826665711647104E-4</v>
      </c>
      <c r="Z138">
        <f t="shared" ca="1" si="51"/>
        <v>147.4110955695015</v>
      </c>
      <c r="AA138">
        <f t="shared" ca="1" si="52"/>
        <v>486.9697903004955</v>
      </c>
      <c r="AB138" s="6">
        <f t="shared" ca="1" si="53"/>
        <v>-3.6404198625800325E-9</v>
      </c>
      <c r="AC138">
        <f t="shared" ca="1" si="54"/>
        <v>70.646006575554097</v>
      </c>
      <c r="AD138">
        <f t="shared" ca="1" si="73"/>
        <v>27.790122014175477</v>
      </c>
      <c r="AE138">
        <f t="shared" ca="1" si="55"/>
        <v>1.5816179726149808</v>
      </c>
      <c r="AF138">
        <f t="shared" ca="1" si="56"/>
        <v>100.01774656234456</v>
      </c>
      <c r="AG138">
        <f t="shared" ca="1" si="41"/>
        <v>0.59977891272490225</v>
      </c>
      <c r="AI138">
        <f t="shared" ca="1" si="57"/>
        <v>8.1408275260692797E-5</v>
      </c>
      <c r="AK138">
        <f t="shared" ca="1" si="58"/>
        <v>6.876442239992421E-2</v>
      </c>
      <c r="AM138">
        <f t="shared" ca="1" si="59"/>
        <v>11466.996298444679</v>
      </c>
      <c r="AN138" s="6">
        <f t="shared" si="60"/>
        <v>1.9495613999999998E-5</v>
      </c>
      <c r="AO138" s="6">
        <f t="shared" ca="1" si="61"/>
        <v>4637646.9846094586</v>
      </c>
      <c r="AP138" s="6">
        <f t="shared" ca="1" si="62"/>
        <v>2.319802854620101E-3</v>
      </c>
    </row>
    <row r="139" spans="1:42" x14ac:dyDescent="0.25">
      <c r="A139">
        <f t="shared" si="63"/>
        <v>100</v>
      </c>
      <c r="B139">
        <f t="shared" si="39"/>
        <v>4.1528305920770725</v>
      </c>
      <c r="C139">
        <f t="shared" ca="1" si="64"/>
        <v>3213417363.1538649</v>
      </c>
      <c r="D139">
        <f t="shared" si="42"/>
        <v>10000000</v>
      </c>
      <c r="E139">
        <f t="shared" ca="1" si="43"/>
        <v>10000000.001438415</v>
      </c>
      <c r="F139">
        <f t="shared" ca="1" si="65"/>
        <v>3673056264.2106996</v>
      </c>
      <c r="G139">
        <f t="shared" ca="1" si="40"/>
        <v>949.99696687766857</v>
      </c>
      <c r="H139">
        <f t="shared" ca="1" si="44"/>
        <v>9499969670.1431751</v>
      </c>
      <c r="I139">
        <f t="shared" ca="1" si="45"/>
        <v>791842534.50614905</v>
      </c>
      <c r="J139">
        <f t="shared" ca="1" si="74"/>
        <v>1270355961907.7813</v>
      </c>
      <c r="K139">
        <f t="shared" ca="1" si="46"/>
        <v>5.6517615358051782E-6</v>
      </c>
      <c r="L139">
        <f t="shared" ca="1" si="66"/>
        <v>-232084598846.52136</v>
      </c>
      <c r="M139">
        <f t="shared" ca="1" si="67"/>
        <v>-232084598889.37726</v>
      </c>
      <c r="N139">
        <f t="shared" ca="1" si="47"/>
        <v>232084598922.76062</v>
      </c>
      <c r="O139">
        <f t="shared" ca="1" si="48"/>
        <v>-232084598813.138</v>
      </c>
      <c r="Q139">
        <f t="shared" si="68"/>
        <v>100</v>
      </c>
      <c r="R139" s="23">
        <f t="shared" si="76"/>
        <v>145.28060434875024</v>
      </c>
      <c r="S139">
        <f t="shared" ca="1" si="69"/>
        <v>2.2218516667904222E-2</v>
      </c>
      <c r="T139" s="23">
        <f t="shared" ca="1" si="70"/>
        <v>499999.99999947497</v>
      </c>
      <c r="U139">
        <f t="shared" ca="1" si="75"/>
        <v>353127.56373853079</v>
      </c>
      <c r="V139">
        <f t="shared" ca="1" si="71"/>
        <v>360.82289669830283</v>
      </c>
      <c r="W139">
        <f t="shared" ca="1" si="72"/>
        <v>7.2877873686399388E-12</v>
      </c>
      <c r="X139">
        <f t="shared" ca="1" si="49"/>
        <v>2.5735185985322598E-6</v>
      </c>
      <c r="Y139">
        <f t="shared" ca="1" si="50"/>
        <v>2.6252505872066711E-4</v>
      </c>
      <c r="Z139">
        <f t="shared" ca="1" si="51"/>
        <v>147.45252987020945</v>
      </c>
      <c r="AA139">
        <f t="shared" ca="1" si="52"/>
        <v>486.9648911060209</v>
      </c>
      <c r="AB139" s="6">
        <f t="shared" ca="1" si="53"/>
        <v>-3.6412774172610389E-9</v>
      </c>
      <c r="AC139">
        <f t="shared" ca="1" si="54"/>
        <v>70.61890745700785</v>
      </c>
      <c r="AD139">
        <f t="shared" ca="1" si="73"/>
        <v>27.763022895629224</v>
      </c>
      <c r="AE139">
        <f t="shared" ca="1" si="55"/>
        <v>1.6087170911612327</v>
      </c>
      <c r="AF139">
        <f t="shared" ca="1" si="56"/>
        <v>99.990647443798309</v>
      </c>
      <c r="AG139">
        <f t="shared" ca="1" si="41"/>
        <v>0.59992019950873232</v>
      </c>
      <c r="AI139">
        <f t="shared" ca="1" si="57"/>
        <v>8.142745218262971E-5</v>
      </c>
      <c r="AK139">
        <f t="shared" ca="1" si="58"/>
        <v>6.8783058695238014E-2</v>
      </c>
      <c r="AM139">
        <f t="shared" ca="1" si="59"/>
        <v>11464.295714219437</v>
      </c>
      <c r="AN139" s="6">
        <f t="shared" si="60"/>
        <v>1.9495613999999998E-5</v>
      </c>
      <c r="AO139" s="6">
        <f t="shared" ca="1" si="61"/>
        <v>4637646.9846094595</v>
      </c>
      <c r="AP139" s="6">
        <f t="shared" ca="1" si="62"/>
        <v>2.319802854620101E-3</v>
      </c>
    </row>
    <row r="140" spans="1:42" x14ac:dyDescent="0.25">
      <c r="A140">
        <f t="shared" si="63"/>
        <v>101</v>
      </c>
      <c r="B140">
        <f t="shared" si="39"/>
        <v>4.1943588979978434</v>
      </c>
      <c r="C140">
        <f t="shared" ca="1" si="64"/>
        <v>3246301242.1679149</v>
      </c>
      <c r="D140">
        <f t="shared" si="42"/>
        <v>10000000</v>
      </c>
      <c r="E140">
        <f t="shared" ca="1" si="43"/>
        <v>10000000.001423843</v>
      </c>
      <c r="F140">
        <f t="shared" ca="1" si="65"/>
        <v>3673056450.062542</v>
      </c>
      <c r="G140">
        <f t="shared" ca="1" si="40"/>
        <v>949.99696687782205</v>
      </c>
      <c r="H140">
        <f t="shared" ca="1" si="44"/>
        <v>9499969670.130867</v>
      </c>
      <c r="I140">
        <f t="shared" ca="1" si="45"/>
        <v>791842534.50512326</v>
      </c>
      <c r="J140">
        <f t="shared" ca="1" si="74"/>
        <v>1283355901384.8359</v>
      </c>
      <c r="K140">
        <f t="shared" ca="1" si="46"/>
        <v>5.5945111987592114E-6</v>
      </c>
      <c r="L140">
        <f t="shared" ca="1" si="66"/>
        <v>-234459591264.05716</v>
      </c>
      <c r="M140">
        <f t="shared" ca="1" si="67"/>
        <v>-234459591306.91306</v>
      </c>
      <c r="N140">
        <f t="shared" ca="1" si="47"/>
        <v>234459591340.29642</v>
      </c>
      <c r="O140">
        <f t="shared" ca="1" si="48"/>
        <v>-234459591230.6738</v>
      </c>
      <c r="Q140">
        <f t="shared" si="68"/>
        <v>101</v>
      </c>
      <c r="R140" s="23">
        <f t="shared" si="76"/>
        <v>146.73341039223774</v>
      </c>
      <c r="S140">
        <f t="shared" ca="1" si="69"/>
        <v>2.2599914659780517E-2</v>
      </c>
      <c r="T140" s="23">
        <f t="shared" ca="1" si="70"/>
        <v>499999.99999946967</v>
      </c>
      <c r="U140">
        <f t="shared" ca="1" si="75"/>
        <v>353087.09141255042</v>
      </c>
      <c r="V140">
        <f t="shared" ca="1" si="71"/>
        <v>361.00862412988494</v>
      </c>
      <c r="W140">
        <f t="shared" ca="1" si="72"/>
        <v>7.4106700351654697E-12</v>
      </c>
      <c r="X140">
        <f t="shared" ca="1" si="49"/>
        <v>2.6166119281347186E-6</v>
      </c>
      <c r="Y140">
        <f t="shared" ca="1" si="50"/>
        <v>2.6692101641485541E-4</v>
      </c>
      <c r="Z140">
        <f t="shared" ca="1" si="51"/>
        <v>147.49467037948477</v>
      </c>
      <c r="AA140">
        <f t="shared" ca="1" si="52"/>
        <v>486.95991123274064</v>
      </c>
      <c r="AB140" s="6">
        <f t="shared" ca="1" si="53"/>
        <v>-3.6421480684770109E-9</v>
      </c>
      <c r="AC140">
        <f t="shared" ca="1" si="54"/>
        <v>70.591361517601413</v>
      </c>
      <c r="AD140">
        <f t="shared" ca="1" si="73"/>
        <v>27.73547695622279</v>
      </c>
      <c r="AE140">
        <f t="shared" ca="1" si="55"/>
        <v>1.6362630305676684</v>
      </c>
      <c r="AF140">
        <f t="shared" ca="1" si="56"/>
        <v>99.963101504391872</v>
      </c>
      <c r="AG140">
        <f t="shared" ca="1" si="41"/>
        <v>0.60006364401771506</v>
      </c>
      <c r="AI140">
        <f t="shared" ca="1" si="57"/>
        <v>8.1446921973621274E-5</v>
      </c>
      <c r="AK140">
        <f t="shared" ca="1" si="58"/>
        <v>6.8802012628624371E-2</v>
      </c>
      <c r="AM140">
        <f t="shared" ca="1" si="59"/>
        <v>11461.555187800359</v>
      </c>
      <c r="AN140" s="6">
        <f t="shared" si="60"/>
        <v>1.9495613999999998E-5</v>
      </c>
      <c r="AO140" s="6">
        <f t="shared" ca="1" si="61"/>
        <v>4637646.9846094595</v>
      </c>
      <c r="AP140" s="6">
        <f t="shared" ca="1" si="62"/>
        <v>2.319802854620101E-3</v>
      </c>
    </row>
    <row r="141" spans="1:42" x14ac:dyDescent="0.25">
      <c r="A141">
        <f t="shared" si="63"/>
        <v>102</v>
      </c>
      <c r="B141">
        <f t="shared" si="39"/>
        <v>4.2358872039186135</v>
      </c>
      <c r="C141">
        <f t="shared" ca="1" si="64"/>
        <v>3279185121.1819215</v>
      </c>
      <c r="D141">
        <f t="shared" si="42"/>
        <v>10000000</v>
      </c>
      <c r="E141">
        <f t="shared" ca="1" si="43"/>
        <v>10000000.001409566</v>
      </c>
      <c r="F141">
        <f t="shared" ca="1" si="65"/>
        <v>3673056634.0317712</v>
      </c>
      <c r="G141">
        <f t="shared" ca="1" si="40"/>
        <v>949.99696687797405</v>
      </c>
      <c r="H141">
        <f t="shared" ca="1" si="44"/>
        <v>9499969670.118824</v>
      </c>
      <c r="I141">
        <f t="shared" ca="1" si="45"/>
        <v>791842534.5041194</v>
      </c>
      <c r="J141">
        <f t="shared" ca="1" si="74"/>
        <v>1296355840861.8672</v>
      </c>
      <c r="K141">
        <f t="shared" ca="1" si="46"/>
        <v>5.5384090818133808E-6</v>
      </c>
      <c r="L141">
        <f t="shared" ca="1" si="66"/>
        <v>-236834583681.58984</v>
      </c>
      <c r="M141">
        <f t="shared" ca="1" si="67"/>
        <v>-236834583724.44571</v>
      </c>
      <c r="N141">
        <f t="shared" ca="1" si="47"/>
        <v>236834583757.82907</v>
      </c>
      <c r="O141">
        <f t="shared" ca="1" si="48"/>
        <v>-236834583648.20645</v>
      </c>
      <c r="Q141">
        <f t="shared" si="68"/>
        <v>102</v>
      </c>
      <c r="R141" s="23">
        <f t="shared" si="76"/>
        <v>148.18621643572524</v>
      </c>
      <c r="S141">
        <f t="shared" ca="1" si="69"/>
        <v>2.2987699125561846E-2</v>
      </c>
      <c r="T141" s="23">
        <f t="shared" ca="1" si="70"/>
        <v>499999.99999946437</v>
      </c>
      <c r="U141">
        <f t="shared" ca="1" si="75"/>
        <v>353045.9185062566</v>
      </c>
      <c r="V141">
        <f t="shared" ca="1" si="71"/>
        <v>361.19745961891925</v>
      </c>
      <c r="W141">
        <f t="shared" ca="1" si="72"/>
        <v>7.5376006749573042E-12</v>
      </c>
      <c r="X141">
        <f t="shared" ca="1" si="49"/>
        <v>2.6611191536236811E-6</v>
      </c>
      <c r="Y141">
        <f t="shared" ca="1" si="50"/>
        <v>2.7146120586273725E-4</v>
      </c>
      <c r="Z141">
        <f t="shared" ca="1" si="51"/>
        <v>147.53754034550576</v>
      </c>
      <c r="AA141">
        <f t="shared" ca="1" si="52"/>
        <v>486.95484807636865</v>
      </c>
      <c r="AB141" s="6">
        <f t="shared" ca="1" si="53"/>
        <v>-3.643032220430894E-9</v>
      </c>
      <c r="AC141">
        <f t="shared" ca="1" si="54"/>
        <v>70.56335432400131</v>
      </c>
      <c r="AD141">
        <f t="shared" ca="1" si="73"/>
        <v>27.707469762622686</v>
      </c>
      <c r="AE141">
        <f t="shared" ca="1" si="55"/>
        <v>1.6642702241677703</v>
      </c>
      <c r="AF141">
        <f t="shared" ca="1" si="56"/>
        <v>99.935094310791769</v>
      </c>
      <c r="AG141">
        <f t="shared" ca="1" si="41"/>
        <v>0.60020931284647694</v>
      </c>
      <c r="AI141">
        <f t="shared" ca="1" si="57"/>
        <v>8.1466693672587601E-5</v>
      </c>
      <c r="AK141">
        <f t="shared" ca="1" si="58"/>
        <v>6.882129465663521E-2</v>
      </c>
      <c r="AM141">
        <f t="shared" ca="1" si="59"/>
        <v>11458.773506003256</v>
      </c>
      <c r="AN141" s="6">
        <f t="shared" si="60"/>
        <v>1.9495613999999998E-5</v>
      </c>
      <c r="AO141" s="6">
        <f t="shared" ca="1" si="61"/>
        <v>4637646.9846094595</v>
      </c>
      <c r="AP141" s="6">
        <f t="shared" ca="1" si="62"/>
        <v>2.319802854620101E-3</v>
      </c>
    </row>
    <row r="142" spans="1:42" x14ac:dyDescent="0.25">
      <c r="A142">
        <f t="shared" si="63"/>
        <v>103</v>
      </c>
      <c r="B142">
        <f t="shared" si="39"/>
        <v>4.2774155098393845</v>
      </c>
      <c r="C142">
        <f t="shared" ca="1" si="64"/>
        <v>3312069000.1958871</v>
      </c>
      <c r="D142">
        <f t="shared" si="42"/>
        <v>10000000</v>
      </c>
      <c r="E142">
        <f t="shared" ca="1" si="43"/>
        <v>10000000.00139557</v>
      </c>
      <c r="F142">
        <f t="shared" ca="1" si="65"/>
        <v>3673056816.1561456</v>
      </c>
      <c r="G142">
        <f t="shared" ca="1" si="40"/>
        <v>949.99696687812445</v>
      </c>
      <c r="H142">
        <f t="shared" ca="1" si="44"/>
        <v>9499969670.1070328</v>
      </c>
      <c r="I142">
        <f t="shared" ca="1" si="45"/>
        <v>791842534.50313652</v>
      </c>
      <c r="J142">
        <f t="shared" ca="1" si="74"/>
        <v>1309355780338.8984</v>
      </c>
      <c r="K142">
        <f t="shared" ca="1" si="46"/>
        <v>5.4834209846561826E-6</v>
      </c>
      <c r="L142">
        <f t="shared" ca="1" si="66"/>
        <v>-239209576099.11954</v>
      </c>
      <c r="M142">
        <f t="shared" ca="1" si="67"/>
        <v>-239209576141.97543</v>
      </c>
      <c r="N142">
        <f t="shared" ca="1" si="47"/>
        <v>239209576175.3588</v>
      </c>
      <c r="O142">
        <f t="shared" ca="1" si="48"/>
        <v>-239209576065.73618</v>
      </c>
      <c r="Q142">
        <f t="shared" si="68"/>
        <v>103</v>
      </c>
      <c r="R142" s="23">
        <f t="shared" si="76"/>
        <v>149.63902247921274</v>
      </c>
      <c r="S142">
        <f t="shared" ca="1" si="69"/>
        <v>2.3382079606011633E-2</v>
      </c>
      <c r="T142" s="23">
        <f t="shared" ca="1" si="70"/>
        <v>499999.99999945908</v>
      </c>
      <c r="U142">
        <f t="shared" ca="1" si="75"/>
        <v>353004.0215933384</v>
      </c>
      <c r="V142">
        <f t="shared" ca="1" si="71"/>
        <v>361.38950510586096</v>
      </c>
      <c r="W142">
        <f t="shared" ca="1" si="72"/>
        <v>7.6687794439856627E-12</v>
      </c>
      <c r="X142">
        <f t="shared" ca="1" si="49"/>
        <v>2.7071099844392646E-6</v>
      </c>
      <c r="Y142">
        <f t="shared" ca="1" si="50"/>
        <v>2.7615273813585132E-4</v>
      </c>
      <c r="Z142">
        <f t="shared" ca="1" si="51"/>
        <v>147.58116416016617</v>
      </c>
      <c r="AA142">
        <f t="shared" ca="1" si="52"/>
        <v>486.94969890629488</v>
      </c>
      <c r="AB142" s="6">
        <f t="shared" ca="1" si="53"/>
        <v>-3.6439302962912691E-9</v>
      </c>
      <c r="AC142">
        <f t="shared" ca="1" si="54"/>
        <v>70.534870742417397</v>
      </c>
      <c r="AD142">
        <f t="shared" ca="1" si="73"/>
        <v>27.67898618103877</v>
      </c>
      <c r="AE142">
        <f t="shared" ca="1" si="55"/>
        <v>1.692753805751688</v>
      </c>
      <c r="AF142">
        <f t="shared" ca="1" si="56"/>
        <v>99.906610729207856</v>
      </c>
      <c r="AG142">
        <f t="shared" ca="1" si="41"/>
        <v>0.60035727571433672</v>
      </c>
      <c r="AI142">
        <f t="shared" ca="1" si="57"/>
        <v>8.1486776742564784E-5</v>
      </c>
      <c r="AK142">
        <f t="shared" ca="1" si="58"/>
        <v>6.8840915750242093E-2</v>
      </c>
      <c r="AM142">
        <f t="shared" ca="1" si="59"/>
        <v>11455.949399327634</v>
      </c>
      <c r="AN142" s="6">
        <f t="shared" si="60"/>
        <v>1.9495613999999998E-5</v>
      </c>
      <c r="AO142" s="6">
        <f t="shared" ca="1" si="61"/>
        <v>4637646.9846094605</v>
      </c>
      <c r="AP142" s="6">
        <f t="shared" ca="1" si="62"/>
        <v>2.3198028546201001E-3</v>
      </c>
    </row>
    <row r="143" spans="1:42" x14ac:dyDescent="0.25">
      <c r="A143">
        <f t="shared" si="63"/>
        <v>104</v>
      </c>
      <c r="B143">
        <f t="shared" si="39"/>
        <v>4.3189438157601554</v>
      </c>
      <c r="C143">
        <f t="shared" ca="1" si="64"/>
        <v>3344952879.2098122</v>
      </c>
      <c r="D143">
        <f t="shared" si="42"/>
        <v>10000000</v>
      </c>
      <c r="E143">
        <f t="shared" ca="1" si="43"/>
        <v>10000000.00138185</v>
      </c>
      <c r="F143">
        <f t="shared" ca="1" si="65"/>
        <v>3673056996.4722977</v>
      </c>
      <c r="G143">
        <f t="shared" ca="1" si="40"/>
        <v>949.99696687827338</v>
      </c>
      <c r="H143">
        <f t="shared" ca="1" si="44"/>
        <v>9499969670.0954876</v>
      </c>
      <c r="I143">
        <f t="shared" ca="1" si="45"/>
        <v>791842534.50217414</v>
      </c>
      <c r="J143">
        <f t="shared" ca="1" si="74"/>
        <v>1322355719815.8984</v>
      </c>
      <c r="K143">
        <f t="shared" ca="1" si="46"/>
        <v>5.429514051854949E-6</v>
      </c>
      <c r="L143">
        <f t="shared" ca="1" si="66"/>
        <v>-241584568516.64633</v>
      </c>
      <c r="M143">
        <f t="shared" ca="1" si="67"/>
        <v>-241584568559.50223</v>
      </c>
      <c r="N143">
        <f t="shared" ca="1" si="47"/>
        <v>241584568592.88559</v>
      </c>
      <c r="O143">
        <f t="shared" ca="1" si="48"/>
        <v>-241584568483.26297</v>
      </c>
      <c r="Q143">
        <f t="shared" si="68"/>
        <v>104</v>
      </c>
      <c r="R143" s="23">
        <f t="shared" si="76"/>
        <v>151.09182852270024</v>
      </c>
      <c r="S143">
        <f t="shared" ca="1" si="69"/>
        <v>2.378327597290102E-2</v>
      </c>
      <c r="T143" s="23">
        <f t="shared" ca="1" si="70"/>
        <v>499999.99999945378</v>
      </c>
      <c r="U143">
        <f t="shared" ca="1" si="75"/>
        <v>352961.37607662205</v>
      </c>
      <c r="V143">
        <f t="shared" ca="1" si="71"/>
        <v>361.58486755592003</v>
      </c>
      <c r="W143">
        <f t="shared" ca="1" si="72"/>
        <v>7.8044197942885702E-12</v>
      </c>
      <c r="X143">
        <f t="shared" ca="1" si="49"/>
        <v>2.7546587500717214E-6</v>
      </c>
      <c r="Y143">
        <f t="shared" ca="1" si="50"/>
        <v>2.8100319559781609E-4</v>
      </c>
      <c r="Z143">
        <f t="shared" ca="1" si="51"/>
        <v>147.625567434483</v>
      </c>
      <c r="AA143">
        <f t="shared" ca="1" si="52"/>
        <v>486.94446085734864</v>
      </c>
      <c r="AB143" s="6">
        <f t="shared" ca="1" si="53"/>
        <v>-3.6448427393959123E-9</v>
      </c>
      <c r="AC143">
        <f t="shared" ca="1" si="54"/>
        <v>70.505894892916857</v>
      </c>
      <c r="AD143">
        <f t="shared" ca="1" si="73"/>
        <v>27.650010331538226</v>
      </c>
      <c r="AE143">
        <f t="shared" ca="1" si="55"/>
        <v>1.7217296552522319</v>
      </c>
      <c r="AF143">
        <f t="shared" ca="1" si="56"/>
        <v>99.877634879707315</v>
      </c>
      <c r="AG143">
        <f t="shared" ca="1" si="41"/>
        <v>0.6005076056635964</v>
      </c>
      <c r="AI143">
        <f t="shared" ca="1" si="57"/>
        <v>8.1507181097618974E-5</v>
      </c>
      <c r="AK143">
        <f t="shared" ca="1" si="58"/>
        <v>6.8860887428753098E-2</v>
      </c>
      <c r="AM143">
        <f t="shared" ca="1" si="59"/>
        <v>11453.081538411834</v>
      </c>
      <c r="AN143" s="6">
        <f t="shared" si="60"/>
        <v>1.9495613999999998E-5</v>
      </c>
      <c r="AO143" s="6">
        <f t="shared" ca="1" si="61"/>
        <v>4637646.9846094595</v>
      </c>
      <c r="AP143" s="6">
        <f t="shared" ca="1" si="62"/>
        <v>2.319802854620101E-3</v>
      </c>
    </row>
    <row r="144" spans="1:42" x14ac:dyDescent="0.25">
      <c r="A144">
        <f t="shared" si="63"/>
        <v>105</v>
      </c>
      <c r="B144">
        <f t="shared" si="39"/>
        <v>4.3604721216809255</v>
      </c>
      <c r="C144">
        <f t="shared" ca="1" si="64"/>
        <v>3377836758.2236962</v>
      </c>
      <c r="D144">
        <f t="shared" si="42"/>
        <v>10000000</v>
      </c>
      <c r="E144">
        <f t="shared" ca="1" si="43"/>
        <v>10000000.001368398</v>
      </c>
      <c r="F144">
        <f t="shared" ca="1" si="65"/>
        <v>3673057175.0157809</v>
      </c>
      <c r="G144">
        <f t="shared" ca="1" si="40"/>
        <v>949.99696687842072</v>
      </c>
      <c r="H144">
        <f t="shared" ca="1" si="44"/>
        <v>9499969670.0841808</v>
      </c>
      <c r="I144">
        <f t="shared" ca="1" si="45"/>
        <v>791842534.50123179</v>
      </c>
      <c r="J144">
        <f t="shared" ca="1" si="74"/>
        <v>1335355659292.8828</v>
      </c>
      <c r="K144">
        <f t="shared" ca="1" si="46"/>
        <v>5.3766567073921816E-6</v>
      </c>
      <c r="L144">
        <f t="shared" ca="1" si="66"/>
        <v>-243959560934.17017</v>
      </c>
      <c r="M144">
        <f t="shared" ca="1" si="67"/>
        <v>-243959560977.02603</v>
      </c>
      <c r="N144">
        <f t="shared" ca="1" si="47"/>
        <v>243959561010.40939</v>
      </c>
      <c r="O144">
        <f t="shared" ca="1" si="48"/>
        <v>-243959560900.78677</v>
      </c>
      <c r="Q144">
        <f t="shared" si="68"/>
        <v>105</v>
      </c>
      <c r="R144" s="23">
        <f t="shared" si="76"/>
        <v>152.54463456618777</v>
      </c>
      <c r="S144">
        <f t="shared" ca="1" si="69"/>
        <v>2.4191519113704835E-2</v>
      </c>
      <c r="T144" s="23">
        <f t="shared" ca="1" si="70"/>
        <v>499999.99999944848</v>
      </c>
      <c r="U144">
        <f t="shared" ca="1" si="75"/>
        <v>352917.956109625</v>
      </c>
      <c r="V144">
        <f t="shared" ca="1" si="71"/>
        <v>361.78365929201743</v>
      </c>
      <c r="W144">
        <f t="shared" ca="1" si="72"/>
        <v>7.9447495898657295E-12</v>
      </c>
      <c r="X144">
        <f t="shared" ca="1" si="49"/>
        <v>2.8038447870581947E-6</v>
      </c>
      <c r="Y144">
        <f t="shared" ca="1" si="50"/>
        <v>2.8602067138193323E-4</v>
      </c>
      <c r="Z144">
        <f t="shared" ca="1" si="51"/>
        <v>147.67077708027591</v>
      </c>
      <c r="AA144">
        <f t="shared" ca="1" si="52"/>
        <v>486.93913092088485</v>
      </c>
      <c r="AB144" s="6">
        <f t="shared" ca="1" si="53"/>
        <v>-3.6457700145522402E-9</v>
      </c>
      <c r="AC144">
        <f t="shared" ca="1" si="54"/>
        <v>70.476410099972995</v>
      </c>
      <c r="AD144">
        <f t="shared" ca="1" si="73"/>
        <v>27.620525538594368</v>
      </c>
      <c r="AE144">
        <f t="shared" ca="1" si="55"/>
        <v>1.7512144481960874</v>
      </c>
      <c r="AF144">
        <f t="shared" ca="1" si="56"/>
        <v>99.84815008676344</v>
      </c>
      <c r="AG144">
        <f t="shared" ca="1" si="41"/>
        <v>0.60066037927379878</v>
      </c>
      <c r="AI144">
        <f t="shared" ca="1" si="57"/>
        <v>8.1527917131927728E-5</v>
      </c>
      <c r="AK144">
        <f t="shared" ca="1" si="58"/>
        <v>6.8881221796550651E-2</v>
      </c>
      <c r="AM144">
        <f t="shared" ca="1" si="59"/>
        <v>11450.168530204633</v>
      </c>
      <c r="AN144" s="6">
        <f t="shared" si="60"/>
        <v>1.9495613999999998E-5</v>
      </c>
      <c r="AO144" s="6">
        <f t="shared" ca="1" si="61"/>
        <v>4637646.9846094595</v>
      </c>
      <c r="AP144" s="6">
        <f t="shared" ca="1" si="62"/>
        <v>2.319802854620101E-3</v>
      </c>
    </row>
    <row r="145" spans="1:42" x14ac:dyDescent="0.25">
      <c r="A145">
        <f t="shared" si="63"/>
        <v>106</v>
      </c>
      <c r="B145">
        <f t="shared" si="39"/>
        <v>4.4020004276016973</v>
      </c>
      <c r="C145">
        <f t="shared" ca="1" si="64"/>
        <v>3410720637.2375426</v>
      </c>
      <c r="D145">
        <f t="shared" si="42"/>
        <v>10000000</v>
      </c>
      <c r="E145">
        <f t="shared" ca="1" si="43"/>
        <v>10000000.001355205</v>
      </c>
      <c r="F145">
        <f t="shared" ca="1" si="65"/>
        <v>3673057351.8211098</v>
      </c>
      <c r="G145">
        <f t="shared" ca="1" si="40"/>
        <v>949.99696687856681</v>
      </c>
      <c r="H145">
        <f t="shared" ca="1" si="44"/>
        <v>9499969670.0731087</v>
      </c>
      <c r="I145">
        <f t="shared" ca="1" si="45"/>
        <v>791842534.50030887</v>
      </c>
      <c r="J145">
        <f t="shared" ca="1" si="74"/>
        <v>1348355598769.8672</v>
      </c>
      <c r="K145">
        <f t="shared" ca="1" si="46"/>
        <v>5.3248185929894318E-6</v>
      </c>
      <c r="L145">
        <f t="shared" ca="1" si="66"/>
        <v>-246334553351.69125</v>
      </c>
      <c r="M145">
        <f t="shared" ca="1" si="67"/>
        <v>-246334553394.54715</v>
      </c>
      <c r="N145">
        <f t="shared" ca="1" si="47"/>
        <v>246334553427.93051</v>
      </c>
      <c r="O145">
        <f t="shared" ca="1" si="48"/>
        <v>-246334553318.30789</v>
      </c>
      <c r="Q145">
        <f t="shared" si="68"/>
        <v>106</v>
      </c>
      <c r="R145" s="23">
        <f t="shared" si="76"/>
        <v>153.99744060967527</v>
      </c>
      <c r="S145">
        <f t="shared" ca="1" si="69"/>
        <v>2.4607051673650859E-2</v>
      </c>
      <c r="T145" s="23">
        <f t="shared" ca="1" si="70"/>
        <v>499999.99999944319</v>
      </c>
      <c r="U145">
        <f t="shared" ca="1" si="75"/>
        <v>352873.73451147875</v>
      </c>
      <c r="V145">
        <f t="shared" ca="1" si="71"/>
        <v>361.98599835562686</v>
      </c>
      <c r="W145">
        <f t="shared" ca="1" si="72"/>
        <v>8.0900123363642543E-12</v>
      </c>
      <c r="X145">
        <f t="shared" ca="1" si="49"/>
        <v>2.8547528653767876E-6</v>
      </c>
      <c r="Y145">
        <f t="shared" ca="1" si="50"/>
        <v>2.9121381288771723E-4</v>
      </c>
      <c r="Z145">
        <f t="shared" ca="1" si="51"/>
        <v>147.71682139875091</v>
      </c>
      <c r="AA145">
        <f t="shared" ca="1" si="52"/>
        <v>486.93370593512174</v>
      </c>
      <c r="AB145" s="6">
        <f t="shared" ca="1" si="53"/>
        <v>-3.6467126094441532E-9</v>
      </c>
      <c r="AC145">
        <f t="shared" ca="1" si="54"/>
        <v>70.446398838871801</v>
      </c>
      <c r="AD145">
        <f t="shared" ca="1" si="73"/>
        <v>27.590514277493167</v>
      </c>
      <c r="AE145">
        <f t="shared" ca="1" si="55"/>
        <v>1.7812257092972912</v>
      </c>
      <c r="AF145">
        <f t="shared" ca="1" si="56"/>
        <v>99.81813882566226</v>
      </c>
      <c r="AG145">
        <f t="shared" ca="1" si="41"/>
        <v>0.60081567689351101</v>
      </c>
      <c r="AI145">
        <f t="shared" ca="1" si="57"/>
        <v>8.1548995751240007E-5</v>
      </c>
      <c r="AK145">
        <f t="shared" ca="1" si="58"/>
        <v>6.8901931582934409E-2</v>
      </c>
      <c r="AM145">
        <f t="shared" ca="1" si="59"/>
        <v>11447.208913825714</v>
      </c>
      <c r="AN145" s="6">
        <f t="shared" si="60"/>
        <v>1.9495613999999998E-5</v>
      </c>
      <c r="AO145" s="6">
        <f t="shared" ca="1" si="61"/>
        <v>4637646.9846094595</v>
      </c>
      <c r="AP145" s="6">
        <f t="shared" ca="1" si="62"/>
        <v>2.319802854620101E-3</v>
      </c>
    </row>
    <row r="146" spans="1:42" x14ac:dyDescent="0.25">
      <c r="A146">
        <f t="shared" si="63"/>
        <v>107</v>
      </c>
      <c r="B146">
        <f t="shared" si="39"/>
        <v>4.4435287335224674</v>
      </c>
      <c r="C146">
        <f t="shared" ca="1" si="64"/>
        <v>3443604516.2513494</v>
      </c>
      <c r="D146">
        <f t="shared" si="42"/>
        <v>10000000</v>
      </c>
      <c r="E146">
        <f t="shared" ca="1" si="43"/>
        <v>10000000.001342261</v>
      </c>
      <c r="F146">
        <f t="shared" ca="1" si="65"/>
        <v>3673057526.9218001</v>
      </c>
      <c r="G146">
        <f t="shared" ca="1" si="40"/>
        <v>949.99696687871131</v>
      </c>
      <c r="H146">
        <f t="shared" ca="1" si="44"/>
        <v>9499969670.0622578</v>
      </c>
      <c r="I146">
        <f t="shared" ca="1" si="45"/>
        <v>791842534.49940443</v>
      </c>
      <c r="J146">
        <f t="shared" ca="1" si="74"/>
        <v>1361355538246.8203</v>
      </c>
      <c r="K146">
        <f t="shared" ca="1" si="46"/>
        <v>5.2739705099649462E-6</v>
      </c>
      <c r="L146">
        <f t="shared" ca="1" si="66"/>
        <v>-248709545769.2095</v>
      </c>
      <c r="M146">
        <f t="shared" ca="1" si="67"/>
        <v>-248709545812.06537</v>
      </c>
      <c r="N146">
        <f t="shared" ca="1" si="47"/>
        <v>248709545845.44873</v>
      </c>
      <c r="O146">
        <f t="shared" ca="1" si="48"/>
        <v>-248709545735.82617</v>
      </c>
      <c r="Q146">
        <f t="shared" si="68"/>
        <v>107</v>
      </c>
      <c r="R146" s="23">
        <f t="shared" si="76"/>
        <v>155.45024665316276</v>
      </c>
      <c r="S146">
        <f t="shared" ca="1" si="69"/>
        <v>2.5030128860961173E-2</v>
      </c>
      <c r="T146" s="23">
        <f t="shared" ca="1" si="70"/>
        <v>499999.99999943789</v>
      </c>
      <c r="U146">
        <f t="shared" ca="1" si="75"/>
        <v>352828.68267454061</v>
      </c>
      <c r="V146">
        <f t="shared" ca="1" si="71"/>
        <v>362.19200889834048</v>
      </c>
      <c r="W146">
        <f t="shared" ca="1" si="72"/>
        <v>8.2404685382787872E-12</v>
      </c>
      <c r="X146">
        <f t="shared" ca="1" si="49"/>
        <v>2.9074736589819018E-6</v>
      </c>
      <c r="Y146">
        <f t="shared" ca="1" si="50"/>
        <v>2.9659186978028303E-4</v>
      </c>
      <c r="Z146">
        <f t="shared" ca="1" si="51"/>
        <v>147.76373017669712</v>
      </c>
      <c r="AA146">
        <f t="shared" ca="1" si="52"/>
        <v>486.92818257465859</v>
      </c>
      <c r="AB146" s="6">
        <f t="shared" ca="1" si="53"/>
        <v>-3.6476710361558756E-9</v>
      </c>
      <c r="AC146">
        <f t="shared" ca="1" si="54"/>
        <v>70.415842677554423</v>
      </c>
      <c r="AD146">
        <f t="shared" ca="1" si="73"/>
        <v>27.559958116175789</v>
      </c>
      <c r="AE146">
        <f t="shared" ca="1" si="55"/>
        <v>1.8117818706146667</v>
      </c>
      <c r="AF146">
        <f t="shared" ca="1" si="56"/>
        <v>99.787582664344882</v>
      </c>
      <c r="AG146">
        <f t="shared" ca="1" si="41"/>
        <v>0.6009735828913858</v>
      </c>
      <c r="AI146">
        <f t="shared" ca="1" si="57"/>
        <v>8.1570428406952931E-5</v>
      </c>
      <c r="AK146">
        <f t="shared" ca="1" si="58"/>
        <v>6.8923030185388867E-2</v>
      </c>
      <c r="AM146">
        <f t="shared" ca="1" si="59"/>
        <v>11444.201156084146</v>
      </c>
      <c r="AN146" s="6">
        <f t="shared" si="60"/>
        <v>1.9495613999999998E-5</v>
      </c>
      <c r="AO146" s="6">
        <f t="shared" ca="1" si="61"/>
        <v>4637646.9846094595</v>
      </c>
      <c r="AP146" s="6">
        <f t="shared" ca="1" si="62"/>
        <v>2.319802854620101E-3</v>
      </c>
    </row>
    <row r="147" spans="1:42" x14ac:dyDescent="0.25">
      <c r="A147">
        <f t="shared" si="63"/>
        <v>108</v>
      </c>
      <c r="B147">
        <f t="shared" si="39"/>
        <v>4.4850570394432383</v>
      </c>
      <c r="C147">
        <f t="shared" ca="1" si="64"/>
        <v>3476488395.2651196</v>
      </c>
      <c r="D147">
        <f t="shared" si="42"/>
        <v>10000000</v>
      </c>
      <c r="E147">
        <f t="shared" ca="1" si="43"/>
        <v>10000000.001329567</v>
      </c>
      <c r="F147">
        <f t="shared" ca="1" si="65"/>
        <v>3673057700.3504081</v>
      </c>
      <c r="G147">
        <f t="shared" ca="1" si="40"/>
        <v>949.99696687885444</v>
      </c>
      <c r="H147">
        <f t="shared" ca="1" si="44"/>
        <v>9499969670.05163</v>
      </c>
      <c r="I147">
        <f t="shared" ca="1" si="45"/>
        <v>791842534.49851871</v>
      </c>
      <c r="J147">
        <f t="shared" ca="1" si="74"/>
        <v>1374355477723.7656</v>
      </c>
      <c r="K147">
        <f t="shared" ca="1" si="46"/>
        <v>5.2240843643905196E-6</v>
      </c>
      <c r="L147">
        <f t="shared" ca="1" si="66"/>
        <v>-251084538186.7251</v>
      </c>
      <c r="M147">
        <f t="shared" ca="1" si="67"/>
        <v>-251084538229.58096</v>
      </c>
      <c r="N147">
        <f t="shared" ca="1" si="47"/>
        <v>251084538262.96432</v>
      </c>
      <c r="O147">
        <f t="shared" ca="1" si="48"/>
        <v>-251084538153.34171</v>
      </c>
      <c r="Q147">
        <f t="shared" si="68"/>
        <v>108</v>
      </c>
      <c r="R147" s="23">
        <f t="shared" si="76"/>
        <v>156.90305269665026</v>
      </c>
      <c r="S147">
        <f t="shared" ca="1" si="69"/>
        <v>2.5461019321827226E-2</v>
      </c>
      <c r="T147" s="23">
        <f t="shared" ca="1" si="70"/>
        <v>499999.99999943259</v>
      </c>
      <c r="U147">
        <f t="shared" ca="1" si="75"/>
        <v>352782.77046393009</v>
      </c>
      <c r="V147">
        <f t="shared" ca="1" si="71"/>
        <v>362.40182160733872</v>
      </c>
      <c r="W147">
        <f t="shared" ca="1" si="72"/>
        <v>8.3963971993085393E-12</v>
      </c>
      <c r="X147">
        <f t="shared" ca="1" si="49"/>
        <v>2.96210426588765E-6</v>
      </c>
      <c r="Y147">
        <f t="shared" ca="1" si="50"/>
        <v>3.0216474704414145E-4</v>
      </c>
      <c r="Z147">
        <f t="shared" ca="1" si="51"/>
        <v>147.81153479109076</v>
      </c>
      <c r="AA147">
        <f t="shared" ca="1" si="52"/>
        <v>486.92255733908354</v>
      </c>
      <c r="AB147" s="6">
        <f t="shared" ca="1" si="53"/>
        <v>-3.6486458328246643E-9</v>
      </c>
      <c r="AC147">
        <f t="shared" ca="1" si="54"/>
        <v>70.384722213423402</v>
      </c>
      <c r="AD147">
        <f t="shared" ca="1" si="73"/>
        <v>27.528837652044775</v>
      </c>
      <c r="AE147">
        <f t="shared" ca="1" si="55"/>
        <v>1.8429023347456819</v>
      </c>
      <c r="AF147">
        <f t="shared" ca="1" si="56"/>
        <v>99.756462200213861</v>
      </c>
      <c r="AG147">
        <f t="shared" ca="1" si="41"/>
        <v>0.60113418592845391</v>
      </c>
      <c r="AI147">
        <f t="shared" ca="1" si="57"/>
        <v>8.1592227133070098E-5</v>
      </c>
      <c r="AK147">
        <f t="shared" ca="1" si="58"/>
        <v>6.8944531716631827E-2</v>
      </c>
      <c r="AM147">
        <f t="shared" ca="1" si="59"/>
        <v>11441.143646620354</v>
      </c>
      <c r="AN147" s="6">
        <f t="shared" si="60"/>
        <v>1.9495613999999998E-5</v>
      </c>
      <c r="AO147" s="6">
        <f t="shared" ca="1" si="61"/>
        <v>4637646.9846094586</v>
      </c>
      <c r="AP147" s="6">
        <f t="shared" ca="1" si="62"/>
        <v>2.319802854620101E-3</v>
      </c>
    </row>
    <row r="148" spans="1:42" x14ac:dyDescent="0.25">
      <c r="A148">
        <f t="shared" si="63"/>
        <v>109</v>
      </c>
      <c r="B148">
        <f t="shared" si="39"/>
        <v>4.5265853453640092</v>
      </c>
      <c r="C148">
        <f t="shared" ca="1" si="64"/>
        <v>3509372274.2788525</v>
      </c>
      <c r="D148">
        <f t="shared" si="42"/>
        <v>10000000</v>
      </c>
      <c r="E148">
        <f t="shared" ca="1" si="43"/>
        <v>10000000.001317108</v>
      </c>
      <c r="F148">
        <f t="shared" ca="1" si="65"/>
        <v>3673057872.1385665</v>
      </c>
      <c r="G148">
        <f t="shared" ca="1" si="40"/>
        <v>949.99696687899632</v>
      </c>
      <c r="H148">
        <f t="shared" ca="1" si="44"/>
        <v>9499969670.0412121</v>
      </c>
      <c r="I148">
        <f t="shared" ca="1" si="45"/>
        <v>791842534.49765027</v>
      </c>
      <c r="J148">
        <f t="shared" ca="1" si="74"/>
        <v>1387355417200.7031</v>
      </c>
      <c r="K148">
        <f t="shared" ca="1" si="46"/>
        <v>5.1751331153324221E-6</v>
      </c>
      <c r="L148">
        <f t="shared" ca="1" si="66"/>
        <v>-253459530604.23798</v>
      </c>
      <c r="M148">
        <f t="shared" ca="1" si="67"/>
        <v>-253459530647.09387</v>
      </c>
      <c r="N148">
        <f t="shared" ca="1" si="47"/>
        <v>253459530680.47723</v>
      </c>
      <c r="O148">
        <f t="shared" ca="1" si="48"/>
        <v>-253459530570.85461</v>
      </c>
      <c r="Q148">
        <f t="shared" si="68"/>
        <v>109</v>
      </c>
      <c r="R148" s="23">
        <f t="shared" si="76"/>
        <v>158.35585874013776</v>
      </c>
      <c r="S148">
        <f t="shared" ca="1" si="69"/>
        <v>2.5900006092461826E-2</v>
      </c>
      <c r="T148" s="23">
        <f t="shared" ca="1" si="70"/>
        <v>499999.99999942729</v>
      </c>
      <c r="U148">
        <f t="shared" ca="1" si="75"/>
        <v>352735.96610813454</v>
      </c>
      <c r="V148">
        <f t="shared" ca="1" si="71"/>
        <v>362.61557416833415</v>
      </c>
      <c r="W148">
        <f t="shared" ca="1" si="72"/>
        <v>8.5580974837399033E-12</v>
      </c>
      <c r="X148">
        <f t="shared" ca="1" si="49"/>
        <v>3.0187487839745902E-6</v>
      </c>
      <c r="Y148">
        <f t="shared" ca="1" si="50"/>
        <v>3.0794306372133932E-4</v>
      </c>
      <c r="Z148">
        <f t="shared" ca="1" si="51"/>
        <v>147.86026832299873</v>
      </c>
      <c r="AA148">
        <f t="shared" ca="1" si="52"/>
        <v>486.91682654058002</v>
      </c>
      <c r="AB148" s="6">
        <f t="shared" ca="1" si="53"/>
        <v>-3.6496375654356508E-9</v>
      </c>
      <c r="AC148">
        <f t="shared" ca="1" si="54"/>
        <v>70.353017004582</v>
      </c>
      <c r="AD148">
        <f t="shared" ca="1" si="73"/>
        <v>27.497132443203377</v>
      </c>
      <c r="AE148">
        <f t="shared" ca="1" si="55"/>
        <v>1.8746075435870795</v>
      </c>
      <c r="AF148">
        <f t="shared" ca="1" si="56"/>
        <v>99.724756991372459</v>
      </c>
      <c r="AG148">
        <f t="shared" ca="1" si="41"/>
        <v>0.60129757925383542</v>
      </c>
      <c r="AI148">
        <f t="shared" ca="1" si="57"/>
        <v>8.1614404586338656E-5</v>
      </c>
      <c r="AK148">
        <f t="shared" ca="1" si="58"/>
        <v>6.8966451055846034E-2</v>
      </c>
      <c r="AM148">
        <f t="shared" ca="1" si="59"/>
        <v>11438.034692633029</v>
      </c>
      <c r="AN148" s="6">
        <f t="shared" si="60"/>
        <v>1.9495613999999998E-5</v>
      </c>
      <c r="AO148" s="6">
        <f t="shared" ca="1" si="61"/>
        <v>4637646.9846094595</v>
      </c>
      <c r="AP148" s="6">
        <f t="shared" ca="1" si="62"/>
        <v>2.319802854620101E-3</v>
      </c>
    </row>
    <row r="149" spans="1:42" x14ac:dyDescent="0.25">
      <c r="A149">
        <f t="shared" si="63"/>
        <v>110</v>
      </c>
      <c r="B149">
        <f t="shared" si="39"/>
        <v>4.5681136512847793</v>
      </c>
      <c r="C149">
        <f t="shared" ca="1" si="64"/>
        <v>3542256153.2925487</v>
      </c>
      <c r="D149">
        <f t="shared" si="42"/>
        <v>10000000</v>
      </c>
      <c r="E149">
        <f t="shared" ca="1" si="43"/>
        <v>10000000.00130488</v>
      </c>
      <c r="F149">
        <f t="shared" ca="1" si="65"/>
        <v>3673058042.3170176</v>
      </c>
      <c r="G149">
        <f t="shared" ca="1" si="40"/>
        <v>949.99696687913695</v>
      </c>
      <c r="H149">
        <f t="shared" ca="1" si="44"/>
        <v>9499969670.031002</v>
      </c>
      <c r="I149">
        <f t="shared" ca="1" si="45"/>
        <v>791842534.49679923</v>
      </c>
      <c r="J149">
        <f t="shared" ca="1" si="74"/>
        <v>1400355356677.6172</v>
      </c>
      <c r="K149">
        <f t="shared" ca="1" si="46"/>
        <v>5.1270907259749728E-6</v>
      </c>
      <c r="L149">
        <f t="shared" ca="1" si="66"/>
        <v>-255834523021.74823</v>
      </c>
      <c r="M149">
        <f t="shared" ca="1" si="67"/>
        <v>-255834523064.60413</v>
      </c>
      <c r="N149">
        <f t="shared" ca="1" si="47"/>
        <v>255834523097.98749</v>
      </c>
      <c r="O149">
        <f t="shared" ca="1" si="48"/>
        <v>-255834522988.36487</v>
      </c>
      <c r="Q149">
        <f t="shared" si="68"/>
        <v>110</v>
      </c>
      <c r="R149" s="23">
        <f t="shared" si="76"/>
        <v>159.80866478362526</v>
      </c>
      <c r="S149">
        <f t="shared" ca="1" si="69"/>
        <v>2.6347387636486246E-2</v>
      </c>
      <c r="T149" s="23">
        <f t="shared" ca="1" si="70"/>
        <v>499999.999999422</v>
      </c>
      <c r="U149">
        <f t="shared" ca="1" si="75"/>
        <v>352688.23607971816</v>
      </c>
      <c r="V149">
        <f t="shared" ca="1" si="71"/>
        <v>362.83341177000335</v>
      </c>
      <c r="W149">
        <f t="shared" ca="1" si="72"/>
        <v>8.7258905593091532E-12</v>
      </c>
      <c r="X149">
        <f t="shared" ca="1" si="49"/>
        <v>3.0775189495874108E-6</v>
      </c>
      <c r="Y149">
        <f t="shared" ca="1" si="50"/>
        <v>3.1393821805491531E-4</v>
      </c>
      <c r="Z149">
        <f t="shared" ca="1" si="51"/>
        <v>147.90996568178642</v>
      </c>
      <c r="AA149">
        <f t="shared" ca="1" si="52"/>
        <v>486.91098629042233</v>
      </c>
      <c r="AB149" s="6">
        <f t="shared" ca="1" si="53"/>
        <v>-3.650646829773765E-9</v>
      </c>
      <c r="AC149">
        <f t="shared" ca="1" si="54"/>
        <v>70.320705494910356</v>
      </c>
      <c r="AD149">
        <f t="shared" ca="1" si="73"/>
        <v>27.46482093353174</v>
      </c>
      <c r="AE149">
        <f t="shared" ca="1" si="55"/>
        <v>1.9069190532587177</v>
      </c>
      <c r="AF149">
        <f t="shared" ca="1" si="56"/>
        <v>99.692445481700815</v>
      </c>
      <c r="AG149">
        <f t="shared" ca="1" si="41"/>
        <v>0.60146386102632754</v>
      </c>
      <c r="AI149">
        <f t="shared" ca="1" si="57"/>
        <v>8.1636974089898521E-5</v>
      </c>
      <c r="AK149">
        <f t="shared" ca="1" si="58"/>
        <v>6.8988803904545273E-2</v>
      </c>
      <c r="AM149">
        <f t="shared" ca="1" si="59"/>
        <v>11434.87251314768</v>
      </c>
      <c r="AN149" s="6">
        <f t="shared" si="60"/>
        <v>1.9495613999999998E-5</v>
      </c>
      <c r="AO149" s="6">
        <f t="shared" ca="1" si="61"/>
        <v>4637646.9846094595</v>
      </c>
      <c r="AP149" s="6">
        <f t="shared" ca="1" si="62"/>
        <v>2.319802854620101E-3</v>
      </c>
    </row>
    <row r="150" spans="1:42" x14ac:dyDescent="0.25">
      <c r="A150">
        <f t="shared" si="63"/>
        <v>111</v>
      </c>
      <c r="B150">
        <f t="shared" si="39"/>
        <v>4.6096419572055503</v>
      </c>
      <c r="C150">
        <f t="shared" ca="1" si="64"/>
        <v>3575140032.3062105</v>
      </c>
      <c r="D150">
        <f t="shared" si="42"/>
        <v>10000000</v>
      </c>
      <c r="E150">
        <f t="shared" ca="1" si="43"/>
        <v>10000000.001292877</v>
      </c>
      <c r="F150">
        <f t="shared" ca="1" si="65"/>
        <v>3673058210.9156485</v>
      </c>
      <c r="G150">
        <f t="shared" ca="1" si="40"/>
        <v>949.9969668792761</v>
      </c>
      <c r="H150">
        <f t="shared" ca="1" si="44"/>
        <v>9499969670.0209904</v>
      </c>
      <c r="I150">
        <f t="shared" ca="1" si="45"/>
        <v>791842534.49596477</v>
      </c>
      <c r="J150">
        <f t="shared" ca="1" si="74"/>
        <v>1413355296154.5156</v>
      </c>
      <c r="K150">
        <f t="shared" ca="1" si="46"/>
        <v>5.0799321174413726E-6</v>
      </c>
      <c r="L150">
        <f t="shared" ca="1" si="66"/>
        <v>-258209515439.25601</v>
      </c>
      <c r="M150">
        <f t="shared" ca="1" si="67"/>
        <v>-258209515482.11188</v>
      </c>
      <c r="N150">
        <f t="shared" ca="1" si="47"/>
        <v>258209515515.49524</v>
      </c>
      <c r="O150">
        <f t="shared" ca="1" si="48"/>
        <v>-258209515405.87268</v>
      </c>
      <c r="Q150">
        <f t="shared" si="68"/>
        <v>111</v>
      </c>
      <c r="R150" s="23">
        <f t="shared" si="76"/>
        <v>161.26147082711276</v>
      </c>
      <c r="S150">
        <f t="shared" ca="1" si="69"/>
        <v>2.6803478976958124E-2</v>
      </c>
      <c r="T150" s="23">
        <f t="shared" ca="1" si="70"/>
        <v>499999.9999994167</v>
      </c>
      <c r="U150">
        <f t="shared" ca="1" si="75"/>
        <v>352639.54496504716</v>
      </c>
      <c r="V150">
        <f t="shared" ca="1" si="71"/>
        <v>363.05548765443103</v>
      </c>
      <c r="W150">
        <f t="shared" ca="1" si="72"/>
        <v>8.9001216450170078E-12</v>
      </c>
      <c r="X150">
        <f t="shared" ca="1" si="49"/>
        <v>3.1385348470323647E-6</v>
      </c>
      <c r="Y150">
        <f t="shared" ca="1" si="50"/>
        <v>3.2016245986485071E-4</v>
      </c>
      <c r="Z150">
        <f t="shared" ca="1" si="51"/>
        <v>147.96066374076253</v>
      </c>
      <c r="AA150">
        <f t="shared" ca="1" si="52"/>
        <v>486.90503248423801</v>
      </c>
      <c r="AB150" s="6">
        <f t="shared" ca="1" si="53"/>
        <v>-3.651674253549457E-9</v>
      </c>
      <c r="AC150">
        <f t="shared" ca="1" si="54"/>
        <v>70.287764932306374</v>
      </c>
      <c r="AD150">
        <f t="shared" ca="1" si="73"/>
        <v>27.431880370927747</v>
      </c>
      <c r="AE150">
        <f t="shared" ca="1" si="55"/>
        <v>1.9398596158627108</v>
      </c>
      <c r="AF150">
        <f t="shared" ca="1" si="56"/>
        <v>99.659504919096833</v>
      </c>
      <c r="AG150">
        <f t="shared" ca="1" si="41"/>
        <v>0.60163313466463131</v>
      </c>
      <c r="AI150">
        <f t="shared" ca="1" si="57"/>
        <v>8.1659949680818847E-5</v>
      </c>
      <c r="AK150">
        <f t="shared" ca="1" si="58"/>
        <v>6.9011606847584561E-2</v>
      </c>
      <c r="AM150">
        <f t="shared" ca="1" si="59"/>
        <v>11431.65523277811</v>
      </c>
      <c r="AN150" s="6">
        <f t="shared" si="60"/>
        <v>1.9495613999999998E-5</v>
      </c>
      <c r="AO150" s="6">
        <f t="shared" ca="1" si="61"/>
        <v>4637646.9846094595</v>
      </c>
      <c r="AP150" s="6">
        <f t="shared" ca="1" si="62"/>
        <v>2.319802854620101E-3</v>
      </c>
    </row>
    <row r="151" spans="1:42" x14ac:dyDescent="0.25">
      <c r="A151">
        <f t="shared" si="63"/>
        <v>112</v>
      </c>
      <c r="B151">
        <f t="shared" si="39"/>
        <v>4.6511702631263212</v>
      </c>
      <c r="C151">
        <f t="shared" ca="1" si="64"/>
        <v>3608023911.3198376</v>
      </c>
      <c r="D151">
        <f t="shared" si="42"/>
        <v>10000000</v>
      </c>
      <c r="E151">
        <f t="shared" ca="1" si="43"/>
        <v>10000000.001281096</v>
      </c>
      <c r="F151">
        <f t="shared" ca="1" si="65"/>
        <v>3673058377.9635215</v>
      </c>
      <c r="G151">
        <f t="shared" ca="1" si="40"/>
        <v>949.99696687941412</v>
      </c>
      <c r="H151">
        <f t="shared" ca="1" si="44"/>
        <v>9499969670.011179</v>
      </c>
      <c r="I151">
        <f t="shared" ca="1" si="45"/>
        <v>791842534.49514699</v>
      </c>
      <c r="J151">
        <f t="shared" ca="1" si="74"/>
        <v>1426355235631.4063</v>
      </c>
      <c r="K151">
        <f t="shared" ca="1" si="46"/>
        <v>5.0336331251400494E-6</v>
      </c>
      <c r="L151">
        <f t="shared" ca="1" si="66"/>
        <v>-260584507856.76126</v>
      </c>
      <c r="M151">
        <f t="shared" ca="1" si="67"/>
        <v>-260584507899.61716</v>
      </c>
      <c r="N151">
        <f t="shared" ca="1" si="47"/>
        <v>260584507933.00052</v>
      </c>
      <c r="O151">
        <f t="shared" ca="1" si="48"/>
        <v>-260584507823.3779</v>
      </c>
      <c r="Q151">
        <f t="shared" si="68"/>
        <v>112</v>
      </c>
      <c r="R151" s="23">
        <f t="shared" si="76"/>
        <v>162.71427687060029</v>
      </c>
      <c r="S151">
        <f t="shared" ca="1" si="69"/>
        <v>2.7268612933547612E-2</v>
      </c>
      <c r="T151" s="23">
        <f t="shared" ca="1" si="70"/>
        <v>499999.9999994114</v>
      </c>
      <c r="U151">
        <f t="shared" ca="1" si="75"/>
        <v>352589.85532180098</v>
      </c>
      <c r="V151">
        <f t="shared" ca="1" si="71"/>
        <v>363.28196371867375</v>
      </c>
      <c r="W151">
        <f t="shared" ca="1" si="72"/>
        <v>9.0811622908899624E-12</v>
      </c>
      <c r="X151">
        <f t="shared" ca="1" si="49"/>
        <v>3.2019256982986867E-6</v>
      </c>
      <c r="Y151">
        <f t="shared" ca="1" si="50"/>
        <v>3.2662897110768198E-4</v>
      </c>
      <c r="Z151">
        <f t="shared" ca="1" si="51"/>
        <v>148.01240148554047</v>
      </c>
      <c r="AA151">
        <f t="shared" ca="1" si="52"/>
        <v>486.89896078590436</v>
      </c>
      <c r="AB151" s="6">
        <f t="shared" ca="1" si="53"/>
        <v>-3.6527204987171507E-9</v>
      </c>
      <c r="AC151">
        <f t="shared" ca="1" si="54"/>
        <v>70.254171279332326</v>
      </c>
      <c r="AD151">
        <f t="shared" ca="1" si="73"/>
        <v>27.398286717953702</v>
      </c>
      <c r="AE151">
        <f t="shared" ca="1" si="55"/>
        <v>1.9734532688367554</v>
      </c>
      <c r="AF151">
        <f t="shared" ca="1" si="56"/>
        <v>99.625911266122785</v>
      </c>
      <c r="AG151">
        <f t="shared" ca="1" si="41"/>
        <v>0.60180550922932752</v>
      </c>
      <c r="AI151">
        <f t="shared" ca="1" si="57"/>
        <v>8.1683346161943833E-5</v>
      </c>
      <c r="AK151">
        <f t="shared" ca="1" si="58"/>
        <v>6.9034877419890034E-2</v>
      </c>
      <c r="AM151">
        <f t="shared" ca="1" si="59"/>
        <v>11428.380874926132</v>
      </c>
      <c r="AN151" s="6">
        <f t="shared" si="60"/>
        <v>1.9495613999999998E-5</v>
      </c>
      <c r="AO151" s="6">
        <f t="shared" ca="1" si="61"/>
        <v>4637646.9846094586</v>
      </c>
      <c r="AP151" s="6">
        <f t="shared" ca="1" si="62"/>
        <v>2.319802854620101E-3</v>
      </c>
    </row>
    <row r="152" spans="1:42" x14ac:dyDescent="0.25">
      <c r="A152">
        <f t="shared" si="63"/>
        <v>113</v>
      </c>
      <c r="B152">
        <f t="shared" si="39"/>
        <v>4.6926985690470921</v>
      </c>
      <c r="C152">
        <f t="shared" ca="1" si="64"/>
        <v>3640907790.3334308</v>
      </c>
      <c r="D152">
        <f t="shared" si="42"/>
        <v>10000000</v>
      </c>
      <c r="E152">
        <f t="shared" ca="1" si="43"/>
        <v>10000000.001269527</v>
      </c>
      <c r="F152">
        <f t="shared" ca="1" si="65"/>
        <v>3673058543.488904</v>
      </c>
      <c r="G152">
        <f t="shared" ca="1" si="40"/>
        <v>949.99696687955077</v>
      </c>
      <c r="H152">
        <f t="shared" ca="1" si="44"/>
        <v>9499969670.0015545</v>
      </c>
      <c r="I152">
        <f t="shared" ca="1" si="45"/>
        <v>791842534.49434471</v>
      </c>
      <c r="J152">
        <f t="shared" ca="1" si="74"/>
        <v>1439355175108.2813</v>
      </c>
      <c r="K152">
        <f t="shared" ca="1" si="46"/>
        <v>4.9881704574765999E-6</v>
      </c>
      <c r="L152">
        <f t="shared" ca="1" si="66"/>
        <v>-262959500274.2641</v>
      </c>
      <c r="M152">
        <f t="shared" ca="1" si="67"/>
        <v>-262959500317.11996</v>
      </c>
      <c r="N152">
        <f t="shared" ca="1" si="47"/>
        <v>262959500350.50333</v>
      </c>
      <c r="O152">
        <f t="shared" ca="1" si="48"/>
        <v>-262959500240.88071</v>
      </c>
      <c r="Q152">
        <f t="shared" si="68"/>
        <v>113</v>
      </c>
      <c r="R152" s="23">
        <f t="shared" si="76"/>
        <v>164.16708291408776</v>
      </c>
      <c r="S152">
        <f t="shared" ca="1" si="69"/>
        <v>2.7743141476750947E-2</v>
      </c>
      <c r="T152" s="23">
        <f t="shared" ca="1" si="70"/>
        <v>499999.99999940611</v>
      </c>
      <c r="U152">
        <f t="shared" ca="1" si="75"/>
        <v>352539.12752287823</v>
      </c>
      <c r="V152">
        <f t="shared" ca="1" si="71"/>
        <v>363.51301117322271</v>
      </c>
      <c r="W152">
        <f t="shared" ca="1" si="72"/>
        <v>9.2694129208120721E-12</v>
      </c>
      <c r="X152">
        <f t="shared" ca="1" si="49"/>
        <v>3.2678307437523822E-6</v>
      </c>
      <c r="Y152">
        <f t="shared" ca="1" si="50"/>
        <v>3.3335195571622037E-4</v>
      </c>
      <c r="Z152">
        <f t="shared" ca="1" si="51"/>
        <v>148.06522017656647</v>
      </c>
      <c r="AA152">
        <f t="shared" ca="1" si="52"/>
        <v>486.89276660991999</v>
      </c>
      <c r="AB152" s="6">
        <f t="shared" ca="1" si="53"/>
        <v>-3.6537862640077343E-9</v>
      </c>
      <c r="AC152">
        <f t="shared" ca="1" si="54"/>
        <v>70.219899115408765</v>
      </c>
      <c r="AD152">
        <f t="shared" ca="1" si="73"/>
        <v>27.364014554030135</v>
      </c>
      <c r="AE152">
        <f t="shared" ca="1" si="55"/>
        <v>2.0077254327603211</v>
      </c>
      <c r="AF152">
        <f t="shared" ca="1" si="56"/>
        <v>99.591639102199224</v>
      </c>
      <c r="AG152">
        <f t="shared" ca="1" si="41"/>
        <v>0.60198109984011838</v>
      </c>
      <c r="AI152">
        <f t="shared" ca="1" si="57"/>
        <v>8.1707179158525047E-5</v>
      </c>
      <c r="AK152">
        <f t="shared" ca="1" si="58"/>
        <v>6.9058634179560915E-2</v>
      </c>
      <c r="AM152">
        <f t="shared" ca="1" si="59"/>
        <v>11425.047354357614</v>
      </c>
      <c r="AN152" s="6">
        <f t="shared" si="60"/>
        <v>1.9495613999999998E-5</v>
      </c>
      <c r="AO152" s="6">
        <f t="shared" ca="1" si="61"/>
        <v>4637646.9846094605</v>
      </c>
      <c r="AP152" s="6">
        <f t="shared" ca="1" si="62"/>
        <v>2.3198028546201001E-3</v>
      </c>
    </row>
    <row r="153" spans="1:42" x14ac:dyDescent="0.25">
      <c r="A153">
        <f t="shared" si="63"/>
        <v>114</v>
      </c>
      <c r="B153">
        <f t="shared" si="39"/>
        <v>4.7342268749678622</v>
      </c>
      <c r="C153">
        <f t="shared" ca="1" si="64"/>
        <v>3673791669.3469896</v>
      </c>
      <c r="D153">
        <f t="shared" si="42"/>
        <v>10000000</v>
      </c>
      <c r="E153">
        <f t="shared" ca="1" si="43"/>
        <v>10000000.001258163</v>
      </c>
      <c r="F153">
        <f t="shared" ca="1" si="65"/>
        <v>3673058707.5192976</v>
      </c>
      <c r="G153">
        <f t="shared" ca="1" si="40"/>
        <v>949.99696687968628</v>
      </c>
      <c r="H153">
        <f t="shared" ca="1" si="44"/>
        <v>9499969669.9921131</v>
      </c>
      <c r="I153">
        <f t="shared" ca="1" si="45"/>
        <v>791842534.49355781</v>
      </c>
      <c r="J153">
        <f t="shared" ca="1" si="74"/>
        <v>1452355114585.1406</v>
      </c>
      <c r="K153">
        <f t="shared" ca="1" si="46"/>
        <v>4.9435216567829921E-6</v>
      </c>
      <c r="L153">
        <f t="shared" ca="1" si="66"/>
        <v>-265334492691.7644</v>
      </c>
      <c r="M153">
        <f t="shared" ca="1" si="67"/>
        <v>-265334492734.62027</v>
      </c>
      <c r="N153">
        <f t="shared" ca="1" si="47"/>
        <v>265334492768.00363</v>
      </c>
      <c r="O153">
        <f t="shared" ca="1" si="48"/>
        <v>-265334492658.38101</v>
      </c>
      <c r="Q153">
        <f t="shared" si="68"/>
        <v>114</v>
      </c>
      <c r="R153" s="23">
        <f t="shared" si="76"/>
        <v>165.61988895757528</v>
      </c>
      <c r="S153">
        <f t="shared" ca="1" si="69"/>
        <v>2.8227437212623857E-2</v>
      </c>
      <c r="T153" s="23">
        <f t="shared" ca="1" si="70"/>
        <v>499999.99999940081</v>
      </c>
      <c r="U153">
        <f t="shared" ca="1" si="75"/>
        <v>352487.31958511693</v>
      </c>
      <c r="V153">
        <f t="shared" ca="1" si="71"/>
        <v>363.74881126391927</v>
      </c>
      <c r="W153">
        <f t="shared" ca="1" si="72"/>
        <v>9.465305674402909E-12</v>
      </c>
      <c r="X153">
        <f t="shared" ca="1" si="49"/>
        <v>3.3364002262240789E-6</v>
      </c>
      <c r="Y153">
        <f t="shared" ca="1" si="50"/>
        <v>3.4034673998651645E-4</v>
      </c>
      <c r="Z153">
        <f t="shared" ca="1" si="51"/>
        <v>148.11916352745934</v>
      </c>
      <c r="AA153">
        <f t="shared" ca="1" si="52"/>
        <v>486.88644510207922</v>
      </c>
      <c r="AB153" s="6">
        <f t="shared" ca="1" si="53"/>
        <v>-3.6548722876992036E-9</v>
      </c>
      <c r="AC153">
        <f t="shared" ca="1" si="54"/>
        <v>70.184921529581629</v>
      </c>
      <c r="AD153">
        <f t="shared" ca="1" si="73"/>
        <v>27.329036968202999</v>
      </c>
      <c r="AE153">
        <f t="shared" ca="1" si="55"/>
        <v>2.0427030185874568</v>
      </c>
      <c r="AF153">
        <f t="shared" ca="1" si="56"/>
        <v>99.556661516372088</v>
      </c>
      <c r="AG153">
        <f t="shared" ca="1" si="41"/>
        <v>0.60216002813230762</v>
      </c>
      <c r="AI153">
        <f t="shared" ca="1" si="57"/>
        <v>8.1731465180179743E-5</v>
      </c>
      <c r="AK153">
        <f t="shared" ca="1" si="58"/>
        <v>6.9082896788082826E-2</v>
      </c>
      <c r="AM153">
        <f t="shared" ca="1" si="59"/>
        <v>11421.652469084942</v>
      </c>
      <c r="AN153" s="6">
        <f t="shared" si="60"/>
        <v>1.9495613999999998E-5</v>
      </c>
      <c r="AO153" s="6">
        <f t="shared" ca="1" si="61"/>
        <v>4637646.9846094595</v>
      </c>
      <c r="AP153" s="6">
        <f t="shared" ca="1" si="62"/>
        <v>2.319802854620101E-3</v>
      </c>
    </row>
    <row r="154" spans="1:42" x14ac:dyDescent="0.25">
      <c r="A154">
        <f t="shared" si="63"/>
        <v>115</v>
      </c>
      <c r="B154">
        <f t="shared" si="39"/>
        <v>4.775755180888634</v>
      </c>
      <c r="C154">
        <f t="shared" ca="1" si="64"/>
        <v>3706675548.3605175</v>
      </c>
      <c r="D154">
        <f t="shared" si="42"/>
        <v>10000000</v>
      </c>
      <c r="E154">
        <f t="shared" ca="1" si="43"/>
        <v>10000000.001247</v>
      </c>
      <c r="F154">
        <f t="shared" ca="1" si="65"/>
        <v>3673058870.0814657</v>
      </c>
      <c r="G154">
        <f t="shared" ca="1" si="40"/>
        <v>949.99696687982055</v>
      </c>
      <c r="H154">
        <f t="shared" ca="1" si="44"/>
        <v>9499969669.982851</v>
      </c>
      <c r="I154">
        <f t="shared" ca="1" si="45"/>
        <v>791842534.49278569</v>
      </c>
      <c r="J154">
        <f t="shared" ca="1" si="74"/>
        <v>1465355054061.9844</v>
      </c>
      <c r="K154">
        <f t="shared" ca="1" si="46"/>
        <v>4.8996650623265833E-6</v>
      </c>
      <c r="L154">
        <f t="shared" ca="1" si="66"/>
        <v>-267709485109.26251</v>
      </c>
      <c r="M154">
        <f t="shared" ca="1" si="67"/>
        <v>-267709485152.11841</v>
      </c>
      <c r="N154">
        <f t="shared" ca="1" si="47"/>
        <v>267709485185.50177</v>
      </c>
      <c r="O154">
        <f t="shared" ca="1" si="48"/>
        <v>-267709485075.87915</v>
      </c>
      <c r="Q154">
        <f t="shared" si="68"/>
        <v>115</v>
      </c>
      <c r="R154" s="23">
        <f t="shared" si="76"/>
        <v>167.07269500106278</v>
      </c>
      <c r="S154">
        <f t="shared" ca="1" si="69"/>
        <v>2.8721895013357538E-2</v>
      </c>
      <c r="T154" s="23">
        <f t="shared" ca="1" si="70"/>
        <v>499999.99999939551</v>
      </c>
      <c r="U154">
        <f t="shared" ca="1" si="75"/>
        <v>352434.38698103075</v>
      </c>
      <c r="V154">
        <f t="shared" ca="1" si="71"/>
        <v>363.98955606477148</v>
      </c>
      <c r="W154">
        <f t="shared" ca="1" si="72"/>
        <v>9.6693075896336788E-12</v>
      </c>
      <c r="X154">
        <f t="shared" ca="1" si="49"/>
        <v>3.4077964928835737E-6</v>
      </c>
      <c r="Y154">
        <f t="shared" ca="1" si="50"/>
        <v>3.4762988498026552E-4</v>
      </c>
      <c r="Z154">
        <f t="shared" ca="1" si="51"/>
        <v>148.1742779010338</v>
      </c>
      <c r="AA154">
        <f t="shared" ca="1" si="52"/>
        <v>486.87999111824729</v>
      </c>
      <c r="AB154" s="6">
        <f t="shared" ca="1" si="53"/>
        <v>-3.6559793506528443E-9</v>
      </c>
      <c r="AC154">
        <f t="shared" ca="1" si="54"/>
        <v>70.14921000275622</v>
      </c>
      <c r="AD154">
        <f t="shared" ca="1" si="73"/>
        <v>27.293325441377586</v>
      </c>
      <c r="AE154">
        <f t="shared" ca="1" si="55"/>
        <v>2.0784145454128713</v>
      </c>
      <c r="AF154">
        <f t="shared" ca="1" si="56"/>
        <v>99.520949989546679</v>
      </c>
      <c r="AG154">
        <f t="shared" ca="1" si="41"/>
        <v>0.6023424227570261</v>
      </c>
      <c r="AI154">
        <f t="shared" ca="1" si="57"/>
        <v>8.1756221688786707E-5</v>
      </c>
      <c r="AK154">
        <f t="shared" ca="1" si="58"/>
        <v>6.91076860984952E-2</v>
      </c>
      <c r="AM154">
        <f t="shared" ca="1" si="59"/>
        <v>11418.193891476833</v>
      </c>
      <c r="AN154" s="6">
        <f t="shared" si="60"/>
        <v>1.9495613999999998E-5</v>
      </c>
      <c r="AO154" s="6">
        <f t="shared" ca="1" si="61"/>
        <v>4637646.9846094605</v>
      </c>
      <c r="AP154" s="6">
        <f t="shared" ca="1" si="62"/>
        <v>2.3198028546201001E-3</v>
      </c>
    </row>
    <row r="155" spans="1:42" x14ac:dyDescent="0.25">
      <c r="A155">
        <f t="shared" si="63"/>
        <v>116</v>
      </c>
      <c r="B155">
        <f t="shared" si="39"/>
        <v>4.8172834868094041</v>
      </c>
      <c r="C155">
        <f t="shared" ca="1" si="64"/>
        <v>3739559427.374012</v>
      </c>
      <c r="D155">
        <f t="shared" si="42"/>
        <v>10000000</v>
      </c>
      <c r="E155">
        <f t="shared" ca="1" si="43"/>
        <v>10000000.001236033</v>
      </c>
      <c r="F155">
        <f t="shared" ca="1" si="65"/>
        <v>3673059031.2014589</v>
      </c>
      <c r="G155">
        <f t="shared" ca="1" si="40"/>
        <v>949.99696687995345</v>
      </c>
      <c r="H155">
        <f t="shared" ca="1" si="44"/>
        <v>9499969669.9737625</v>
      </c>
      <c r="I155">
        <f t="shared" ca="1" si="45"/>
        <v>791842534.49202824</v>
      </c>
      <c r="J155">
        <f t="shared" ca="1" si="74"/>
        <v>1478354993538.8281</v>
      </c>
      <c r="K155">
        <f t="shared" ca="1" si="46"/>
        <v>4.8565797752707458E-6</v>
      </c>
      <c r="L155">
        <f t="shared" ca="1" si="66"/>
        <v>-270084477526.75821</v>
      </c>
      <c r="M155">
        <f t="shared" ca="1" si="67"/>
        <v>-270084477569.61407</v>
      </c>
      <c r="N155">
        <f t="shared" ca="1" si="47"/>
        <v>270084477602.99744</v>
      </c>
      <c r="O155">
        <f t="shared" ca="1" si="48"/>
        <v>-270084477493.37488</v>
      </c>
      <c r="Q155">
        <f t="shared" si="68"/>
        <v>116</v>
      </c>
      <c r="R155" s="23">
        <f t="shared" si="76"/>
        <v>168.52550104455028</v>
      </c>
      <c r="S155">
        <f t="shared" ca="1" si="69"/>
        <v>2.9226933811153731E-2</v>
      </c>
      <c r="T155" s="23">
        <f t="shared" ca="1" si="70"/>
        <v>499999.99999939022</v>
      </c>
      <c r="U155">
        <f t="shared" ca="1" si="75"/>
        <v>352380.28243151325</v>
      </c>
      <c r="V155">
        <f t="shared" ca="1" si="71"/>
        <v>364.23544935015684</v>
      </c>
      <c r="W155">
        <f t="shared" ca="1" si="72"/>
        <v>9.8819241746304917E-12</v>
      </c>
      <c r="X155">
        <f t="shared" ca="1" si="49"/>
        <v>3.482195231623091E-6</v>
      </c>
      <c r="Y155">
        <f t="shared" ca="1" si="50"/>
        <v>3.5521931264846836E-4</v>
      </c>
      <c r="Z155">
        <f t="shared" ca="1" si="51"/>
        <v>148.23061252514069</v>
      </c>
      <c r="AA155">
        <f t="shared" ca="1" si="52"/>
        <v>486.873399201013</v>
      </c>
      <c r="AB155" s="6">
        <f t="shared" ca="1" si="53"/>
        <v>-3.6571082796460194E-9</v>
      </c>
      <c r="AC155">
        <f t="shared" ca="1" si="54"/>
        <v>70.112734278137026</v>
      </c>
      <c r="AD155">
        <f t="shared" ca="1" si="73"/>
        <v>27.256849716758392</v>
      </c>
      <c r="AE155">
        <f t="shared" ca="1" si="55"/>
        <v>2.1148902700320646</v>
      </c>
      <c r="AF155">
        <f t="shared" ca="1" si="56"/>
        <v>99.484474264927485</v>
      </c>
      <c r="AG155">
        <f t="shared" ca="1" si="41"/>
        <v>0.60252841993032746</v>
      </c>
      <c r="AI155">
        <f t="shared" ca="1" si="57"/>
        <v>8.1781467173015288E-5</v>
      </c>
      <c r="AK155">
        <f t="shared" ca="1" si="58"/>
        <v>6.9133024252471711E-2</v>
      </c>
      <c r="AM155">
        <f t="shared" ca="1" si="59"/>
        <v>11414.669158505285</v>
      </c>
      <c r="AN155" s="6">
        <f t="shared" si="60"/>
        <v>1.9495613999999998E-5</v>
      </c>
      <c r="AO155" s="6">
        <f t="shared" ca="1" si="61"/>
        <v>4637646.9846094595</v>
      </c>
      <c r="AP155" s="6">
        <f t="shared" ca="1" si="62"/>
        <v>2.319802854620101E-3</v>
      </c>
    </row>
    <row r="156" spans="1:42" x14ac:dyDescent="0.25">
      <c r="A156">
        <f t="shared" si="63"/>
        <v>117</v>
      </c>
      <c r="B156">
        <f t="shared" si="39"/>
        <v>4.858811792730175</v>
      </c>
      <c r="C156">
        <f t="shared" ca="1" si="64"/>
        <v>3772443306.3874755</v>
      </c>
      <c r="D156">
        <f t="shared" si="42"/>
        <v>10000000</v>
      </c>
      <c r="E156">
        <f t="shared" ca="1" si="43"/>
        <v>10000000.001225259</v>
      </c>
      <c r="F156">
        <f t="shared" ca="1" si="65"/>
        <v>3673059190.9046407</v>
      </c>
      <c r="G156">
        <f t="shared" ca="1" si="40"/>
        <v>949.99696688008544</v>
      </c>
      <c r="H156">
        <f t="shared" ca="1" si="44"/>
        <v>9499969669.9648476</v>
      </c>
      <c r="I156">
        <f t="shared" ca="1" si="45"/>
        <v>791842534.4912852</v>
      </c>
      <c r="J156">
        <f t="shared" ca="1" si="74"/>
        <v>1491354933015.6406</v>
      </c>
      <c r="K156">
        <f t="shared" ca="1" si="46"/>
        <v>4.8142456254683468E-6</v>
      </c>
      <c r="L156">
        <f t="shared" ca="1" si="66"/>
        <v>-272459469944.25165</v>
      </c>
      <c r="M156">
        <f t="shared" ca="1" si="67"/>
        <v>-272459469987.10751</v>
      </c>
      <c r="N156">
        <f t="shared" ca="1" si="47"/>
        <v>272459470020.49088</v>
      </c>
      <c r="O156">
        <f t="shared" ca="1" si="48"/>
        <v>-272459469910.86826</v>
      </c>
      <c r="Q156">
        <f t="shared" si="68"/>
        <v>117</v>
      </c>
      <c r="R156" s="23">
        <f t="shared" si="76"/>
        <v>169.97830708803781</v>
      </c>
      <c r="S156">
        <f t="shared" ca="1" si="69"/>
        <v>2.9742998575332913E-2</v>
      </c>
      <c r="T156" s="23">
        <f t="shared" ca="1" si="70"/>
        <v>499999.99999938492</v>
      </c>
      <c r="U156">
        <f t="shared" ca="1" si="75"/>
        <v>352324.95567716606</v>
      </c>
      <c r="V156">
        <f t="shared" ca="1" si="71"/>
        <v>364.48670755610061</v>
      </c>
      <c r="W156">
        <f t="shared" ca="1" si="72"/>
        <v>1.0103703425124436E-11</v>
      </c>
      <c r="X156">
        <f t="shared" ca="1" si="49"/>
        <v>3.559786861432198E-6</v>
      </c>
      <c r="Y156">
        <f t="shared" ca="1" si="50"/>
        <v>3.6313444766380705E-4</v>
      </c>
      <c r="Z156">
        <f t="shared" ca="1" si="51"/>
        <v>148.28821973076387</v>
      </c>
      <c r="AA156">
        <f t="shared" ca="1" si="52"/>
        <v>486.86666355395499</v>
      </c>
      <c r="AB156" s="6">
        <f t="shared" ca="1" si="53"/>
        <v>-3.6582599510369848E-9</v>
      </c>
      <c r="AC156">
        <f t="shared" ca="1" si="54"/>
        <v>70.075462218433856</v>
      </c>
      <c r="AD156">
        <f t="shared" ca="1" si="73"/>
        <v>27.21957765705524</v>
      </c>
      <c r="AE156">
        <f t="shared" ca="1" si="55"/>
        <v>2.1521623297352184</v>
      </c>
      <c r="AF156">
        <f t="shared" ca="1" si="56"/>
        <v>99.447202205224315</v>
      </c>
      <c r="AG156">
        <f t="shared" ca="1" si="41"/>
        <v>0.60271816403698675</v>
      </c>
      <c r="AI156">
        <f t="shared" ca="1" si="57"/>
        <v>8.1807221230279211E-5</v>
      </c>
      <c r="AK156">
        <f t="shared" ca="1" si="58"/>
        <v>6.9158934787411447E-2</v>
      </c>
      <c r="AM156">
        <f t="shared" ca="1" si="59"/>
        <v>11411.07566102748</v>
      </c>
      <c r="AN156" s="6">
        <f t="shared" si="60"/>
        <v>1.9495613999999998E-5</v>
      </c>
      <c r="AO156" s="6">
        <f t="shared" ca="1" si="61"/>
        <v>4637646.9846094577</v>
      </c>
      <c r="AP156" s="6">
        <f t="shared" ca="1" si="62"/>
        <v>2.319802854620101E-3</v>
      </c>
    </row>
    <row r="157" spans="1:42" x14ac:dyDescent="0.25">
      <c r="A157">
        <f t="shared" si="63"/>
        <v>118</v>
      </c>
      <c r="B157">
        <f t="shared" si="39"/>
        <v>4.900340098650946</v>
      </c>
      <c r="C157">
        <f t="shared" ca="1" si="64"/>
        <v>3805327185.400908</v>
      </c>
      <c r="D157">
        <f t="shared" si="42"/>
        <v>10000000</v>
      </c>
      <c r="E157">
        <f t="shared" ca="1" si="43"/>
        <v>10000000.001214672</v>
      </c>
      <c r="F157">
        <f t="shared" ca="1" si="65"/>
        <v>3673059349.2157116</v>
      </c>
      <c r="G157">
        <f t="shared" ca="1" si="40"/>
        <v>949.99696688021606</v>
      </c>
      <c r="H157">
        <f t="shared" ca="1" si="44"/>
        <v>9499969669.9560947</v>
      </c>
      <c r="I157">
        <f t="shared" ca="1" si="45"/>
        <v>791842534.49055552</v>
      </c>
      <c r="J157">
        <f t="shared" ca="1" si="74"/>
        <v>1504354872492.4531</v>
      </c>
      <c r="K157">
        <f t="shared" ca="1" si="46"/>
        <v>4.772643139976406E-6</v>
      </c>
      <c r="L157">
        <f t="shared" ca="1" si="66"/>
        <v>-274834462361.74286</v>
      </c>
      <c r="M157">
        <f t="shared" ca="1" si="67"/>
        <v>-274834462404.59872</v>
      </c>
      <c r="N157">
        <f t="shared" ca="1" si="47"/>
        <v>274834462437.98209</v>
      </c>
      <c r="O157">
        <f t="shared" ca="1" si="48"/>
        <v>-274834462328.35947</v>
      </c>
      <c r="Q157">
        <f t="shared" si="68"/>
        <v>118</v>
      </c>
      <c r="R157" s="23">
        <f t="shared" si="76"/>
        <v>171.43111313152528</v>
      </c>
      <c r="S157">
        <f t="shared" ca="1" si="69"/>
        <v>3.0270562495497377E-2</v>
      </c>
      <c r="T157" s="23">
        <f t="shared" ca="1" si="70"/>
        <v>499999.99999937962</v>
      </c>
      <c r="U157">
        <f t="shared" ca="1" si="75"/>
        <v>352268.35322556779</v>
      </c>
      <c r="V157">
        <f t="shared" ca="1" si="71"/>
        <v>364.74356084172251</v>
      </c>
      <c r="W157">
        <f t="shared" ca="1" si="72"/>
        <v>1.0335240353536758E-11</v>
      </c>
      <c r="X157">
        <f t="shared" ca="1" si="49"/>
        <v>3.640778099530829E-6</v>
      </c>
      <c r="Y157">
        <f t="shared" ca="1" si="50"/>
        <v>3.7139637728414438E-4</v>
      </c>
      <c r="Z157">
        <f t="shared" ca="1" si="51"/>
        <v>148.34715521516884</v>
      </c>
      <c r="AA157">
        <f t="shared" ca="1" si="52"/>
        <v>486.85977801322798</v>
      </c>
      <c r="AB157" s="6">
        <f t="shared" ca="1" si="53"/>
        <v>-3.6594352948021919E-9</v>
      </c>
      <c r="AC157">
        <f t="shared" ca="1" si="54"/>
        <v>70.037359648185969</v>
      </c>
      <c r="AD157">
        <f t="shared" ca="1" si="73"/>
        <v>27.181475086807346</v>
      </c>
      <c r="AE157">
        <f t="shared" ca="1" si="55"/>
        <v>2.1902648999831116</v>
      </c>
      <c r="AF157">
        <f t="shared" ca="1" si="56"/>
        <v>99.409099634976428</v>
      </c>
      <c r="AG157">
        <f t="shared" ca="1" si="41"/>
        <v>0.60291180829566682</v>
      </c>
      <c r="AI157">
        <f t="shared" ca="1" si="57"/>
        <v>8.1833504657020017E-5</v>
      </c>
      <c r="AK157">
        <f t="shared" ca="1" si="58"/>
        <v>6.9185442754797558E-2</v>
      </c>
      <c r="AM157">
        <f t="shared" ca="1" si="59"/>
        <v>11407.41063198556</v>
      </c>
      <c r="AN157" s="6">
        <f t="shared" si="60"/>
        <v>1.9495613999999998E-5</v>
      </c>
      <c r="AO157" s="6">
        <f t="shared" ca="1" si="61"/>
        <v>4637646.9846094595</v>
      </c>
      <c r="AP157" s="6">
        <f t="shared" ca="1" si="62"/>
        <v>2.319802854620101E-3</v>
      </c>
    </row>
    <row r="158" spans="1:42" x14ac:dyDescent="0.25">
      <c r="A158">
        <f t="shared" si="63"/>
        <v>119</v>
      </c>
      <c r="B158">
        <f t="shared" si="39"/>
        <v>4.9418684045717161</v>
      </c>
      <c r="C158">
        <f t="shared" ca="1" si="64"/>
        <v>3838211064.4143095</v>
      </c>
      <c r="D158">
        <f t="shared" si="42"/>
        <v>10000000</v>
      </c>
      <c r="E158">
        <f t="shared" ca="1" si="43"/>
        <v>10000000.001204263</v>
      </c>
      <c r="F158">
        <f t="shared" ca="1" si="65"/>
        <v>3673059506.158731</v>
      </c>
      <c r="G158">
        <f t="shared" ca="1" si="40"/>
        <v>949.99696688034578</v>
      </c>
      <c r="H158">
        <f t="shared" ca="1" si="44"/>
        <v>9499969669.947504</v>
      </c>
      <c r="I158">
        <f t="shared" ca="1" si="45"/>
        <v>791842534.48983955</v>
      </c>
      <c r="J158">
        <f t="shared" ca="1" si="74"/>
        <v>1517354811969.2656</v>
      </c>
      <c r="K158">
        <f t="shared" ca="1" si="46"/>
        <v>4.7317535131899094E-6</v>
      </c>
      <c r="L158">
        <f t="shared" ca="1" si="66"/>
        <v>-277209454779.23181</v>
      </c>
      <c r="M158">
        <f t="shared" ca="1" si="67"/>
        <v>-277209454822.08771</v>
      </c>
      <c r="N158">
        <f t="shared" ca="1" si="47"/>
        <v>277209454855.47107</v>
      </c>
      <c r="O158">
        <f t="shared" ca="1" si="48"/>
        <v>-277209454745.84851</v>
      </c>
      <c r="Q158">
        <f t="shared" si="68"/>
        <v>119</v>
      </c>
      <c r="R158" s="23">
        <f t="shared" si="76"/>
        <v>172.88391917501278</v>
      </c>
      <c r="S158">
        <f t="shared" ca="1" si="69"/>
        <v>3.0810129396945145E-2</v>
      </c>
      <c r="T158" s="23">
        <f t="shared" ca="1" si="70"/>
        <v>499999.99999937433</v>
      </c>
      <c r="U158">
        <f t="shared" ca="1" si="75"/>
        <v>352210.41807139828</v>
      </c>
      <c r="V158">
        <f t="shared" ca="1" si="71"/>
        <v>365.00625426358465</v>
      </c>
      <c r="W158">
        <f t="shared" ca="1" si="72"/>
        <v>1.0577182107057137E-11</v>
      </c>
      <c r="X158">
        <f t="shared" ca="1" si="49"/>
        <v>3.7253937319439079E-6</v>
      </c>
      <c r="Y158">
        <f t="shared" ca="1" si="50"/>
        <v>3.800280319691344E-4</v>
      </c>
      <c r="Z158">
        <f t="shared" ca="1" si="51"/>
        <v>148.40747833331383</v>
      </c>
      <c r="AA158">
        <f t="shared" ca="1" si="52"/>
        <v>486.85273601612812</v>
      </c>
      <c r="AB158" s="6">
        <f t="shared" ca="1" si="53"/>
        <v>-3.6606352989923439E-9</v>
      </c>
      <c r="AC158">
        <f t="shared" ca="1" si="54"/>
        <v>69.998390179312054</v>
      </c>
      <c r="AD158">
        <f t="shared" ca="1" si="73"/>
        <v>27.142505617933427</v>
      </c>
      <c r="AE158">
        <f t="shared" ca="1" si="55"/>
        <v>2.2292343688570306</v>
      </c>
      <c r="AF158">
        <f t="shared" ca="1" si="56"/>
        <v>99.370130166102513</v>
      </c>
      <c r="AG158">
        <f t="shared" ca="1" si="41"/>
        <v>0.60310951549307901</v>
      </c>
      <c r="AI158">
        <f t="shared" ca="1" si="57"/>
        <v>8.1860339548354933E-5</v>
      </c>
      <c r="AK158">
        <f t="shared" ca="1" si="58"/>
        <v>6.9212574851268152E-2</v>
      </c>
      <c r="AM158">
        <f t="shared" ca="1" si="59"/>
        <v>11403.671133390622</v>
      </c>
      <c r="AN158" s="6">
        <f t="shared" si="60"/>
        <v>1.9495613999999998E-5</v>
      </c>
      <c r="AO158" s="6">
        <f t="shared" ca="1" si="61"/>
        <v>4637646.9846094595</v>
      </c>
      <c r="AP158" s="6">
        <f t="shared" ca="1" si="62"/>
        <v>2.319802854620101E-3</v>
      </c>
    </row>
    <row r="159" spans="1:42" x14ac:dyDescent="0.25">
      <c r="A159">
        <f t="shared" si="63"/>
        <v>120</v>
      </c>
      <c r="B159">
        <f t="shared" si="39"/>
        <v>4.983396710492487</v>
      </c>
      <c r="C159">
        <f t="shared" ca="1" si="64"/>
        <v>3871094943.4276824</v>
      </c>
      <c r="D159">
        <f t="shared" si="42"/>
        <v>10000000</v>
      </c>
      <c r="E159">
        <f t="shared" ca="1" si="43"/>
        <v>10000000.001194034</v>
      </c>
      <c r="F159">
        <f t="shared" ca="1" si="65"/>
        <v>3673059661.7571411</v>
      </c>
      <c r="G159">
        <f t="shared" ca="1" si="40"/>
        <v>949.99696688047425</v>
      </c>
      <c r="H159">
        <f t="shared" ca="1" si="44"/>
        <v>9499969669.9390717</v>
      </c>
      <c r="I159">
        <f t="shared" ca="1" si="45"/>
        <v>791842534.48913658</v>
      </c>
      <c r="J159">
        <f t="shared" ca="1" si="74"/>
        <v>1530354751446.0469</v>
      </c>
      <c r="K159">
        <f t="shared" ca="1" si="46"/>
        <v>4.6915585784975501E-6</v>
      </c>
      <c r="L159">
        <f t="shared" ca="1" si="66"/>
        <v>-279584447196.71875</v>
      </c>
      <c r="M159">
        <f t="shared" ca="1" si="67"/>
        <v>-279584447239.57465</v>
      </c>
      <c r="N159">
        <f t="shared" ca="1" si="47"/>
        <v>279584447272.95801</v>
      </c>
      <c r="O159">
        <f t="shared" ca="1" si="48"/>
        <v>-279584447163.33545</v>
      </c>
      <c r="Q159">
        <f t="shared" si="68"/>
        <v>120</v>
      </c>
      <c r="R159" s="23">
        <f t="shared" si="76"/>
        <v>174.33672521850028</v>
      </c>
      <c r="S159">
        <f t="shared" ca="1" si="69"/>
        <v>3.1362236418484561E-2</v>
      </c>
      <c r="T159" s="23">
        <f t="shared" ca="1" si="70"/>
        <v>499999.99999936903</v>
      </c>
      <c r="U159">
        <f t="shared" ca="1" si="75"/>
        <v>352151.0893858659</v>
      </c>
      <c r="V159">
        <f t="shared" ca="1" si="71"/>
        <v>365.27504907759482</v>
      </c>
      <c r="W159">
        <f t="shared" ca="1" si="72"/>
        <v>1.0830233765693341E-11</v>
      </c>
      <c r="X159">
        <f t="shared" ca="1" si="49"/>
        <v>3.8138786188924985E-6</v>
      </c>
      <c r="Y159">
        <f t="shared" ca="1" si="50"/>
        <v>3.8905438995050614E-4</v>
      </c>
      <c r="Z159">
        <f t="shared" ca="1" si="51"/>
        <v>148.4692524212241</v>
      </c>
      <c r="AA159">
        <f t="shared" ca="1" si="52"/>
        <v>486.84553056624304</v>
      </c>
      <c r="AB159" s="6">
        <f t="shared" ca="1" si="53"/>
        <v>-3.661861014660406E-9</v>
      </c>
      <c r="AC159">
        <f t="shared" ca="1" si="54"/>
        <v>69.958515017708876</v>
      </c>
      <c r="AD159">
        <f t="shared" ca="1" si="73"/>
        <v>27.102630456330253</v>
      </c>
      <c r="AE159">
        <f t="shared" ca="1" si="55"/>
        <v>2.2691095304602023</v>
      </c>
      <c r="AF159">
        <f t="shared" ca="1" si="56"/>
        <v>99.330255004499335</v>
      </c>
      <c r="AG159">
        <f t="shared" ca="1" si="41"/>
        <v>0.60331145879589898</v>
      </c>
      <c r="AI159">
        <f t="shared" ca="1" si="57"/>
        <v>8.1887749408278703E-5</v>
      </c>
      <c r="AK159">
        <f t="shared" ca="1" si="58"/>
        <v>6.924035956406327E-2</v>
      </c>
      <c r="AM159">
        <f t="shared" ca="1" si="59"/>
        <v>11399.854041937484</v>
      </c>
      <c r="AN159" s="6">
        <f t="shared" si="60"/>
        <v>1.9495613999999998E-5</v>
      </c>
      <c r="AO159" s="6">
        <f t="shared" ca="1" si="61"/>
        <v>4637646.9846094586</v>
      </c>
      <c r="AP159" s="6">
        <f t="shared" ca="1" si="62"/>
        <v>2.319802854620101E-3</v>
      </c>
    </row>
    <row r="160" spans="1:42" x14ac:dyDescent="0.25">
      <c r="A160">
        <f t="shared" si="63"/>
        <v>121</v>
      </c>
      <c r="B160">
        <f t="shared" si="39"/>
        <v>5.0249250164132579</v>
      </c>
      <c r="C160">
        <f t="shared" ca="1" si="64"/>
        <v>3903978822.4410257</v>
      </c>
      <c r="D160">
        <f t="shared" si="42"/>
        <v>10000000</v>
      </c>
      <c r="E160">
        <f t="shared" ca="1" si="43"/>
        <v>10000000.001183975</v>
      </c>
      <c r="F160">
        <f t="shared" ca="1" si="65"/>
        <v>3673059816.0337858</v>
      </c>
      <c r="G160">
        <f t="shared" ca="1" si="40"/>
        <v>949.99696688060158</v>
      </c>
      <c r="H160">
        <f t="shared" ca="1" si="44"/>
        <v>9499969669.930788</v>
      </c>
      <c r="I160">
        <f t="shared" ca="1" si="45"/>
        <v>791842534.48844624</v>
      </c>
      <c r="J160">
        <f t="shared" ca="1" si="74"/>
        <v>1543354690922.8281</v>
      </c>
      <c r="K160">
        <f t="shared" ca="1" si="46"/>
        <v>4.6520407813696749E-6</v>
      </c>
      <c r="L160">
        <f t="shared" ca="1" si="66"/>
        <v>-281959439614.20349</v>
      </c>
      <c r="M160">
        <f t="shared" ca="1" si="67"/>
        <v>-281959439657.05939</v>
      </c>
      <c r="N160">
        <f t="shared" ca="1" si="47"/>
        <v>281959439690.44275</v>
      </c>
      <c r="O160">
        <f t="shared" ca="1" si="48"/>
        <v>-281959439580.82019</v>
      </c>
      <c r="Q160">
        <f t="shared" si="68"/>
        <v>121</v>
      </c>
      <c r="R160" s="23">
        <f t="shared" si="76"/>
        <v>175.7895312619878</v>
      </c>
      <c r="S160">
        <f t="shared" ca="1" si="69"/>
        <v>3.1927456987450011E-2</v>
      </c>
      <c r="T160" s="23">
        <f t="shared" ca="1" si="70"/>
        <v>499999.99999936373</v>
      </c>
      <c r="U160">
        <f t="shared" ca="1" si="75"/>
        <v>352090.30217133131</v>
      </c>
      <c r="V160">
        <f t="shared" ca="1" si="71"/>
        <v>365.55022418537976</v>
      </c>
      <c r="W160">
        <f t="shared" ca="1" si="72"/>
        <v>1.1095164927634986E-11</v>
      </c>
      <c r="X160">
        <f t="shared" ca="1" si="49"/>
        <v>3.9064999720117595E-6</v>
      </c>
      <c r="Y160">
        <f t="shared" ca="1" si="50"/>
        <v>3.9850270953144463E-4</v>
      </c>
      <c r="Z160">
        <f t="shared" ca="1" si="51"/>
        <v>148.5325451556036</v>
      </c>
      <c r="AA160">
        <f t="shared" ca="1" si="52"/>
        <v>486.83815419473621</v>
      </c>
      <c r="AB160" s="6">
        <f t="shared" ca="1" si="53"/>
        <v>-3.6631135613227225E-9</v>
      </c>
      <c r="AC160">
        <f t="shared" ca="1" si="54"/>
        <v>69.917692748384908</v>
      </c>
      <c r="AD160">
        <f t="shared" ca="1" si="73"/>
        <v>27.061808187006289</v>
      </c>
      <c r="AE160">
        <f t="shared" ca="1" si="55"/>
        <v>2.3099317997841671</v>
      </c>
      <c r="AF160">
        <f t="shared" ca="1" si="56"/>
        <v>99.289432735175367</v>
      </c>
      <c r="AG160">
        <f t="shared" ca="1" si="41"/>
        <v>0.60351782265051446</v>
      </c>
      <c r="AI160">
        <f t="shared" ca="1" si="57"/>
        <v>8.1915759271786697E-5</v>
      </c>
      <c r="AK160">
        <f t="shared" ca="1" si="58"/>
        <v>6.9268827332770858E-2</v>
      </c>
      <c r="AM160">
        <f t="shared" ca="1" si="59"/>
        <v>11395.956033073693</v>
      </c>
      <c r="AN160" s="6">
        <f t="shared" si="60"/>
        <v>1.9495613999999998E-5</v>
      </c>
      <c r="AO160" s="6">
        <f t="shared" ca="1" si="61"/>
        <v>4637646.9846094595</v>
      </c>
      <c r="AP160" s="6">
        <f t="shared" ca="1" si="62"/>
        <v>2.319802854620101E-3</v>
      </c>
    </row>
    <row r="161" spans="1:42" x14ac:dyDescent="0.25">
      <c r="A161">
        <f t="shared" si="63"/>
        <v>122</v>
      </c>
      <c r="B161">
        <f t="shared" si="39"/>
        <v>5.066453322334028</v>
      </c>
      <c r="C161">
        <f t="shared" ca="1" si="64"/>
        <v>3936862701.45434</v>
      </c>
      <c r="D161">
        <f t="shared" si="42"/>
        <v>10000000</v>
      </c>
      <c r="E161">
        <f t="shared" ca="1" si="43"/>
        <v>10000000.001174085</v>
      </c>
      <c r="F161">
        <f t="shared" ca="1" si="65"/>
        <v>3673059969.010932</v>
      </c>
      <c r="G161">
        <f t="shared" ca="1" si="40"/>
        <v>949.996966880728</v>
      </c>
      <c r="H161">
        <f t="shared" ca="1" si="44"/>
        <v>9499969669.922657</v>
      </c>
      <c r="I161">
        <f t="shared" ca="1" si="45"/>
        <v>791842534.48776841</v>
      </c>
      <c r="J161">
        <f t="shared" ca="1" si="74"/>
        <v>1556354630399.5781</v>
      </c>
      <c r="K161">
        <f t="shared" ca="1" si="46"/>
        <v>4.6131831537956489E-6</v>
      </c>
      <c r="L161">
        <f t="shared" ca="1" si="66"/>
        <v>-284334432031.68616</v>
      </c>
      <c r="M161">
        <f t="shared" ca="1" si="67"/>
        <v>-284334432074.54205</v>
      </c>
      <c r="N161">
        <f t="shared" ca="1" si="47"/>
        <v>284334432107.92542</v>
      </c>
      <c r="O161">
        <f t="shared" ca="1" si="48"/>
        <v>-284334431998.30286</v>
      </c>
      <c r="Q161">
        <f t="shared" si="68"/>
        <v>122</v>
      </c>
      <c r="R161" s="23">
        <f t="shared" si="76"/>
        <v>177.2423373054753</v>
      </c>
      <c r="S161">
        <f t="shared" ca="1" si="69"/>
        <v>3.2506404132203438E-2</v>
      </c>
      <c r="T161" s="23">
        <f t="shared" ca="1" si="70"/>
        <v>499999.99999935844</v>
      </c>
      <c r="U161">
        <f t="shared" ca="1" si="75"/>
        <v>352027.9868763712</v>
      </c>
      <c r="V161">
        <f t="shared" ca="1" si="71"/>
        <v>365.83207774470782</v>
      </c>
      <c r="W161">
        <f t="shared" ca="1" si="72"/>
        <v>1.1372817209023495E-11</v>
      </c>
      <c r="X161">
        <f t="shared" ca="1" si="49"/>
        <v>4.0035499472054918E-6</v>
      </c>
      <c r="Y161">
        <f t="shared" ca="1" si="50"/>
        <v>4.0840279358411269E-4</v>
      </c>
      <c r="Z161">
        <f t="shared" ca="1" si="51"/>
        <v>148.59742895463756</v>
      </c>
      <c r="AA161">
        <f t="shared" ca="1" si="52"/>
        <v>486.83059891724082</v>
      </c>
      <c r="AB161" s="6">
        <f t="shared" ca="1" si="53"/>
        <v>-3.6643941330238518E-9</v>
      </c>
      <c r="AC161">
        <f t="shared" ca="1" si="54"/>
        <v>69.875879096219492</v>
      </c>
      <c r="AD161">
        <f t="shared" ca="1" si="73"/>
        <v>27.019994534840865</v>
      </c>
      <c r="AE161">
        <f t="shared" ca="1" si="55"/>
        <v>2.3517454519495917</v>
      </c>
      <c r="AF161">
        <f t="shared" ca="1" si="56"/>
        <v>99.247619083009951</v>
      </c>
      <c r="AG161">
        <f t="shared" ca="1" si="41"/>
        <v>0.60372880378224181</v>
      </c>
      <c r="AI161">
        <f t="shared" ca="1" si="57"/>
        <v>8.1944395840499065E-5</v>
      </c>
      <c r="AK161">
        <f t="shared" ca="1" si="58"/>
        <v>6.9298010729599527E-2</v>
      </c>
      <c r="AM161">
        <f t="shared" ca="1" si="59"/>
        <v>11391.973563319212</v>
      </c>
      <c r="AN161" s="6">
        <f t="shared" si="60"/>
        <v>1.9495613999999998E-5</v>
      </c>
      <c r="AO161" s="6">
        <f t="shared" ca="1" si="61"/>
        <v>4637646.9846094605</v>
      </c>
      <c r="AP161" s="6">
        <f t="shared" ca="1" si="62"/>
        <v>2.3198028546201001E-3</v>
      </c>
    </row>
    <row r="162" spans="1:42" x14ac:dyDescent="0.25">
      <c r="A162">
        <f t="shared" si="63"/>
        <v>123</v>
      </c>
      <c r="B162">
        <f t="shared" si="39"/>
        <v>5.107981628254799</v>
      </c>
      <c r="C162">
        <f t="shared" ca="1" si="64"/>
        <v>3969746580.4676266</v>
      </c>
      <c r="D162">
        <f t="shared" si="42"/>
        <v>10000000</v>
      </c>
      <c r="E162">
        <f t="shared" ca="1" si="43"/>
        <v>10000000.001164364</v>
      </c>
      <c r="F162">
        <f t="shared" ca="1" si="65"/>
        <v>3673060120.7102885</v>
      </c>
      <c r="G162">
        <f t="shared" ca="1" si="40"/>
        <v>949.99696688085317</v>
      </c>
      <c r="H162">
        <f t="shared" ca="1" si="44"/>
        <v>9499969669.9146729</v>
      </c>
      <c r="I162">
        <f t="shared" ca="1" si="45"/>
        <v>791842534.48710299</v>
      </c>
      <c r="J162">
        <f t="shared" ca="1" si="74"/>
        <v>1569354569876.3438</v>
      </c>
      <c r="K162">
        <f t="shared" ca="1" si="46"/>
        <v>4.5749692899909228E-6</v>
      </c>
      <c r="L162">
        <f t="shared" ca="1" si="66"/>
        <v>-286709424449.16681</v>
      </c>
      <c r="M162">
        <f t="shared" ca="1" si="67"/>
        <v>-286709424492.02271</v>
      </c>
      <c r="N162">
        <f t="shared" ca="1" si="47"/>
        <v>286709424525.40607</v>
      </c>
      <c r="O162">
        <f t="shared" ca="1" si="48"/>
        <v>-286709424415.78339</v>
      </c>
      <c r="Q162">
        <f t="shared" si="68"/>
        <v>123</v>
      </c>
      <c r="R162" s="23">
        <f t="shared" si="76"/>
        <v>178.6951433489628</v>
      </c>
      <c r="S162">
        <f t="shared" ca="1" si="69"/>
        <v>3.3099734178899616E-2</v>
      </c>
      <c r="T162" s="23">
        <f t="shared" ca="1" si="70"/>
        <v>499999.99999935314</v>
      </c>
      <c r="U162">
        <f t="shared" ca="1" si="75"/>
        <v>351964.06896575121</v>
      </c>
      <c r="V162">
        <f t="shared" ca="1" si="71"/>
        <v>366.12092896669651</v>
      </c>
      <c r="W162">
        <f t="shared" ca="1" si="72"/>
        <v>1.1664112809136613E-11</v>
      </c>
      <c r="X162">
        <f t="shared" ca="1" si="49"/>
        <v>4.1053486051792613E-6</v>
      </c>
      <c r="Y162">
        <f t="shared" ca="1" si="50"/>
        <v>4.1878729155412568E-4</v>
      </c>
      <c r="Z162">
        <f t="shared" ca="1" si="51"/>
        <v>148.66398142574437</v>
      </c>
      <c r="AA162">
        <f t="shared" ca="1" si="52"/>
        <v>486.82285618575548</v>
      </c>
      <c r="AB162" s="6">
        <f t="shared" ca="1" si="53"/>
        <v>-3.6657040050869369E-9</v>
      </c>
      <c r="AC162">
        <f t="shared" ca="1" si="54"/>
        <v>69.833026658969075</v>
      </c>
      <c r="AD162">
        <f t="shared" ca="1" si="73"/>
        <v>26.977142097590459</v>
      </c>
      <c r="AE162">
        <f t="shared" ca="1" si="55"/>
        <v>2.3945978891999995</v>
      </c>
      <c r="AF162">
        <f t="shared" ca="1" si="56"/>
        <v>99.204766645759534</v>
      </c>
      <c r="AG162">
        <f t="shared" ca="1" si="41"/>
        <v>0.60394461230748409</v>
      </c>
      <c r="AI162">
        <f t="shared" ca="1" si="57"/>
        <v>8.1973687633614474E-5</v>
      </c>
      <c r="AK162">
        <f t="shared" ca="1" si="58"/>
        <v>6.9327944660768082E-2</v>
      </c>
      <c r="AM162">
        <f t="shared" ca="1" si="59"/>
        <v>11387.902850601189</v>
      </c>
      <c r="AN162" s="6">
        <f t="shared" si="60"/>
        <v>1.9495613999999998E-5</v>
      </c>
      <c r="AO162" s="6">
        <f t="shared" ca="1" si="61"/>
        <v>4637646.9846094586</v>
      </c>
      <c r="AP162" s="6">
        <f t="shared" ca="1" si="62"/>
        <v>2.319802854620101E-3</v>
      </c>
    </row>
    <row r="163" spans="1:42" x14ac:dyDescent="0.25">
      <c r="A163">
        <f t="shared" si="63"/>
        <v>124</v>
      </c>
      <c r="B163">
        <f t="shared" si="39"/>
        <v>5.1495099341755699</v>
      </c>
      <c r="C163">
        <f t="shared" ca="1" si="64"/>
        <v>4002630459.4808855</v>
      </c>
      <c r="D163">
        <f t="shared" si="42"/>
        <v>10000000</v>
      </c>
      <c r="E163">
        <f t="shared" ca="1" si="43"/>
        <v>10000000.001154793</v>
      </c>
      <c r="F163">
        <f t="shared" ca="1" si="65"/>
        <v>3673060271.1530252</v>
      </c>
      <c r="G163">
        <f t="shared" ca="1" si="40"/>
        <v>949.99696688097742</v>
      </c>
      <c r="H163">
        <f t="shared" ca="1" si="44"/>
        <v>9499969669.9068241</v>
      </c>
      <c r="I163">
        <f t="shared" ca="1" si="45"/>
        <v>791842534.48644876</v>
      </c>
      <c r="J163">
        <f t="shared" ca="1" si="74"/>
        <v>1582354509353.0781</v>
      </c>
      <c r="K163">
        <f t="shared" ca="1" si="46"/>
        <v>4.5373833233025124E-6</v>
      </c>
      <c r="L163">
        <f t="shared" ca="1" si="66"/>
        <v>-289084416866.64551</v>
      </c>
      <c r="M163">
        <f t="shared" ca="1" si="67"/>
        <v>-289084416909.5014</v>
      </c>
      <c r="N163">
        <f t="shared" ca="1" si="47"/>
        <v>289084416942.88477</v>
      </c>
      <c r="O163">
        <f t="shared" ca="1" si="48"/>
        <v>-289084416833.26221</v>
      </c>
      <c r="Q163">
        <f t="shared" si="68"/>
        <v>124</v>
      </c>
      <c r="R163" s="23">
        <f t="shared" si="76"/>
        <v>180.14794939245033</v>
      </c>
      <c r="S163">
        <f t="shared" ca="1" si="69"/>
        <v>3.3708150887005225E-2</v>
      </c>
      <c r="T163" s="23">
        <f t="shared" ca="1" si="70"/>
        <v>499999.99999934784</v>
      </c>
      <c r="U163">
        <f t="shared" ca="1" si="75"/>
        <v>351898.46843885951</v>
      </c>
      <c r="V163">
        <f t="shared" ca="1" si="71"/>
        <v>366.41712012628761</v>
      </c>
      <c r="W163">
        <f t="shared" ca="1" si="72"/>
        <v>1.1970064321083545E-11</v>
      </c>
      <c r="X163">
        <f t="shared" ca="1" si="49"/>
        <v>4.2122473017039357E-6</v>
      </c>
      <c r="Y163">
        <f t="shared" ca="1" si="50"/>
        <v>4.2969204530189658E-4</v>
      </c>
      <c r="Z163">
        <f t="shared" ca="1" si="51"/>
        <v>148.73228586699113</v>
      </c>
      <c r="AA163">
        <f t="shared" ca="1" si="52"/>
        <v>486.81491683483108</v>
      </c>
      <c r="AB163" s="6">
        <f t="shared" ca="1" si="53"/>
        <v>-3.6670445416445514E-9</v>
      </c>
      <c r="AC163">
        <f t="shared" ca="1" si="54"/>
        <v>69.789084608585199</v>
      </c>
      <c r="AD163">
        <f t="shared" ca="1" si="73"/>
        <v>26.933200047206572</v>
      </c>
      <c r="AE163">
        <f t="shared" ca="1" si="55"/>
        <v>2.4385399395838832</v>
      </c>
      <c r="AF163">
        <f t="shared" ca="1" si="56"/>
        <v>99.160824595375658</v>
      </c>
      <c r="AG163">
        <f t="shared" ca="1" si="41"/>
        <v>0.60416547297447964</v>
      </c>
      <c r="AI163">
        <f t="shared" ca="1" si="57"/>
        <v>8.2003665156317552E-5</v>
      </c>
      <c r="AK163">
        <f t="shared" ca="1" si="58"/>
        <v>6.9358666592032034E-2</v>
      </c>
      <c r="AM163">
        <f t="shared" ca="1" si="59"/>
        <v>11383.739852330402</v>
      </c>
      <c r="AN163" s="6">
        <f t="shared" si="60"/>
        <v>1.9495613999999998E-5</v>
      </c>
      <c r="AO163" s="6">
        <f t="shared" ca="1" si="61"/>
        <v>4637646.9846094595</v>
      </c>
      <c r="AP163" s="6">
        <f t="shared" ca="1" si="62"/>
        <v>2.319802854620101E-3</v>
      </c>
    </row>
    <row r="164" spans="1:42" x14ac:dyDescent="0.25">
      <c r="A164">
        <f t="shared" si="63"/>
        <v>125</v>
      </c>
      <c r="B164">
        <f t="shared" si="39"/>
        <v>5.1910382400963409</v>
      </c>
      <c r="C164">
        <f t="shared" ca="1" si="64"/>
        <v>4035514338.4941173</v>
      </c>
      <c r="D164">
        <f t="shared" si="42"/>
        <v>10000000</v>
      </c>
      <c r="E164">
        <f t="shared" ca="1" si="43"/>
        <v>10000000.001145383</v>
      </c>
      <c r="F164">
        <f t="shared" ca="1" si="65"/>
        <v>3673060420.3597894</v>
      </c>
      <c r="G164">
        <f t="shared" ca="1" si="40"/>
        <v>949.99696688110055</v>
      </c>
      <c r="H164">
        <f t="shared" ca="1" si="44"/>
        <v>9499969669.8991165</v>
      </c>
      <c r="I164">
        <f t="shared" ca="1" si="45"/>
        <v>791842534.48580623</v>
      </c>
      <c r="J164">
        <f t="shared" ca="1" si="74"/>
        <v>1595354448829.8125</v>
      </c>
      <c r="K164">
        <f t="shared" ca="1" si="46"/>
        <v>4.5004099042426026E-6</v>
      </c>
      <c r="L164">
        <f t="shared" ca="1" si="66"/>
        <v>-291459409284.12219</v>
      </c>
      <c r="M164">
        <f t="shared" ca="1" si="67"/>
        <v>-291459409326.97809</v>
      </c>
      <c r="N164">
        <f t="shared" ca="1" si="47"/>
        <v>291459409360.36145</v>
      </c>
      <c r="O164">
        <f t="shared" ca="1" si="48"/>
        <v>-291459409250.73889</v>
      </c>
      <c r="Q164">
        <f t="shared" si="68"/>
        <v>125</v>
      </c>
      <c r="R164" s="23">
        <f t="shared" si="76"/>
        <v>181.6007554359378</v>
      </c>
      <c r="S164">
        <f t="shared" ca="1" si="69"/>
        <v>3.4332410087258312E-2</v>
      </c>
      <c r="T164" s="23">
        <f t="shared" ca="1" si="70"/>
        <v>499999.99999934249</v>
      </c>
      <c r="U164">
        <f t="shared" ca="1" si="75"/>
        <v>351831.09928905527</v>
      </c>
      <c r="V164">
        <f t="shared" ca="1" si="71"/>
        <v>366.72101881694221</v>
      </c>
      <c r="W164">
        <f t="shared" ca="1" si="72"/>
        <v>1.2291786003633766E-11</v>
      </c>
      <c r="X164">
        <f t="shared" ca="1" si="49"/>
        <v>4.3246325818842918E-6</v>
      </c>
      <c r="Y164">
        <f t="shared" ca="1" si="50"/>
        <v>4.4115648635762215E-4</v>
      </c>
      <c r="Z164">
        <f t="shared" ca="1" si="51"/>
        <v>148.80243183002975</v>
      </c>
      <c r="AA164">
        <f t="shared" ca="1" si="52"/>
        <v>486.8067710212236</v>
      </c>
      <c r="AB164" s="6">
        <f t="shared" ca="1" si="53"/>
        <v>-3.6684172040606838E-9</v>
      </c>
      <c r="AC164">
        <f t="shared" ca="1" si="54"/>
        <v>69.743998356244219</v>
      </c>
      <c r="AD164">
        <f t="shared" ca="1" si="73"/>
        <v>26.888113794865582</v>
      </c>
      <c r="AE164">
        <f t="shared" ca="1" si="55"/>
        <v>2.4836261919248734</v>
      </c>
      <c r="AF164">
        <f t="shared" ca="1" si="56"/>
        <v>99.115738343034664</v>
      </c>
      <c r="AG164">
        <f t="shared" ca="1" si="41"/>
        <v>0.60439162655087031</v>
      </c>
      <c r="AI164">
        <f t="shared" ca="1" si="57"/>
        <v>8.2034361088114075E-5</v>
      </c>
      <c r="AK164">
        <f t="shared" ca="1" si="58"/>
        <v>6.9390216801880442E-2</v>
      </c>
      <c r="AM164">
        <f t="shared" ca="1" si="59"/>
        <v>11379.480240900975</v>
      </c>
      <c r="AN164" s="6">
        <f t="shared" si="60"/>
        <v>1.9495613999999998E-5</v>
      </c>
      <c r="AO164" s="6">
        <f t="shared" ca="1" si="61"/>
        <v>4637646.9846094595</v>
      </c>
      <c r="AP164" s="6">
        <f t="shared" ca="1" si="62"/>
        <v>2.319802854620101E-3</v>
      </c>
    </row>
    <row r="165" spans="1:42" x14ac:dyDescent="0.25">
      <c r="A165">
        <f t="shared" si="63"/>
        <v>126</v>
      </c>
      <c r="B165">
        <f t="shared" si="39"/>
        <v>5.2325665460171118</v>
      </c>
      <c r="C165">
        <f t="shared" ca="1" si="64"/>
        <v>4068398217.5073223</v>
      </c>
      <c r="D165">
        <f t="shared" si="42"/>
        <v>10000000</v>
      </c>
      <c r="E165">
        <f t="shared" ca="1" si="43"/>
        <v>10000000.00113613</v>
      </c>
      <c r="F165">
        <f t="shared" ca="1" si="65"/>
        <v>3673060568.3507242</v>
      </c>
      <c r="G165">
        <f t="shared" ca="1" si="40"/>
        <v>949.99696688122287</v>
      </c>
      <c r="H165">
        <f t="shared" ca="1" si="44"/>
        <v>9499969669.8915482</v>
      </c>
      <c r="I165">
        <f t="shared" ca="1" si="45"/>
        <v>791842534.48517549</v>
      </c>
      <c r="J165">
        <f t="shared" ca="1" si="74"/>
        <v>1608354388306.5313</v>
      </c>
      <c r="K165">
        <f t="shared" ca="1" si="46"/>
        <v>4.4640341795882986E-6</v>
      </c>
      <c r="L165">
        <f t="shared" ca="1" si="66"/>
        <v>-293834401701.59698</v>
      </c>
      <c r="M165">
        <f t="shared" ca="1" si="67"/>
        <v>-293834401744.45282</v>
      </c>
      <c r="N165">
        <f t="shared" ca="1" si="47"/>
        <v>293834401777.83618</v>
      </c>
      <c r="O165">
        <f t="shared" ca="1" si="48"/>
        <v>-293834401668.21362</v>
      </c>
      <c r="Q165">
        <f t="shared" si="68"/>
        <v>126</v>
      </c>
      <c r="R165" s="23">
        <f t="shared" si="76"/>
        <v>183.0535614794253</v>
      </c>
      <c r="S165">
        <f t="shared" ca="1" si="69"/>
        <v>3.4973324896762373E-2</v>
      </c>
      <c r="T165" s="23">
        <f t="shared" ca="1" si="70"/>
        <v>499999.99999933713</v>
      </c>
      <c r="U165">
        <f t="shared" ca="1" si="75"/>
        <v>351761.86889507208</v>
      </c>
      <c r="V165">
        <f t="shared" ca="1" si="71"/>
        <v>367.03302048585658</v>
      </c>
      <c r="W165">
        <f t="shared" ca="1" si="72"/>
        <v>1.2630506773391131E-11</v>
      </c>
      <c r="X165">
        <f t="shared" ca="1" si="49"/>
        <v>4.4429306676999311E-6</v>
      </c>
      <c r="Y165">
        <f t="shared" ca="1" si="50"/>
        <v>4.5322409369607521E-4</v>
      </c>
      <c r="Z165">
        <f t="shared" ca="1" si="51"/>
        <v>148.87451575377824</v>
      </c>
      <c r="AA165">
        <f t="shared" ca="1" si="52"/>
        <v>486.79840815603967</v>
      </c>
      <c r="AB165" s="6">
        <f t="shared" ca="1" si="53"/>
        <v>-3.6698235603732675E-9</v>
      </c>
      <c r="AC165">
        <f t="shared" ca="1" si="54"/>
        <v>69.697709175694428</v>
      </c>
      <c r="AD165">
        <f t="shared" ca="1" si="73"/>
        <v>26.841824614315801</v>
      </c>
      <c r="AE165">
        <f t="shared" ca="1" si="55"/>
        <v>2.5299153724746555</v>
      </c>
      <c r="AF165">
        <f t="shared" ca="1" si="56"/>
        <v>99.069449162484887</v>
      </c>
      <c r="AG165">
        <f t="shared" ca="1" si="41"/>
        <v>0.60462333137940849</v>
      </c>
      <c r="AI165">
        <f t="shared" ca="1" si="57"/>
        <v>8.2065810493987945E-5</v>
      </c>
      <c r="AK165">
        <f t="shared" ca="1" si="58"/>
        <v>6.9422638666553002E-2</v>
      </c>
      <c r="AM165">
        <f t="shared" ca="1" si="59"/>
        <v>11375.119376241559</v>
      </c>
      <c r="AN165" s="6">
        <f t="shared" si="60"/>
        <v>1.9495613999999998E-5</v>
      </c>
      <c r="AO165" s="6">
        <f t="shared" ca="1" si="61"/>
        <v>4637646.9846094605</v>
      </c>
      <c r="AP165" s="6">
        <f t="shared" ca="1" si="62"/>
        <v>2.3198028546201001E-3</v>
      </c>
    </row>
    <row r="166" spans="1:42" x14ac:dyDescent="0.25">
      <c r="A166">
        <f t="shared" si="63"/>
        <v>127</v>
      </c>
      <c r="B166">
        <f t="shared" si="39"/>
        <v>5.2740948519378819</v>
      </c>
      <c r="C166">
        <f t="shared" ca="1" si="64"/>
        <v>4101282096.5205007</v>
      </c>
      <c r="D166">
        <f t="shared" si="42"/>
        <v>10000000</v>
      </c>
      <c r="E166">
        <f t="shared" ca="1" si="43"/>
        <v>10000000.001127018</v>
      </c>
      <c r="F166">
        <f t="shared" ca="1" si="65"/>
        <v>3673060715.145484</v>
      </c>
      <c r="G166">
        <f t="shared" ca="1" si="40"/>
        <v>949.99696688134406</v>
      </c>
      <c r="H166">
        <f t="shared" ca="1" si="44"/>
        <v>9499969669.8841038</v>
      </c>
      <c r="I166">
        <f t="shared" ca="1" si="45"/>
        <v>791842534.48455501</v>
      </c>
      <c r="J166">
        <f t="shared" ca="1" si="74"/>
        <v>1621354327783.2344</v>
      </c>
      <c r="K166">
        <f t="shared" ca="1" si="46"/>
        <v>4.4282417724863144E-6</v>
      </c>
      <c r="L166">
        <f t="shared" ca="1" si="66"/>
        <v>-296209394119.06982</v>
      </c>
      <c r="M166">
        <f t="shared" ca="1" si="67"/>
        <v>-296209394161.92566</v>
      </c>
      <c r="N166">
        <f t="shared" ca="1" si="47"/>
        <v>296209394195.30902</v>
      </c>
      <c r="O166">
        <f t="shared" ca="1" si="48"/>
        <v>-296209394085.68646</v>
      </c>
      <c r="Q166">
        <f t="shared" si="68"/>
        <v>127</v>
      </c>
      <c r="R166" s="23">
        <f t="shared" si="76"/>
        <v>184.5063675229128</v>
      </c>
      <c r="S166">
        <f t="shared" ca="1" si="69"/>
        <v>3.5631771599138176E-2</v>
      </c>
      <c r="T166" s="23">
        <f t="shared" ca="1" si="70"/>
        <v>499999.99999933178</v>
      </c>
      <c r="U166">
        <f t="shared" ca="1" si="75"/>
        <v>351690.67733403528</v>
      </c>
      <c r="V166">
        <f t="shared" ca="1" si="71"/>
        <v>367.35355129242873</v>
      </c>
      <c r="W166">
        <f t="shared" ca="1" si="72"/>
        <v>1.2987585230245355E-11</v>
      </c>
      <c r="X166">
        <f t="shared" ca="1" si="49"/>
        <v>4.5676126465585018E-6</v>
      </c>
      <c r="Y166">
        <f t="shared" ca="1" si="50"/>
        <v>4.6594292302177864E-4</v>
      </c>
      <c r="Z166">
        <f t="shared" ca="1" si="51"/>
        <v>148.94864167972003</v>
      </c>
      <c r="AA166">
        <f t="shared" ca="1" si="52"/>
        <v>486.78981682823098</v>
      </c>
      <c r="AB166" s="6">
        <f t="shared" ca="1" si="53"/>
        <v>-3.6712652959090509E-9</v>
      </c>
      <c r="AC166">
        <f t="shared" ca="1" si="54"/>
        <v>69.650153778570328</v>
      </c>
      <c r="AD166">
        <f t="shared" ca="1" si="73"/>
        <v>26.794269217191701</v>
      </c>
      <c r="AE166">
        <f t="shared" ca="1" si="55"/>
        <v>2.5774707695987549</v>
      </c>
      <c r="AF166">
        <f t="shared" ca="1" si="56"/>
        <v>99.021893765360787</v>
      </c>
      <c r="AG166">
        <f t="shared" ca="1" si="41"/>
        <v>0.60486086512681425</v>
      </c>
      <c r="AI166">
        <f t="shared" ca="1" si="57"/>
        <v>8.209805106177426E-5</v>
      </c>
      <c r="AK166">
        <f t="shared" ca="1" si="58"/>
        <v>6.9455978981766642E-2</v>
      </c>
      <c r="AM166">
        <f t="shared" ca="1" si="59"/>
        <v>11370.65227498173</v>
      </c>
      <c r="AN166" s="6">
        <f t="shared" si="60"/>
        <v>1.9495613999999998E-5</v>
      </c>
      <c r="AO166" s="6">
        <f t="shared" ca="1" si="61"/>
        <v>4637646.9846094595</v>
      </c>
      <c r="AP166" s="6">
        <f t="shared" ca="1" si="62"/>
        <v>2.319802854620101E-3</v>
      </c>
    </row>
    <row r="167" spans="1:42" x14ac:dyDescent="0.25">
      <c r="A167">
        <f t="shared" si="63"/>
        <v>128</v>
      </c>
      <c r="B167">
        <f t="shared" ref="B167:B230" si="77">$B$33*A167/$B$36</f>
        <v>5.3156231578586528</v>
      </c>
      <c r="C167">
        <f t="shared" ca="1" si="64"/>
        <v>4134165975.5336537</v>
      </c>
      <c r="D167">
        <f t="shared" si="42"/>
        <v>10000000</v>
      </c>
      <c r="E167">
        <f t="shared" ca="1" si="43"/>
        <v>10000000.001118056</v>
      </c>
      <c r="F167">
        <f t="shared" ca="1" si="65"/>
        <v>3673060860.7632508</v>
      </c>
      <c r="G167">
        <f t="shared" ref="G167:G230" ca="1" si="78">$B$24*EXP(-$B$25/F167)</f>
        <v>949.99696688146435</v>
      </c>
      <c r="H167">
        <f t="shared" ca="1" si="44"/>
        <v>9499969669.8767929</v>
      </c>
      <c r="I167">
        <f t="shared" ca="1" si="45"/>
        <v>791842534.48394561</v>
      </c>
      <c r="J167">
        <f t="shared" ca="1" si="74"/>
        <v>1634354267259.9375</v>
      </c>
      <c r="K167">
        <f t="shared" ca="1" si="46"/>
        <v>4.3930187635073343E-6</v>
      </c>
      <c r="L167">
        <f t="shared" ca="1" si="66"/>
        <v>-298584386536.54083</v>
      </c>
      <c r="M167">
        <f t="shared" ca="1" si="67"/>
        <v>-298584386579.39673</v>
      </c>
      <c r="N167">
        <f t="shared" ca="1" si="47"/>
        <v>298584386612.78009</v>
      </c>
      <c r="O167">
        <f t="shared" ca="1" si="48"/>
        <v>-298584386503.15741</v>
      </c>
      <c r="Q167">
        <f t="shared" si="68"/>
        <v>128</v>
      </c>
      <c r="R167" s="23">
        <f t="shared" si="76"/>
        <v>185.95917356640032</v>
      </c>
      <c r="S167">
        <f t="shared" ca="1" si="69"/>
        <v>3.6308696293624459E-2</v>
      </c>
      <c r="T167" s="23">
        <f t="shared" ca="1" si="70"/>
        <v>499999.99999932642</v>
      </c>
      <c r="U167">
        <f t="shared" ca="1" si="75"/>
        <v>351617.41660373996</v>
      </c>
      <c r="V167">
        <f t="shared" ca="1" si="71"/>
        <v>367.68307134046421</v>
      </c>
      <c r="W167">
        <f t="shared" ca="1" si="72"/>
        <v>1.3364527095578908E-11</v>
      </c>
      <c r="X167">
        <f t="shared" ca="1" si="49"/>
        <v>4.6992004914781391E-6</v>
      </c>
      <c r="Y167">
        <f t="shared" ca="1" si="50"/>
        <v>4.7936622088881397E-4</v>
      </c>
      <c r="Z167">
        <f t="shared" ca="1" si="51"/>
        <v>149.02492206168174</v>
      </c>
      <c r="AA167">
        <f t="shared" ca="1" si="52"/>
        <v>486.78098471808903</v>
      </c>
      <c r="AB167" s="6">
        <f t="shared" ca="1" si="53"/>
        <v>-3.6727442252495637E-9</v>
      </c>
      <c r="AC167">
        <f t="shared" ca="1" si="54"/>
        <v>69.60126383417051</v>
      </c>
      <c r="AD167">
        <f t="shared" ca="1" si="73"/>
        <v>26.745379272791872</v>
      </c>
      <c r="AE167">
        <f t="shared" ca="1" si="55"/>
        <v>2.6263607139985856</v>
      </c>
      <c r="AF167">
        <f t="shared" ca="1" si="56"/>
        <v>98.973003820960955</v>
      </c>
      <c r="AG167">
        <f t="shared" ref="AG167:AG230" ca="1" si="79">8.314*AF167*V167/T167</f>
        <v>0.60510452675523452</v>
      </c>
      <c r="AI167">
        <f t="shared" ca="1" si="57"/>
        <v>8.2131123369746524E-5</v>
      </c>
      <c r="AK167">
        <f t="shared" ca="1" si="58"/>
        <v>6.9490288326937155E-2</v>
      </c>
      <c r="AM167">
        <f t="shared" ca="1" si="59"/>
        <v>11366.073575720664</v>
      </c>
      <c r="AN167" s="6">
        <f t="shared" si="60"/>
        <v>1.9495613999999998E-5</v>
      </c>
      <c r="AO167" s="6">
        <f t="shared" ca="1" si="61"/>
        <v>4637646.9846094595</v>
      </c>
      <c r="AP167" s="6">
        <f t="shared" ca="1" si="62"/>
        <v>2.319802854620101E-3</v>
      </c>
    </row>
    <row r="168" spans="1:42" x14ac:dyDescent="0.25">
      <c r="A168">
        <f t="shared" si="63"/>
        <v>129</v>
      </c>
      <c r="B168">
        <f t="shared" si="77"/>
        <v>5.3571514637794238</v>
      </c>
      <c r="C168">
        <f t="shared" ca="1" si="64"/>
        <v>4167049854.5467815</v>
      </c>
      <c r="D168">
        <f t="shared" ref="D168:D231" si="80">$B$26*1000</f>
        <v>10000000</v>
      </c>
      <c r="E168">
        <f t="shared" ref="E168:E231" ca="1" si="81">D168*(L168/O168)</f>
        <v>10000000.001109231</v>
      </c>
      <c r="F168">
        <f t="shared" ca="1" si="65"/>
        <v>3673061005.2227483</v>
      </c>
      <c r="G168">
        <f t="shared" ca="1" si="78"/>
        <v>949.9969668815836</v>
      </c>
      <c r="H168">
        <f t="shared" ref="H168:H231" ca="1" si="82">G168*E168</f>
        <v>9499969669.8696022</v>
      </c>
      <c r="I168">
        <f t="shared" ref="I168:I231" ca="1" si="83">H168*$B$32/($B$9*1000)</f>
        <v>791842534.48334622</v>
      </c>
      <c r="J168">
        <f t="shared" ca="1" si="74"/>
        <v>1647354206736.6094</v>
      </c>
      <c r="K168">
        <f t="shared" ref="K168:K231" ca="1" si="84">-$H$22*1000*1000*$B$9/J168</f>
        <v>4.3583516725975958E-6</v>
      </c>
      <c r="L168">
        <f t="shared" ca="1" si="66"/>
        <v>-300959378954.01007</v>
      </c>
      <c r="M168">
        <f t="shared" ca="1" si="67"/>
        <v>-300959378996.86591</v>
      </c>
      <c r="N168">
        <f t="shared" ref="N168:N231" ca="1" si="85">$B$11*1000+$B$9*C168*1000</f>
        <v>300959379030.24927</v>
      </c>
      <c r="O168">
        <f t="shared" ref="O168:O231" ca="1" si="86">L168+M168+N168</f>
        <v>-300959378920.62671</v>
      </c>
      <c r="Q168">
        <f t="shared" si="68"/>
        <v>129</v>
      </c>
      <c r="R168" s="23">
        <f t="shared" si="76"/>
        <v>187.41197960988782</v>
      </c>
      <c r="S168">
        <f t="shared" ca="1" si="69"/>
        <v>3.7005122436375493E-2</v>
      </c>
      <c r="T168" s="23">
        <f t="shared" ca="1" si="70"/>
        <v>499999.99999932107</v>
      </c>
      <c r="U168">
        <f t="shared" ca="1" si="75"/>
        <v>351541.96973951679</v>
      </c>
      <c r="V168">
        <f t="shared" ca="1" si="71"/>
        <v>368.02207834401599</v>
      </c>
      <c r="W168">
        <f t="shared" ca="1" si="72"/>
        <v>1.376300552554994E-11</v>
      </c>
      <c r="X168">
        <f t="shared" ref="X168:X231" ca="1" si="87">W168*U168</f>
        <v>4.8382740719876789E-6</v>
      </c>
      <c r="Y168">
        <f t="shared" ref="Y168:Y231" ca="1" si="88">X168*$R$32/($B$9*1000)</f>
        <v>4.935531398839139E-4</v>
      </c>
      <c r="Z168">
        <f t="shared" ref="Z168:Z231" ca="1" si="89">(AC168*$G$18+AD168*$G$19+AE168*$G$20)/AF168</f>
        <v>149.10347868536735</v>
      </c>
      <c r="AA168">
        <f t="shared" ref="AA168:AA231" ca="1" si="90">-$H$22*1000*$AC$39/(Z168*AF168)</f>
        <v>486.77189849913663</v>
      </c>
      <c r="AB168" s="6">
        <f t="shared" ref="AB168:AB231" ca="1" si="91">-32*AP168*AM168*AG168^2/PI()^2/$R$31^5</f>
        <v>-3.6742623057595837E-9</v>
      </c>
      <c r="AC168">
        <f t="shared" ref="AC168:AC231" ca="1" si="92">$B$9*(1-S168)*1000</f>
        <v>69.550965424797909</v>
      </c>
      <c r="AD168">
        <f t="shared" ca="1" si="73"/>
        <v>26.695080863419282</v>
      </c>
      <c r="AE168">
        <f t="shared" ref="AE168:AE231" ca="1" si="93">$B$11+$AC$39*S168</f>
        <v>2.6766591233711758</v>
      </c>
      <c r="AF168">
        <f t="shared" ref="AF168:AF231" ca="1" si="94">AC168+AD168+AE168</f>
        <v>98.922705411588367</v>
      </c>
      <c r="AG168">
        <f t="shared" ca="1" si="79"/>
        <v>0.60535463875113027</v>
      </c>
      <c r="AI168">
        <f t="shared" ref="AI168:AI231" ca="1" si="95">AG168/$R$32</f>
        <v>8.2165071189144474E-5</v>
      </c>
      <c r="AK168">
        <f t="shared" ref="AK168:AK231" ca="1" si="96">(AC168*$B$5+AD168*$B$6+AE168*$B$7)/AF168/1000</f>
        <v>6.9525621478766592E-2</v>
      </c>
      <c r="AM168">
        <f t="shared" ref="AM168:AM231" ca="1" si="97">AF168*1000*AK168/AG168</f>
        <v>11361.377499791706</v>
      </c>
      <c r="AN168" s="6">
        <f t="shared" ref="AN168:AN231" si="98">$R$34</f>
        <v>1.9495613999999998E-5</v>
      </c>
      <c r="AO168" s="6">
        <f t="shared" ref="AO168:AO231" ca="1" si="99">$R$31*AI168*AM168/AN168</f>
        <v>4637646.9846094595</v>
      </c>
      <c r="AP168" s="6">
        <f t="shared" ref="AP168:AP231" ca="1" si="100">0.0014+0.125*AO168^-0.32</f>
        <v>2.319802854620101E-3</v>
      </c>
    </row>
    <row r="169" spans="1:42" x14ac:dyDescent="0.25">
      <c r="A169">
        <f t="shared" ref="A169:A213" si="101">A168+1</f>
        <v>130</v>
      </c>
      <c r="B169">
        <f t="shared" si="77"/>
        <v>5.3986797697001938</v>
      </c>
      <c r="C169">
        <f t="shared" ref="C169:C232" ca="1" si="102">C168+(B169-B168)*I168</f>
        <v>4199933733.5598841</v>
      </c>
      <c r="D169">
        <f t="shared" si="80"/>
        <v>10000000</v>
      </c>
      <c r="E169">
        <f t="shared" ca="1" si="81"/>
        <v>10000000.001100544</v>
      </c>
      <c r="F169">
        <f t="shared" ref="F169:F232" ca="1" si="103">F168+(C169-C168)*K168</f>
        <v>3673061148.5422573</v>
      </c>
      <c r="G169">
        <f t="shared" ca="1" si="78"/>
        <v>949.99696688170195</v>
      </c>
      <c r="H169">
        <f t="shared" ca="1" si="82"/>
        <v>9499969669.8625336</v>
      </c>
      <c r="I169">
        <f t="shared" ca="1" si="83"/>
        <v>791842534.48275709</v>
      </c>
      <c r="J169">
        <f t="shared" ca="1" si="74"/>
        <v>1660354146213.3125</v>
      </c>
      <c r="K169">
        <f t="shared" ca="1" si="84"/>
        <v>4.3242274418777971E-6</v>
      </c>
      <c r="L169">
        <f t="shared" ref="L169:L232" ca="1" si="104">$B$9*1000*(1-C169)</f>
        <v>-303334371371.47742</v>
      </c>
      <c r="M169">
        <f t="shared" ref="M169:M232" ca="1" si="105">$B$10*1000-$B$9*C169*1000</f>
        <v>-303334371414.33331</v>
      </c>
      <c r="N169">
        <f t="shared" ca="1" si="85"/>
        <v>303334371447.71667</v>
      </c>
      <c r="O169">
        <f t="shared" ca="1" si="86"/>
        <v>-303334371338.09412</v>
      </c>
      <c r="Q169">
        <f t="shared" ref="Q169:Q213" si="106">Q168+1</f>
        <v>130</v>
      </c>
      <c r="R169" s="23">
        <f t="shared" si="76"/>
        <v>188.86478565337532</v>
      </c>
      <c r="S169">
        <f t="shared" ref="S169:S232" ca="1" si="107">S168+(R169-R168)*Y168</f>
        <v>3.7722159420781075E-2</v>
      </c>
      <c r="T169" s="23">
        <f t="shared" ref="T169:T232" ca="1" si="108">T168+(R169-R168)*AB168</f>
        <v>499999.99999931571</v>
      </c>
      <c r="U169">
        <f t="shared" ca="1" si="75"/>
        <v>351464.20980818663</v>
      </c>
      <c r="V169">
        <f t="shared" ref="V169:V232" ca="1" si="109">V168+(S169-S168)*AA168</f>
        <v>368.3711117982092</v>
      </c>
      <c r="W169">
        <f t="shared" ref="W169:W232" ca="1" si="110">$R$24*EXP(-$R$25/V169)</f>
        <v>1.4184884865463168E-11</v>
      </c>
      <c r="X169">
        <f t="shared" ca="1" si="87"/>
        <v>4.9854793504601183E-6</v>
      </c>
      <c r="Y169">
        <f t="shared" ca="1" si="88"/>
        <v>5.085695747357971E-4</v>
      </c>
      <c r="Z169">
        <f t="shared" ca="1" si="89"/>
        <v>149.18444371587242</v>
      </c>
      <c r="AA169">
        <f t="shared" ca="1" si="90"/>
        <v>486.76254372650504</v>
      </c>
      <c r="AB169" s="6">
        <f t="shared" ca="1" si="91"/>
        <v>-3.6758216529289518E-9</v>
      </c>
      <c r="AC169">
        <f t="shared" ca="1" si="92"/>
        <v>69.499178426058236</v>
      </c>
      <c r="AD169">
        <f t="shared" ref="AD169:AD232" ca="1" si="111">$AD$39-$AC$39*S169</f>
        <v>26.643293864679613</v>
      </c>
      <c r="AE169">
        <f t="shared" ca="1" si="93"/>
        <v>2.7284461221108436</v>
      </c>
      <c r="AF169">
        <f t="shared" ca="1" si="94"/>
        <v>98.870918412848695</v>
      </c>
      <c r="AG169">
        <f t="shared" ca="1" si="79"/>
        <v>0.6056115496529243</v>
      </c>
      <c r="AI169">
        <f t="shared" ca="1" si="95"/>
        <v>8.2199941827252937E-5</v>
      </c>
      <c r="AK169">
        <f t="shared" ca="1" si="96"/>
        <v>6.956203788239361E-2</v>
      </c>
      <c r="AM169">
        <f t="shared" ca="1" si="97"/>
        <v>11356.557806804072</v>
      </c>
      <c r="AN169" s="6">
        <f t="shared" si="98"/>
        <v>1.9495613999999998E-5</v>
      </c>
      <c r="AO169" s="6">
        <f t="shared" ca="1" si="99"/>
        <v>4637646.9846094595</v>
      </c>
      <c r="AP169" s="6">
        <f t="shared" ca="1" si="100"/>
        <v>2.319802854620101E-3</v>
      </c>
    </row>
    <row r="170" spans="1:42" x14ac:dyDescent="0.25">
      <c r="A170">
        <f t="shared" si="101"/>
        <v>131</v>
      </c>
      <c r="B170">
        <f t="shared" si="77"/>
        <v>5.4402080756209648</v>
      </c>
      <c r="C170">
        <f t="shared" ca="1" si="102"/>
        <v>4232817612.5729628</v>
      </c>
      <c r="D170">
        <f t="shared" si="80"/>
        <v>10000000</v>
      </c>
      <c r="E170">
        <f t="shared" ca="1" si="81"/>
        <v>10000000.001091998</v>
      </c>
      <c r="F170">
        <f t="shared" ca="1" si="103"/>
        <v>3673061290.7396293</v>
      </c>
      <c r="G170">
        <f t="shared" ca="1" si="78"/>
        <v>949.99696688181939</v>
      </c>
      <c r="H170">
        <f t="shared" ca="1" si="82"/>
        <v>9499969669.8555889</v>
      </c>
      <c r="I170">
        <f t="shared" ca="1" si="83"/>
        <v>791842534.48217821</v>
      </c>
      <c r="J170">
        <f t="shared" ref="J170:J233" ca="1" si="112">(L170*$G$18+M170*$G$19+N170*$G$20)</f>
        <v>1673354085689.9844</v>
      </c>
      <c r="K170">
        <f t="shared" ca="1" si="84"/>
        <v>4.2906334192447479E-6</v>
      </c>
      <c r="L170">
        <f t="shared" ca="1" si="104"/>
        <v>-305709363788.94312</v>
      </c>
      <c r="M170">
        <f t="shared" ca="1" si="105"/>
        <v>-305709363831.79895</v>
      </c>
      <c r="N170">
        <f t="shared" ca="1" si="85"/>
        <v>305709363865.18231</v>
      </c>
      <c r="O170">
        <f t="shared" ca="1" si="86"/>
        <v>-305709363755.55975</v>
      </c>
      <c r="Q170">
        <f t="shared" si="106"/>
        <v>131</v>
      </c>
      <c r="R170" s="23">
        <f t="shared" si="76"/>
        <v>190.31759169686285</v>
      </c>
      <c r="S170">
        <f t="shared" ca="1" si="107"/>
        <v>3.8461012372491124E-2</v>
      </c>
      <c r="T170" s="23">
        <f t="shared" ca="1" si="108"/>
        <v>499999.99999931036</v>
      </c>
      <c r="U170">
        <f t="shared" ca="1" si="75"/>
        <v>351383.99875813059</v>
      </c>
      <c r="V170">
        <f t="shared" ca="1" si="109"/>
        <v>368.73075774042343</v>
      </c>
      <c r="W170">
        <f t="shared" ca="1" si="110"/>
        <v>1.4632248541763959E-11</v>
      </c>
      <c r="X170">
        <f t="shared" ca="1" si="87"/>
        <v>5.1415380034278454E-6</v>
      </c>
      <c r="Y170">
        <f t="shared" ca="1" si="88"/>
        <v>5.2448914378712885E-4</v>
      </c>
      <c r="Z170">
        <f t="shared" ca="1" si="89"/>
        <v>149.26796089501028</v>
      </c>
      <c r="AA170">
        <f t="shared" ca="1" si="90"/>
        <v>486.75290470951711</v>
      </c>
      <c r="AB170" s="6">
        <f t="shared" ca="1" si="91"/>
        <v>-3.6774245578268616E-9</v>
      </c>
      <c r="AC170">
        <f t="shared" ca="1" si="92"/>
        <v>69.445815799427862</v>
      </c>
      <c r="AD170">
        <f t="shared" ca="1" si="111"/>
        <v>26.589931238049235</v>
      </c>
      <c r="AE170">
        <f t="shared" ca="1" si="93"/>
        <v>2.7818087487412226</v>
      </c>
      <c r="AF170">
        <f t="shared" ca="1" si="94"/>
        <v>98.817555786218321</v>
      </c>
      <c r="AG170">
        <f t="shared" ca="1" si="79"/>
        <v>0.60587563692668955</v>
      </c>
      <c r="AI170">
        <f t="shared" ca="1" si="95"/>
        <v>8.2235786517720393E-5</v>
      </c>
      <c r="AK170">
        <f t="shared" ca="1" si="96"/>
        <v>6.9599602189926141E-2</v>
      </c>
      <c r="AM170">
        <f t="shared" ca="1" si="97"/>
        <v>11351.607744105117</v>
      </c>
      <c r="AN170" s="6">
        <f t="shared" si="98"/>
        <v>1.9495613999999998E-5</v>
      </c>
      <c r="AO170" s="6">
        <f t="shared" ca="1" si="99"/>
        <v>4637646.9846094595</v>
      </c>
      <c r="AP170" s="6">
        <f t="shared" ca="1" si="100"/>
        <v>2.319802854620101E-3</v>
      </c>
    </row>
    <row r="171" spans="1:42" x14ac:dyDescent="0.25">
      <c r="A171">
        <f t="shared" si="101"/>
        <v>132</v>
      </c>
      <c r="B171">
        <f t="shared" si="77"/>
        <v>5.4817363815417357</v>
      </c>
      <c r="C171">
        <f t="shared" ca="1" si="102"/>
        <v>4265701491.5860171</v>
      </c>
      <c r="D171">
        <f t="shared" si="80"/>
        <v>10000000</v>
      </c>
      <c r="E171">
        <f t="shared" ca="1" si="81"/>
        <v>10000000.001083577</v>
      </c>
      <c r="F171">
        <f t="shared" ca="1" si="103"/>
        <v>3673061431.8322997</v>
      </c>
      <c r="G171">
        <f t="shared" ca="1" si="78"/>
        <v>949.99696688193592</v>
      </c>
      <c r="H171">
        <f t="shared" ca="1" si="82"/>
        <v>9499969669.8487549</v>
      </c>
      <c r="I171">
        <f t="shared" ca="1" si="83"/>
        <v>791842534.48160863</v>
      </c>
      <c r="J171">
        <f t="shared" ca="1" si="112"/>
        <v>1686354025166.6406</v>
      </c>
      <c r="K171">
        <f t="shared" ca="1" si="84"/>
        <v>4.2575573427303941E-6</v>
      </c>
      <c r="L171">
        <f t="shared" ca="1" si="104"/>
        <v>-308084356206.40698</v>
      </c>
      <c r="M171">
        <f t="shared" ca="1" si="105"/>
        <v>-308084356249.26288</v>
      </c>
      <c r="N171">
        <f t="shared" ca="1" si="85"/>
        <v>308084356282.64624</v>
      </c>
      <c r="O171">
        <f t="shared" ca="1" si="86"/>
        <v>-308084356173.02368</v>
      </c>
      <c r="Q171">
        <f t="shared" si="106"/>
        <v>132</v>
      </c>
      <c r="R171" s="23">
        <f t="shared" si="76"/>
        <v>191.77039774035032</v>
      </c>
      <c r="S171">
        <f t="shared" ca="1" si="107"/>
        <v>3.9222993370328633E-2</v>
      </c>
      <c r="T171" s="23">
        <f t="shared" ca="1" si="108"/>
        <v>499999.999999305</v>
      </c>
      <c r="U171">
        <f t="shared" ref="U171:U234" ca="1" si="113">T171*(AC171/AF171)</f>
        <v>351301.18610023783</v>
      </c>
      <c r="V171">
        <f t="shared" ca="1" si="109"/>
        <v>369.10165420445429</v>
      </c>
      <c r="W171">
        <f t="shared" ca="1" si="110"/>
        <v>1.5107431953453682E-11</v>
      </c>
      <c r="X171">
        <f t="shared" ca="1" si="87"/>
        <v>5.3072587641769112E-6</v>
      </c>
      <c r="Y171">
        <f t="shared" ca="1" si="88"/>
        <v>5.4139434605444264E-4</v>
      </c>
      <c r="Z171">
        <f t="shared" ca="1" si="89"/>
        <v>149.35418691473305</v>
      </c>
      <c r="AA171">
        <f t="shared" ca="1" si="90"/>
        <v>486.74296436572729</v>
      </c>
      <c r="AB171" s="6">
        <f t="shared" ca="1" si="91"/>
        <v>-3.6790735070267918E-9</v>
      </c>
      <c r="AC171">
        <f t="shared" ca="1" si="92"/>
        <v>69.390782781838993</v>
      </c>
      <c r="AD171">
        <f t="shared" ca="1" si="111"/>
        <v>26.534898220460367</v>
      </c>
      <c r="AE171">
        <f t="shared" ca="1" si="93"/>
        <v>2.8368417663300916</v>
      </c>
      <c r="AF171">
        <f t="shared" ca="1" si="94"/>
        <v>98.762522768629452</v>
      </c>
      <c r="AG171">
        <f t="shared" ca="1" si="79"/>
        <v>0.60614731024889024</v>
      </c>
      <c r="AI171">
        <f t="shared" ca="1" si="95"/>
        <v>8.2272660866126906E-5</v>
      </c>
      <c r="AK171">
        <f t="shared" ca="1" si="96"/>
        <v>6.9638384878177945E-2</v>
      </c>
      <c r="AM171">
        <f t="shared" ca="1" si="97"/>
        <v>11346.5199891386</v>
      </c>
      <c r="AN171" s="6">
        <f t="shared" si="98"/>
        <v>1.9495613999999998E-5</v>
      </c>
      <c r="AO171" s="6">
        <f t="shared" ca="1" si="99"/>
        <v>4637646.9846094595</v>
      </c>
      <c r="AP171" s="6">
        <f t="shared" ca="1" si="100"/>
        <v>2.319802854620101E-3</v>
      </c>
    </row>
    <row r="172" spans="1:42" x14ac:dyDescent="0.25">
      <c r="A172">
        <f t="shared" si="101"/>
        <v>133</v>
      </c>
      <c r="B172">
        <f t="shared" si="77"/>
        <v>5.5232646874625058</v>
      </c>
      <c r="C172">
        <f t="shared" ca="1" si="102"/>
        <v>4298585370.5990477</v>
      </c>
      <c r="D172">
        <f t="shared" si="80"/>
        <v>10000000</v>
      </c>
      <c r="E172">
        <f t="shared" ca="1" si="81"/>
        <v>10000000.001075286</v>
      </c>
      <c r="F172">
        <f t="shared" ca="1" si="103"/>
        <v>3673061571.8373003</v>
      </c>
      <c r="G172">
        <f t="shared" ca="1" si="78"/>
        <v>949.99696688205154</v>
      </c>
      <c r="H172">
        <f t="shared" ca="1" si="82"/>
        <v>9499969669.8420334</v>
      </c>
      <c r="I172">
        <f t="shared" ca="1" si="83"/>
        <v>791842534.48104835</v>
      </c>
      <c r="J172">
        <f t="shared" ca="1" si="112"/>
        <v>1699353964643.2969</v>
      </c>
      <c r="K172">
        <f t="shared" ca="1" si="84"/>
        <v>4.2249873255794907E-6</v>
      </c>
      <c r="L172">
        <f t="shared" ca="1" si="104"/>
        <v>-310459348623.86914</v>
      </c>
      <c r="M172">
        <f t="shared" ca="1" si="105"/>
        <v>-310459348666.72504</v>
      </c>
      <c r="N172">
        <f t="shared" ca="1" si="85"/>
        <v>310459348700.1084</v>
      </c>
      <c r="O172">
        <f t="shared" ca="1" si="86"/>
        <v>-310459348590.48584</v>
      </c>
      <c r="Q172">
        <f t="shared" si="106"/>
        <v>133</v>
      </c>
      <c r="R172" s="23">
        <f t="shared" si="76"/>
        <v>193.22320378383782</v>
      </c>
      <c r="S172">
        <f t="shared" ca="1" si="107"/>
        <v>4.0009534348186493E-2</v>
      </c>
      <c r="T172" s="23">
        <f t="shared" ca="1" si="108"/>
        <v>499999.99999929965</v>
      </c>
      <c r="U172">
        <f t="shared" ca="1" si="113"/>
        <v>351215.60738919768</v>
      </c>
      <c r="V172">
        <f t="shared" ca="1" si="109"/>
        <v>369.48449749161193</v>
      </c>
      <c r="W172">
        <f t="shared" ca="1" si="110"/>
        <v>1.5613061435299252E-11</v>
      </c>
      <c r="X172">
        <f t="shared" ca="1" si="87"/>
        <v>5.4835508552034857E-6</v>
      </c>
      <c r="Y172">
        <f t="shared" ca="1" si="88"/>
        <v>5.593779314752498E-4</v>
      </c>
      <c r="Z172">
        <f t="shared" ca="1" si="89"/>
        <v>149.44329299843781</v>
      </c>
      <c r="AA172">
        <f t="shared" ca="1" si="90"/>
        <v>486.73270405310376</v>
      </c>
      <c r="AB172" s="6">
        <f t="shared" ca="1" si="91"/>
        <v>-3.6807712054330086E-9</v>
      </c>
      <c r="AC172">
        <f t="shared" ca="1" si="92"/>
        <v>69.333975953858157</v>
      </c>
      <c r="AD172">
        <f t="shared" ca="1" si="111"/>
        <v>26.478091392479534</v>
      </c>
      <c r="AE172">
        <f t="shared" ca="1" si="93"/>
        <v>2.8936485943109234</v>
      </c>
      <c r="AF172">
        <f t="shared" ca="1" si="94"/>
        <v>98.705715940648616</v>
      </c>
      <c r="AG172">
        <f t="shared" ca="1" si="79"/>
        <v>0.6064270152671718</v>
      </c>
      <c r="AI172">
        <f t="shared" ca="1" si="95"/>
        <v>8.2310625360438011E-5</v>
      </c>
      <c r="AK172">
        <f t="shared" ca="1" si="96"/>
        <v>6.9678462959907442E-2</v>
      </c>
      <c r="AM172">
        <f t="shared" ca="1" si="97"/>
        <v>11341.286583467192</v>
      </c>
      <c r="AN172" s="6">
        <f t="shared" si="98"/>
        <v>1.9495613999999998E-5</v>
      </c>
      <c r="AO172" s="6">
        <f t="shared" ca="1" si="99"/>
        <v>4637646.9846094595</v>
      </c>
      <c r="AP172" s="6">
        <f t="shared" ca="1" si="100"/>
        <v>2.319802854620101E-3</v>
      </c>
    </row>
    <row r="173" spans="1:42" x14ac:dyDescent="0.25">
      <c r="A173">
        <f t="shared" si="101"/>
        <v>134</v>
      </c>
      <c r="B173">
        <f t="shared" si="77"/>
        <v>5.5647929933832767</v>
      </c>
      <c r="C173">
        <f t="shared" ca="1" si="102"/>
        <v>4331469249.6120548</v>
      </c>
      <c r="D173">
        <f t="shared" si="80"/>
        <v>10000000</v>
      </c>
      <c r="E173">
        <f t="shared" ca="1" si="81"/>
        <v>10000000.001067128</v>
      </c>
      <c r="F173">
        <f t="shared" ca="1" si="103"/>
        <v>3673061710.7712722</v>
      </c>
      <c r="G173">
        <f t="shared" ca="1" si="78"/>
        <v>949.99696688216625</v>
      </c>
      <c r="H173">
        <f t="shared" ca="1" si="82"/>
        <v>9499969669.8354301</v>
      </c>
      <c r="I173">
        <f t="shared" ca="1" si="83"/>
        <v>791842534.48049796</v>
      </c>
      <c r="J173">
        <f t="shared" ca="1" si="112"/>
        <v>1712353904119.9375</v>
      </c>
      <c r="K173">
        <f t="shared" ca="1" si="84"/>
        <v>4.1929118420068725E-6</v>
      </c>
      <c r="L173">
        <f t="shared" ca="1" si="104"/>
        <v>-312834341041.32965</v>
      </c>
      <c r="M173">
        <f t="shared" ca="1" si="105"/>
        <v>-312834341084.18555</v>
      </c>
      <c r="N173">
        <f t="shared" ca="1" si="85"/>
        <v>312834341117.56891</v>
      </c>
      <c r="O173">
        <f t="shared" ca="1" si="86"/>
        <v>-312834341007.94623</v>
      </c>
      <c r="Q173">
        <f t="shared" si="106"/>
        <v>134</v>
      </c>
      <c r="R173" s="23">
        <f t="shared" si="76"/>
        <v>194.67600982732532</v>
      </c>
      <c r="S173">
        <f t="shared" ca="1" si="107"/>
        <v>4.0822201987627274E-2</v>
      </c>
      <c r="T173" s="23">
        <f t="shared" ca="1" si="108"/>
        <v>499999.99999929429</v>
      </c>
      <c r="U173">
        <f t="shared" ca="1" si="113"/>
        <v>351127.08246801136</v>
      </c>
      <c r="V173">
        <f t="shared" ca="1" si="109"/>
        <v>369.88004940925339</v>
      </c>
      <c r="W173">
        <f t="shared" ca="1" si="110"/>
        <v>1.6152100635268569E-11</v>
      </c>
      <c r="X173">
        <f t="shared" ca="1" si="87"/>
        <v>5.6714399717915657E-6</v>
      </c>
      <c r="Y173">
        <f t="shared" ca="1" si="88"/>
        <v>5.7854453139544919E-4</v>
      </c>
      <c r="Z173">
        <f t="shared" ca="1" si="89"/>
        <v>149.5354667288122</v>
      </c>
      <c r="AA173">
        <f t="shared" ca="1" si="90"/>
        <v>486.72210337632805</v>
      </c>
      <c r="AB173" s="6">
        <f t="shared" ca="1" si="91"/>
        <v>-3.682520602529728E-9</v>
      </c>
      <c r="AC173">
        <f t="shared" ca="1" si="92"/>
        <v>69.275282164088893</v>
      </c>
      <c r="AD173">
        <f t="shared" ca="1" si="111"/>
        <v>26.419397602710269</v>
      </c>
      <c r="AE173">
        <f t="shared" ca="1" si="93"/>
        <v>2.9523423840801875</v>
      </c>
      <c r="AF173">
        <f t="shared" ca="1" si="94"/>
        <v>98.647022150879351</v>
      </c>
      <c r="AG173">
        <f t="shared" ca="1" si="79"/>
        <v>0.60671523792505244</v>
      </c>
      <c r="AI173">
        <f t="shared" ca="1" si="95"/>
        <v>8.2349745957997054E-5</v>
      </c>
      <c r="AK173">
        <f t="shared" ca="1" si="96"/>
        <v>6.971992080594519E-2</v>
      </c>
      <c r="AM173">
        <f t="shared" ca="1" si="97"/>
        <v>11335.898856971229</v>
      </c>
      <c r="AN173" s="6">
        <f t="shared" si="98"/>
        <v>1.9495613999999998E-5</v>
      </c>
      <c r="AO173" s="6">
        <f t="shared" ca="1" si="99"/>
        <v>4637646.9846094595</v>
      </c>
      <c r="AP173" s="6">
        <f t="shared" ca="1" si="100"/>
        <v>2.319802854620101E-3</v>
      </c>
    </row>
    <row r="174" spans="1:42" x14ac:dyDescent="0.25">
      <c r="A174">
        <f t="shared" si="101"/>
        <v>135</v>
      </c>
      <c r="B174">
        <f t="shared" si="77"/>
        <v>5.6063212993040477</v>
      </c>
      <c r="C174">
        <f t="shared" ca="1" si="102"/>
        <v>4364353128.6250391</v>
      </c>
      <c r="D174">
        <f t="shared" si="80"/>
        <v>10000000</v>
      </c>
      <c r="E174">
        <f t="shared" ca="1" si="81"/>
        <v>10000000.001059089</v>
      </c>
      <c r="F174">
        <f t="shared" ca="1" si="103"/>
        <v>3673061848.6504779</v>
      </c>
      <c r="G174">
        <f t="shared" ca="1" si="78"/>
        <v>949.99696688228005</v>
      </c>
      <c r="H174">
        <f t="shared" ca="1" si="82"/>
        <v>9499969669.8289318</v>
      </c>
      <c r="I174">
        <f t="shared" ca="1" si="83"/>
        <v>791842534.47995627</v>
      </c>
      <c r="J174">
        <f t="shared" ca="1" si="112"/>
        <v>1725353843596.5781</v>
      </c>
      <c r="K174">
        <f t="shared" ca="1" si="84"/>
        <v>4.1613197135983857E-6</v>
      </c>
      <c r="L174">
        <f t="shared" ca="1" si="104"/>
        <v>-315209333458.78851</v>
      </c>
      <c r="M174">
        <f t="shared" ca="1" si="105"/>
        <v>-315209333501.64441</v>
      </c>
      <c r="N174">
        <f t="shared" ca="1" si="85"/>
        <v>315209333535.02777</v>
      </c>
      <c r="O174">
        <f t="shared" ca="1" si="86"/>
        <v>-315209333425.40509</v>
      </c>
      <c r="Q174">
        <f t="shared" si="106"/>
        <v>135</v>
      </c>
      <c r="R174" s="23">
        <f t="shared" si="76"/>
        <v>196.12881587081284</v>
      </c>
      <c r="S174">
        <f t="shared" ca="1" si="107"/>
        <v>4.1662714979265242E-2</v>
      </c>
      <c r="T174" s="23">
        <f t="shared" ca="1" si="108"/>
        <v>499999.99999928894</v>
      </c>
      <c r="U174">
        <f t="shared" ca="1" si="113"/>
        <v>351035.41343033605</v>
      </c>
      <c r="V174">
        <f t="shared" ca="1" si="109"/>
        <v>370.28914566045853</v>
      </c>
      <c r="W174">
        <f t="shared" ca="1" si="110"/>
        <v>1.6727905997400142E-11</v>
      </c>
      <c r="X174">
        <f t="shared" ca="1" si="87"/>
        <v>5.8720873976211564E-6</v>
      </c>
      <c r="Y174">
        <f t="shared" ca="1" si="88"/>
        <v>5.9901260855568642E-4</v>
      </c>
      <c r="Z174">
        <f t="shared" ca="1" si="89"/>
        <v>149.63091416947796</v>
      </c>
      <c r="AA174">
        <f t="shared" ca="1" si="90"/>
        <v>486.71113996229383</v>
      </c>
      <c r="AB174" s="6">
        <f t="shared" ca="1" si="91"/>
        <v>-3.6843249226862979E-9</v>
      </c>
      <c r="AC174">
        <f t="shared" ca="1" si="92"/>
        <v>69.214577282492428</v>
      </c>
      <c r="AD174">
        <f t="shared" ca="1" si="111"/>
        <v>26.358692721113801</v>
      </c>
      <c r="AE174">
        <f t="shared" ca="1" si="93"/>
        <v>3.0130472656766565</v>
      </c>
      <c r="AF174">
        <f t="shared" ca="1" si="94"/>
        <v>98.586317269282887</v>
      </c>
      <c r="AG174">
        <f t="shared" ca="1" si="79"/>
        <v>0.60701250945486673</v>
      </c>
      <c r="AI174">
        <f t="shared" ca="1" si="95"/>
        <v>8.239009476321987E-5</v>
      </c>
      <c r="AK174">
        <f t="shared" ca="1" si="96"/>
        <v>6.9762851099465339E-2</v>
      </c>
      <c r="AM174">
        <f t="shared" ca="1" si="97"/>
        <v>11330.347340416722</v>
      </c>
      <c r="AN174" s="6">
        <f t="shared" si="98"/>
        <v>1.9495613999999998E-5</v>
      </c>
      <c r="AO174" s="6">
        <f t="shared" ca="1" si="99"/>
        <v>4637646.9846094595</v>
      </c>
      <c r="AP174" s="6">
        <f t="shared" ca="1" si="100"/>
        <v>2.319802854620101E-3</v>
      </c>
    </row>
    <row r="175" spans="1:42" x14ac:dyDescent="0.25">
      <c r="A175">
        <f t="shared" si="101"/>
        <v>136</v>
      </c>
      <c r="B175">
        <f t="shared" si="77"/>
        <v>5.6478496052248177</v>
      </c>
      <c r="C175">
        <f t="shared" ca="1" si="102"/>
        <v>4397237007.6380005</v>
      </c>
      <c r="D175">
        <f t="shared" si="80"/>
        <v>10000000</v>
      </c>
      <c r="E175">
        <f t="shared" ca="1" si="81"/>
        <v>10000000.001051169</v>
      </c>
      <c r="F175">
        <f t="shared" ca="1" si="103"/>
        <v>3673061985.4908118</v>
      </c>
      <c r="G175">
        <f t="shared" ca="1" si="78"/>
        <v>949.99696688239305</v>
      </c>
      <c r="H175">
        <f t="shared" ca="1" si="82"/>
        <v>9499969669.8225384</v>
      </c>
      <c r="I175">
        <f t="shared" ca="1" si="83"/>
        <v>791842534.47942328</v>
      </c>
      <c r="J175">
        <f t="shared" ca="1" si="112"/>
        <v>1738353783073.2031</v>
      </c>
      <c r="K175">
        <f t="shared" ca="1" si="84"/>
        <v>4.1302000963223047E-6</v>
      </c>
      <c r="L175">
        <f t="shared" ca="1" si="104"/>
        <v>-317584325876.24567</v>
      </c>
      <c r="M175">
        <f t="shared" ca="1" si="105"/>
        <v>-317584325919.10156</v>
      </c>
      <c r="N175">
        <f t="shared" ca="1" si="85"/>
        <v>317584325952.48492</v>
      </c>
      <c r="O175">
        <f t="shared" ca="1" si="86"/>
        <v>-317584325842.86224</v>
      </c>
      <c r="Q175">
        <f t="shared" si="106"/>
        <v>136</v>
      </c>
      <c r="R175" s="23">
        <f t="shared" si="76"/>
        <v>197.58162191430034</v>
      </c>
      <c r="S175">
        <f t="shared" ca="1" si="107"/>
        <v>4.2532964117100155E-2</v>
      </c>
      <c r="T175" s="23">
        <f t="shared" ca="1" si="108"/>
        <v>499999.99999928358</v>
      </c>
      <c r="U175">
        <f t="shared" ca="1" si="113"/>
        <v>350940.38224485423</v>
      </c>
      <c r="V175">
        <f t="shared" ca="1" si="109"/>
        <v>370.71270561038534</v>
      </c>
      <c r="W175">
        <f t="shared" ca="1" si="110"/>
        <v>1.7344293495057016E-11</v>
      </c>
      <c r="X175">
        <f t="shared" ca="1" si="87"/>
        <v>6.0868129889222478E-6</v>
      </c>
      <c r="Y175">
        <f t="shared" ca="1" si="88"/>
        <v>6.2091680170870995E-4</v>
      </c>
      <c r="Z175">
        <f t="shared" ca="1" si="89"/>
        <v>149.72986233854041</v>
      </c>
      <c r="AA175">
        <f t="shared" ca="1" si="90"/>
        <v>486.69978919877758</v>
      </c>
      <c r="AB175" s="6">
        <f t="shared" ca="1" si="91"/>
        <v>-3.6861877002925884E-9</v>
      </c>
      <c r="AC175">
        <f t="shared" ca="1" si="92"/>
        <v>69.151724749102371</v>
      </c>
      <c r="AD175">
        <f t="shared" ca="1" si="111"/>
        <v>26.295840187723748</v>
      </c>
      <c r="AE175">
        <f t="shared" ca="1" si="93"/>
        <v>3.0758997990667081</v>
      </c>
      <c r="AF175">
        <f t="shared" ca="1" si="94"/>
        <v>98.52346473589283</v>
      </c>
      <c r="AG175">
        <f t="shared" ca="1" si="79"/>
        <v>0.60731941216651097</v>
      </c>
      <c r="AI175">
        <f t="shared" ca="1" si="95"/>
        <v>8.243175081330386E-5</v>
      </c>
      <c r="AK175">
        <f t="shared" ca="1" si="96"/>
        <v>6.980735594853725E-2</v>
      </c>
      <c r="AM175">
        <f t="shared" ca="1" si="97"/>
        <v>11324.621664186086</v>
      </c>
      <c r="AN175" s="6">
        <f t="shared" si="98"/>
        <v>1.9495613999999998E-5</v>
      </c>
      <c r="AO175" s="6">
        <f t="shared" ca="1" si="99"/>
        <v>4637646.9846094595</v>
      </c>
      <c r="AP175" s="6">
        <f t="shared" ca="1" si="100"/>
        <v>2.319802854620101E-3</v>
      </c>
    </row>
    <row r="176" spans="1:42" x14ac:dyDescent="0.25">
      <c r="A176">
        <f t="shared" si="101"/>
        <v>137</v>
      </c>
      <c r="B176">
        <f t="shared" si="77"/>
        <v>5.6893779111455887</v>
      </c>
      <c r="C176">
        <f t="shared" ca="1" si="102"/>
        <v>4430120886.6509409</v>
      </c>
      <c r="D176">
        <f t="shared" si="80"/>
        <v>10000000</v>
      </c>
      <c r="E176">
        <f t="shared" ca="1" si="81"/>
        <v>10000000.001043363</v>
      </c>
      <c r="F176">
        <f t="shared" ca="1" si="103"/>
        <v>3673062121.3078122</v>
      </c>
      <c r="G176">
        <f t="shared" ca="1" si="78"/>
        <v>949.99696688250526</v>
      </c>
      <c r="H176">
        <f t="shared" ca="1" si="82"/>
        <v>9499969669.8162441</v>
      </c>
      <c r="I176">
        <f t="shared" ca="1" si="83"/>
        <v>791842534.47889876</v>
      </c>
      <c r="J176">
        <f t="shared" ca="1" si="112"/>
        <v>1751353722549.7969</v>
      </c>
      <c r="K176">
        <f t="shared" ca="1" si="84"/>
        <v>4.0995424681189969E-6</v>
      </c>
      <c r="L176">
        <f t="shared" ca="1" si="104"/>
        <v>-319959318293.70135</v>
      </c>
      <c r="M176">
        <f t="shared" ca="1" si="105"/>
        <v>-319959318336.55719</v>
      </c>
      <c r="N176">
        <f t="shared" ca="1" si="85"/>
        <v>319959318369.94055</v>
      </c>
      <c r="O176">
        <f t="shared" ca="1" si="86"/>
        <v>-319959318260.31799</v>
      </c>
      <c r="Q176">
        <f t="shared" si="106"/>
        <v>137</v>
      </c>
      <c r="R176" s="23">
        <f t="shared" ref="R176:R239" si="114">$R$33*Q176/$R$36</f>
        <v>199.03442795778784</v>
      </c>
      <c r="S176">
        <f t="shared" ca="1" si="107"/>
        <v>4.3435035799125499E-2</v>
      </c>
      <c r="T176" s="23">
        <f t="shared" ca="1" si="108"/>
        <v>499999.99999927823</v>
      </c>
      <c r="U176">
        <f t="shared" ca="1" si="113"/>
        <v>350841.74797262176</v>
      </c>
      <c r="V176">
        <f t="shared" ca="1" si="109"/>
        <v>371.15174370786929</v>
      </c>
      <c r="W176">
        <f t="shared" ca="1" si="110"/>
        <v>1.8005619354418567E-11</v>
      </c>
      <c r="X176">
        <f t="shared" ca="1" si="87"/>
        <v>6.3171229676338797E-6</v>
      </c>
      <c r="Y176">
        <f t="shared" ca="1" si="88"/>
        <v>6.4441076080413279E-4</v>
      </c>
      <c r="Z176">
        <f t="shared" ca="1" si="89"/>
        <v>149.83256210593501</v>
      </c>
      <c r="AA176">
        <f t="shared" ca="1" si="90"/>
        <v>486.68802392882452</v>
      </c>
      <c r="AB176" s="6">
        <f t="shared" ca="1" si="91"/>
        <v>-3.6881128206763597E-9</v>
      </c>
      <c r="AC176">
        <f t="shared" ca="1" si="92"/>
        <v>69.086573876726007</v>
      </c>
      <c r="AD176">
        <f t="shared" ca="1" si="111"/>
        <v>26.230689315347391</v>
      </c>
      <c r="AE176">
        <f t="shared" ca="1" si="93"/>
        <v>3.1410506714430655</v>
      </c>
      <c r="AF176">
        <f t="shared" ca="1" si="94"/>
        <v>98.458313863516466</v>
      </c>
      <c r="AG176">
        <f t="shared" ca="1" si="79"/>
        <v>0.60763658618880212</v>
      </c>
      <c r="AI176">
        <f t="shared" ca="1" si="95"/>
        <v>8.2474800993235847E-5</v>
      </c>
      <c r="AK176">
        <f t="shared" ca="1" si="96"/>
        <v>6.9853548189292458E-2</v>
      </c>
      <c r="AM176">
        <f t="shared" ca="1" si="97"/>
        <v>11318.710440461582</v>
      </c>
      <c r="AN176" s="6">
        <f t="shared" si="98"/>
        <v>1.9495613999999998E-5</v>
      </c>
      <c r="AO176" s="6">
        <f t="shared" ca="1" si="99"/>
        <v>4637646.9846094586</v>
      </c>
      <c r="AP176" s="6">
        <f t="shared" ca="1" si="100"/>
        <v>2.319802854620101E-3</v>
      </c>
    </row>
    <row r="177" spans="1:42" x14ac:dyDescent="0.25">
      <c r="A177">
        <f t="shared" si="101"/>
        <v>138</v>
      </c>
      <c r="B177">
        <f t="shared" si="77"/>
        <v>5.7309062170663605</v>
      </c>
      <c r="C177">
        <f t="shared" ca="1" si="102"/>
        <v>4463004765.6638603</v>
      </c>
      <c r="D177">
        <f t="shared" si="80"/>
        <v>10000000</v>
      </c>
      <c r="E177">
        <f t="shared" ca="1" si="81"/>
        <v>10000000.001035675</v>
      </c>
      <c r="F177">
        <f t="shared" ca="1" si="103"/>
        <v>3673062256.1166706</v>
      </c>
      <c r="G177">
        <f t="shared" ca="1" si="78"/>
        <v>949.99696688261656</v>
      </c>
      <c r="H177">
        <f t="shared" ca="1" si="82"/>
        <v>9499969669.8100548</v>
      </c>
      <c r="I177">
        <f t="shared" ca="1" si="83"/>
        <v>791842534.47838283</v>
      </c>
      <c r="J177">
        <f t="shared" ca="1" si="112"/>
        <v>1764353662026.4375</v>
      </c>
      <c r="K177">
        <f t="shared" ca="1" si="84"/>
        <v>4.0693366170390867E-6</v>
      </c>
      <c r="L177">
        <f t="shared" ca="1" si="104"/>
        <v>-322334310711.15546</v>
      </c>
      <c r="M177">
        <f t="shared" ca="1" si="105"/>
        <v>-322334310754.01135</v>
      </c>
      <c r="N177">
        <f t="shared" ca="1" si="85"/>
        <v>322334310787.39471</v>
      </c>
      <c r="O177">
        <f t="shared" ca="1" si="86"/>
        <v>-322334310677.77203</v>
      </c>
      <c r="Q177">
        <f t="shared" si="106"/>
        <v>138</v>
      </c>
      <c r="R177" s="23">
        <f t="shared" si="114"/>
        <v>200.48723400127537</v>
      </c>
      <c r="S177">
        <f t="shared" ca="1" si="107"/>
        <v>4.4371239646910136E-2</v>
      </c>
      <c r="T177" s="23">
        <f t="shared" ca="1" si="108"/>
        <v>499999.99999927287</v>
      </c>
      <c r="U177">
        <f t="shared" ca="1" si="113"/>
        <v>350739.2434914225</v>
      </c>
      <c r="V177">
        <f t="shared" ca="1" si="109"/>
        <v>371.60738290854215</v>
      </c>
      <c r="W177">
        <f t="shared" ca="1" si="110"/>
        <v>1.871687829449717E-11</v>
      </c>
      <c r="X177">
        <f t="shared" ca="1" si="87"/>
        <v>6.5647437335329634E-6</v>
      </c>
      <c r="Y177">
        <f t="shared" ca="1" si="88"/>
        <v>6.6967059616929712E-4</v>
      </c>
      <c r="Z177">
        <f t="shared" ca="1" si="89"/>
        <v>149.93929160408845</v>
      </c>
      <c r="AA177">
        <f t="shared" ca="1" si="90"/>
        <v>486.67581409159089</v>
      </c>
      <c r="AB177" s="6">
        <f t="shared" ca="1" si="91"/>
        <v>-3.6901045679801819E-9</v>
      </c>
      <c r="AC177">
        <f t="shared" ca="1" si="92"/>
        <v>69.018957856158423</v>
      </c>
      <c r="AD177">
        <f t="shared" ca="1" si="111"/>
        <v>26.163073294779796</v>
      </c>
      <c r="AE177">
        <f t="shared" ca="1" si="93"/>
        <v>3.2086666920106621</v>
      </c>
      <c r="AF177">
        <f t="shared" ca="1" si="94"/>
        <v>98.390697842948882</v>
      </c>
      <c r="AG177">
        <f t="shared" ca="1" si="79"/>
        <v>0.60796473735745926</v>
      </c>
      <c r="AI177">
        <f t="shared" ca="1" si="95"/>
        <v>8.251934110643154E-5</v>
      </c>
      <c r="AK177">
        <f t="shared" ca="1" si="96"/>
        <v>6.9901552919969606E-2</v>
      </c>
      <c r="AM177">
        <f t="shared" ca="1" si="97"/>
        <v>11312.601125512048</v>
      </c>
      <c r="AN177" s="6">
        <f t="shared" si="98"/>
        <v>1.9495613999999998E-5</v>
      </c>
      <c r="AO177" s="6">
        <f t="shared" ca="1" si="99"/>
        <v>4637646.9846094595</v>
      </c>
      <c r="AP177" s="6">
        <f t="shared" ca="1" si="100"/>
        <v>2.319802854620101E-3</v>
      </c>
    </row>
    <row r="178" spans="1:42" x14ac:dyDescent="0.25">
      <c r="A178">
        <f t="shared" si="101"/>
        <v>139</v>
      </c>
      <c r="B178">
        <f t="shared" si="77"/>
        <v>5.7724345229871314</v>
      </c>
      <c r="C178">
        <f t="shared" ca="1" si="102"/>
        <v>4495888644.6767569</v>
      </c>
      <c r="D178">
        <f t="shared" si="80"/>
        <v>10000000</v>
      </c>
      <c r="E178">
        <f t="shared" ca="1" si="81"/>
        <v>10000000.001028102</v>
      </c>
      <c r="F178">
        <f t="shared" ca="1" si="103"/>
        <v>3673062389.9322438</v>
      </c>
      <c r="G178">
        <f t="shared" ca="1" si="78"/>
        <v>949.99696688272707</v>
      </c>
      <c r="H178">
        <f t="shared" ca="1" si="82"/>
        <v>9499969669.8039646</v>
      </c>
      <c r="I178">
        <f t="shared" ca="1" si="83"/>
        <v>791842534.47787523</v>
      </c>
      <c r="J178">
        <f t="shared" ca="1" si="112"/>
        <v>1777353601503.0156</v>
      </c>
      <c r="K178">
        <f t="shared" ca="1" si="84"/>
        <v>4.0395726299030455E-6</v>
      </c>
      <c r="L178">
        <f t="shared" ca="1" si="104"/>
        <v>-324709303128.60797</v>
      </c>
      <c r="M178">
        <f t="shared" ca="1" si="105"/>
        <v>-324709303171.46387</v>
      </c>
      <c r="N178">
        <f t="shared" ca="1" si="85"/>
        <v>324709303204.84723</v>
      </c>
      <c r="O178">
        <f t="shared" ca="1" si="86"/>
        <v>-324709303095.22455</v>
      </c>
      <c r="Q178">
        <f t="shared" si="106"/>
        <v>139</v>
      </c>
      <c r="R178" s="23">
        <f t="shared" si="114"/>
        <v>201.94004004476284</v>
      </c>
      <c r="S178">
        <f t="shared" ca="1" si="107"/>
        <v>4.5344141136170746E-2</v>
      </c>
      <c r="T178" s="23">
        <f t="shared" ca="1" si="108"/>
        <v>499999.99999926751</v>
      </c>
      <c r="U178">
        <f t="shared" ca="1" si="113"/>
        <v>350632.57161933312</v>
      </c>
      <c r="V178">
        <f t="shared" ca="1" si="109"/>
        <v>372.08087053285897</v>
      </c>
      <c r="W178">
        <f t="shared" ca="1" si="110"/>
        <v>1.948382385873342E-11</v>
      </c>
      <c r="X178">
        <f t="shared" ca="1" si="87"/>
        <v>6.8316632645658171E-6</v>
      </c>
      <c r="Y178">
        <f t="shared" ca="1" si="88"/>
        <v>6.9689910176395551E-4</v>
      </c>
      <c r="Z178">
        <f t="shared" ca="1" si="89"/>
        <v>150.05036026413131</v>
      </c>
      <c r="AA178">
        <f t="shared" ca="1" si="90"/>
        <v>486.66312629805054</v>
      </c>
      <c r="AB178" s="6">
        <f t="shared" ca="1" si="91"/>
        <v>-3.6921676814642334E-9</v>
      </c>
      <c r="AC178">
        <f t="shared" ca="1" si="92"/>
        <v>68.948691399484744</v>
      </c>
      <c r="AD178">
        <f t="shared" ca="1" si="111"/>
        <v>26.092806838106117</v>
      </c>
      <c r="AE178">
        <f t="shared" ca="1" si="93"/>
        <v>3.2789331486843407</v>
      </c>
      <c r="AF178">
        <f t="shared" ca="1" si="94"/>
        <v>98.320431386275203</v>
      </c>
      <c r="AG178">
        <f t="shared" ca="1" si="79"/>
        <v>0.60830464649129656</v>
      </c>
      <c r="AI178">
        <f t="shared" ca="1" si="95"/>
        <v>8.256547713379758E-5</v>
      </c>
      <c r="AK178">
        <f t="shared" ca="1" si="96"/>
        <v>6.9951509316319965E-2</v>
      </c>
      <c r="AM178">
        <f t="shared" ca="1" si="97"/>
        <v>11306.279857916606</v>
      </c>
      <c r="AN178" s="6">
        <f t="shared" si="98"/>
        <v>1.9495613999999998E-5</v>
      </c>
      <c r="AO178" s="6">
        <f t="shared" ca="1" si="99"/>
        <v>4637646.9846094586</v>
      </c>
      <c r="AP178" s="6">
        <f t="shared" ca="1" si="100"/>
        <v>2.319802854620101E-3</v>
      </c>
    </row>
    <row r="179" spans="1:42" x14ac:dyDescent="0.25">
      <c r="A179">
        <f t="shared" si="101"/>
        <v>140</v>
      </c>
      <c r="B179">
        <f t="shared" si="77"/>
        <v>5.8139628289079015</v>
      </c>
      <c r="C179">
        <f t="shared" ca="1" si="102"/>
        <v>4528772523.6896324</v>
      </c>
      <c r="D179">
        <f t="shared" si="80"/>
        <v>10000000</v>
      </c>
      <c r="E179">
        <f t="shared" ca="1" si="81"/>
        <v>10000000.001020635</v>
      </c>
      <c r="F179">
        <f t="shared" ca="1" si="103"/>
        <v>3673062522.7690616</v>
      </c>
      <c r="G179">
        <f t="shared" ca="1" si="78"/>
        <v>949.99696688283677</v>
      </c>
      <c r="H179">
        <f t="shared" ca="1" si="82"/>
        <v>9499969669.7979679</v>
      </c>
      <c r="I179">
        <f t="shared" ca="1" si="83"/>
        <v>791842534.47737539</v>
      </c>
      <c r="J179">
        <f t="shared" ca="1" si="112"/>
        <v>1790353540979.6094</v>
      </c>
      <c r="K179">
        <f t="shared" ca="1" si="84"/>
        <v>4.0102408814533453E-6</v>
      </c>
      <c r="L179">
        <f t="shared" ca="1" si="104"/>
        <v>-327084295546.05896</v>
      </c>
      <c r="M179">
        <f t="shared" ca="1" si="105"/>
        <v>-327084295588.91479</v>
      </c>
      <c r="N179">
        <f t="shared" ca="1" si="85"/>
        <v>327084295622.29816</v>
      </c>
      <c r="O179">
        <f t="shared" ca="1" si="86"/>
        <v>-327084295512.6756</v>
      </c>
      <c r="Q179">
        <f t="shared" si="106"/>
        <v>140</v>
      </c>
      <c r="R179" s="23">
        <f t="shared" si="114"/>
        <v>203.39284608825034</v>
      </c>
      <c r="S179">
        <f t="shared" ca="1" si="107"/>
        <v>4.6356600362914432E-2</v>
      </c>
      <c r="T179" s="23">
        <f t="shared" ca="1" si="108"/>
        <v>499999.99999926216</v>
      </c>
      <c r="U179">
        <f t="shared" ca="1" si="113"/>
        <v>350521.40050135506</v>
      </c>
      <c r="V179">
        <f t="shared" ca="1" si="109"/>
        <v>372.57359710539538</v>
      </c>
      <c r="W179">
        <f t="shared" ca="1" si="110"/>
        <v>2.0313116824920055E-11</v>
      </c>
      <c r="X179">
        <f t="shared" ca="1" si="87"/>
        <v>7.1201821580186168E-6</v>
      </c>
      <c r="Y179">
        <f t="shared" ca="1" si="88"/>
        <v>7.2633096189852618E-4</v>
      </c>
      <c r="Z179">
        <f t="shared" ca="1" si="89"/>
        <v>150.16611361942034</v>
      </c>
      <c r="AA179">
        <f t="shared" ca="1" si="90"/>
        <v>486.64992332694965</v>
      </c>
      <c r="AB179" s="6">
        <f t="shared" ca="1" si="91"/>
        <v>-3.6943074220740945E-9</v>
      </c>
      <c r="AC179">
        <f t="shared" ca="1" si="92"/>
        <v>68.875567940249496</v>
      </c>
      <c r="AD179">
        <f t="shared" ca="1" si="111"/>
        <v>26.019683378870877</v>
      </c>
      <c r="AE179">
        <f t="shared" ca="1" si="93"/>
        <v>3.3520566079195802</v>
      </c>
      <c r="AF179">
        <f t="shared" ca="1" si="94"/>
        <v>98.247307927039955</v>
      </c>
      <c r="AG179">
        <f t="shared" ca="1" si="79"/>
        <v>0.60865718035962502</v>
      </c>
      <c r="AI179">
        <f t="shared" ca="1" si="95"/>
        <v>8.261332672234215E-5</v>
      </c>
      <c r="AK179">
        <f t="shared" ca="1" si="96"/>
        <v>7.0003572792132818E-2</v>
      </c>
      <c r="AM179">
        <f t="shared" ca="1" si="97"/>
        <v>11299.731267505895</v>
      </c>
      <c r="AN179" s="6">
        <f t="shared" si="98"/>
        <v>1.9495613999999998E-5</v>
      </c>
      <c r="AO179" s="6">
        <f t="shared" ca="1" si="99"/>
        <v>4637646.9846094595</v>
      </c>
      <c r="AP179" s="6">
        <f t="shared" ca="1" si="100"/>
        <v>2.319802854620101E-3</v>
      </c>
    </row>
    <row r="180" spans="1:42" x14ac:dyDescent="0.25">
      <c r="A180">
        <f t="shared" si="101"/>
        <v>141</v>
      </c>
      <c r="B180">
        <f t="shared" si="77"/>
        <v>5.8554911348286725</v>
      </c>
      <c r="C180">
        <f t="shared" ca="1" si="102"/>
        <v>4561656402.7024879</v>
      </c>
      <c r="D180">
        <f t="shared" si="80"/>
        <v>10000000</v>
      </c>
      <c r="E180">
        <f t="shared" ca="1" si="81"/>
        <v>10000000.001013279</v>
      </c>
      <c r="F180">
        <f t="shared" ca="1" si="103"/>
        <v>3673062654.6413374</v>
      </c>
      <c r="G180">
        <f t="shared" ca="1" si="78"/>
        <v>949.99696688294557</v>
      </c>
      <c r="H180">
        <f t="shared" ca="1" si="82"/>
        <v>9499969669.7920685</v>
      </c>
      <c r="I180">
        <f t="shared" ca="1" si="83"/>
        <v>791842534.47688365</v>
      </c>
      <c r="J180">
        <f t="shared" ca="1" si="112"/>
        <v>1803353480456.1875</v>
      </c>
      <c r="K180">
        <f t="shared" ca="1" si="84"/>
        <v>3.9813320239773254E-6</v>
      </c>
      <c r="L180">
        <f t="shared" ca="1" si="104"/>
        <v>-329459287963.50848</v>
      </c>
      <c r="M180">
        <f t="shared" ca="1" si="105"/>
        <v>-329459288006.36438</v>
      </c>
      <c r="N180">
        <f t="shared" ca="1" si="85"/>
        <v>329459288039.74774</v>
      </c>
      <c r="O180">
        <f t="shared" ca="1" si="86"/>
        <v>-329459287930.12506</v>
      </c>
      <c r="Q180">
        <f t="shared" si="106"/>
        <v>141</v>
      </c>
      <c r="R180" s="23">
        <f t="shared" si="114"/>
        <v>204.84565213173784</v>
      </c>
      <c r="S180">
        <f t="shared" ca="1" si="107"/>
        <v>4.7411818373932699E-2</v>
      </c>
      <c r="T180" s="23">
        <f t="shared" ca="1" si="108"/>
        <v>499999.9999992568</v>
      </c>
      <c r="U180">
        <f t="shared" ca="1" si="113"/>
        <v>350405.3580858084</v>
      </c>
      <c r="V180">
        <f t="shared" ca="1" si="109"/>
        <v>373.08711886955064</v>
      </c>
      <c r="W180">
        <f t="shared" ca="1" si="110"/>
        <v>2.1212509599413679E-11</v>
      </c>
      <c r="X180">
        <f t="shared" ca="1" si="87"/>
        <v>7.432977022081198E-6</v>
      </c>
      <c r="Y180">
        <f t="shared" ca="1" si="88"/>
        <v>7.5823921781802313E-4</v>
      </c>
      <c r="Z180">
        <f t="shared" ca="1" si="89"/>
        <v>150.28693905681544</v>
      </c>
      <c r="AA180">
        <f t="shared" ca="1" si="90"/>
        <v>486.63616352244941</v>
      </c>
      <c r="AB180" s="6">
        <f t="shared" ca="1" si="91"/>
        <v>-3.6965296515970551E-9</v>
      </c>
      <c r="AC180">
        <f t="shared" ca="1" si="92"/>
        <v>68.799356287301123</v>
      </c>
      <c r="AD180">
        <f t="shared" ca="1" si="111"/>
        <v>25.943471725922489</v>
      </c>
      <c r="AE180">
        <f t="shared" ca="1" si="93"/>
        <v>3.4282682608679691</v>
      </c>
      <c r="AF180">
        <f t="shared" ca="1" si="94"/>
        <v>98.171096274091582</v>
      </c>
      <c r="AG180">
        <f t="shared" ca="1" si="79"/>
        <v>0.60902330472368726</v>
      </c>
      <c r="AI180">
        <f t="shared" ca="1" si="95"/>
        <v>8.2663020955295121E-5</v>
      </c>
      <c r="AK180">
        <f t="shared" ca="1" si="96"/>
        <v>7.0057917586041268E-2</v>
      </c>
      <c r="AM180">
        <f t="shared" ca="1" si="97"/>
        <v>11292.938248433718</v>
      </c>
      <c r="AN180" s="6">
        <f t="shared" si="98"/>
        <v>1.9495613999999998E-5</v>
      </c>
      <c r="AO180" s="6">
        <f t="shared" ca="1" si="99"/>
        <v>4637646.9846094614</v>
      </c>
      <c r="AP180" s="6">
        <f t="shared" ca="1" si="100"/>
        <v>2.3198028546201001E-3</v>
      </c>
    </row>
    <row r="181" spans="1:42" x14ac:dyDescent="0.25">
      <c r="A181">
        <f t="shared" si="101"/>
        <v>142</v>
      </c>
      <c r="B181">
        <f t="shared" si="77"/>
        <v>5.8970194407494434</v>
      </c>
      <c r="C181">
        <f t="shared" ca="1" si="102"/>
        <v>4594540281.7153225</v>
      </c>
      <c r="D181">
        <f t="shared" si="80"/>
        <v>10000000</v>
      </c>
      <c r="E181">
        <f t="shared" ca="1" si="81"/>
        <v>10000000.001006024</v>
      </c>
      <c r="F181">
        <f t="shared" ca="1" si="103"/>
        <v>3673062785.5629778</v>
      </c>
      <c r="G181">
        <f t="shared" ca="1" si="78"/>
        <v>949.99696688305369</v>
      </c>
      <c r="H181">
        <f t="shared" ca="1" si="82"/>
        <v>9499969669.7862568</v>
      </c>
      <c r="I181">
        <f t="shared" ca="1" si="83"/>
        <v>791842534.47639918</v>
      </c>
      <c r="J181">
        <f t="shared" ca="1" si="112"/>
        <v>1816353419932.7656</v>
      </c>
      <c r="K181">
        <f t="shared" ca="1" si="84"/>
        <v>3.9528369773746751E-6</v>
      </c>
      <c r="L181">
        <f t="shared" ca="1" si="104"/>
        <v>-331834280380.95654</v>
      </c>
      <c r="M181">
        <f t="shared" ca="1" si="105"/>
        <v>-331834280423.81238</v>
      </c>
      <c r="N181">
        <f t="shared" ca="1" si="85"/>
        <v>331834280457.19574</v>
      </c>
      <c r="O181">
        <f t="shared" ca="1" si="86"/>
        <v>-331834280347.57318</v>
      </c>
      <c r="Q181">
        <f t="shared" si="106"/>
        <v>142</v>
      </c>
      <c r="R181" s="23">
        <f t="shared" si="114"/>
        <v>206.29845817522536</v>
      </c>
      <c r="S181">
        <f t="shared" ca="1" si="107"/>
        <v>4.8513392891987979E-2</v>
      </c>
      <c r="T181" s="23">
        <f t="shared" ca="1" si="108"/>
        <v>499999.99999925145</v>
      </c>
      <c r="U181">
        <f t="shared" ca="1" si="113"/>
        <v>350284.02546803706</v>
      </c>
      <c r="V181">
        <f t="shared" ca="1" si="109"/>
        <v>373.62318486685115</v>
      </c>
      <c r="W181">
        <f t="shared" ca="1" si="110"/>
        <v>2.2191077138644929E-11</v>
      </c>
      <c r="X181">
        <f t="shared" ca="1" si="87"/>
        <v>7.7731798295962756E-6</v>
      </c>
      <c r="Y181">
        <f t="shared" ca="1" si="88"/>
        <v>7.9294336259116299E-4</v>
      </c>
      <c r="Z181">
        <f t="shared" ca="1" si="89"/>
        <v>150.41327274733251</v>
      </c>
      <c r="AA181">
        <f t="shared" ca="1" si="90"/>
        <v>486.62180006967384</v>
      </c>
      <c r="AB181" s="6">
        <f t="shared" ca="1" si="91"/>
        <v>-3.6988409273665975E-9</v>
      </c>
      <c r="AC181">
        <f t="shared" ca="1" si="92"/>
        <v>68.719796600117803</v>
      </c>
      <c r="AD181">
        <f t="shared" ca="1" si="111"/>
        <v>25.863912038739169</v>
      </c>
      <c r="AE181">
        <f t="shared" ca="1" si="93"/>
        <v>3.5078279480512888</v>
      </c>
      <c r="AF181">
        <f t="shared" ca="1" si="94"/>
        <v>98.091536586908262</v>
      </c>
      <c r="AG181">
        <f t="shared" ca="1" si="79"/>
        <v>0.60940409993973177</v>
      </c>
      <c r="AI181">
        <f t="shared" ca="1" si="95"/>
        <v>8.2714706469920617E-5</v>
      </c>
      <c r="AK181">
        <f t="shared" ca="1" si="96"/>
        <v>7.0114739878787399E-2</v>
      </c>
      <c r="AM181">
        <f t="shared" ca="1" si="97"/>
        <v>11285.88168799949</v>
      </c>
      <c r="AN181" s="6">
        <f t="shared" si="98"/>
        <v>1.9495613999999998E-5</v>
      </c>
      <c r="AO181" s="6">
        <f t="shared" ca="1" si="99"/>
        <v>4637646.9846094605</v>
      </c>
      <c r="AP181" s="6">
        <f t="shared" ca="1" si="100"/>
        <v>2.3198028546201001E-3</v>
      </c>
    </row>
    <row r="182" spans="1:42" x14ac:dyDescent="0.25">
      <c r="A182">
        <f t="shared" si="101"/>
        <v>143</v>
      </c>
      <c r="B182">
        <f t="shared" si="77"/>
        <v>5.9385477466702135</v>
      </c>
      <c r="C182">
        <f t="shared" ca="1" si="102"/>
        <v>4627424160.7281361</v>
      </c>
      <c r="D182">
        <f t="shared" si="80"/>
        <v>10000000</v>
      </c>
      <c r="E182">
        <f t="shared" ca="1" si="81"/>
        <v>10000000.000998879</v>
      </c>
      <c r="F182">
        <f t="shared" ca="1" si="103"/>
        <v>3673062915.5475907</v>
      </c>
      <c r="G182">
        <f t="shared" ca="1" si="78"/>
        <v>949.99696688316112</v>
      </c>
      <c r="H182">
        <f t="shared" ca="1" si="82"/>
        <v>9499969669.7805424</v>
      </c>
      <c r="I182">
        <f t="shared" ca="1" si="83"/>
        <v>791842534.47592282</v>
      </c>
      <c r="J182">
        <f t="shared" ca="1" si="112"/>
        <v>1829353359409.3438</v>
      </c>
      <c r="K182">
        <f t="shared" ca="1" si="84"/>
        <v>3.9247469196488987E-6</v>
      </c>
      <c r="L182">
        <f t="shared" ca="1" si="104"/>
        <v>-334209272798.40302</v>
      </c>
      <c r="M182">
        <f t="shared" ca="1" si="105"/>
        <v>-334209272841.25891</v>
      </c>
      <c r="N182">
        <f t="shared" ca="1" si="85"/>
        <v>334209272874.64227</v>
      </c>
      <c r="O182">
        <f t="shared" ca="1" si="86"/>
        <v>-334209272765.01959</v>
      </c>
      <c r="Q182">
        <f t="shared" si="106"/>
        <v>143</v>
      </c>
      <c r="R182" s="23">
        <f t="shared" si="114"/>
        <v>207.75126421871286</v>
      </c>
      <c r="S182">
        <f t="shared" ca="1" si="107"/>
        <v>4.9665385801303717E-2</v>
      </c>
      <c r="T182" s="23">
        <f t="shared" ca="1" si="108"/>
        <v>499999.99999924609</v>
      </c>
      <c r="U182">
        <f t="shared" ca="1" si="113"/>
        <v>350156.92881332163</v>
      </c>
      <c r="V182">
        <f t="shared" ca="1" si="109"/>
        <v>374.18376973004985</v>
      </c>
      <c r="W182">
        <f t="shared" ca="1" si="110"/>
        <v>2.3259508605819639E-11</v>
      </c>
      <c r="X182">
        <f t="shared" ca="1" si="87"/>
        <v>8.1444780991208284E-6</v>
      </c>
      <c r="Y182">
        <f t="shared" ca="1" si="88"/>
        <v>8.3081956059704004E-4</v>
      </c>
      <c r="Z182">
        <f t="shared" ca="1" si="89"/>
        <v>150.54560805615156</v>
      </c>
      <c r="AA182">
        <f t="shared" ca="1" si="90"/>
        <v>486.60678011742806</v>
      </c>
      <c r="AB182" s="6">
        <f t="shared" ca="1" si="91"/>
        <v>-3.7012486163168173E-9</v>
      </c>
      <c r="AC182">
        <f t="shared" ca="1" si="92"/>
        <v>68.636595514761922</v>
      </c>
      <c r="AD182">
        <f t="shared" ca="1" si="111"/>
        <v>25.780710953383302</v>
      </c>
      <c r="AE182">
        <f t="shared" ca="1" si="93"/>
        <v>3.5910290334071533</v>
      </c>
      <c r="AF182">
        <f t="shared" ca="1" si="94"/>
        <v>98.008335501552381</v>
      </c>
      <c r="AG182">
        <f t="shared" ca="1" si="79"/>
        <v>0.60980077975009828</v>
      </c>
      <c r="AI182">
        <f t="shared" ca="1" si="95"/>
        <v>8.2768548008039993E-5</v>
      </c>
      <c r="AK182">
        <f t="shared" ca="1" si="96"/>
        <v>7.0174261575870658E-2</v>
      </c>
      <c r="AM182">
        <f t="shared" ca="1" si="97"/>
        <v>11278.540140470392</v>
      </c>
      <c r="AN182" s="6">
        <f t="shared" si="98"/>
        <v>1.9495613999999998E-5</v>
      </c>
      <c r="AO182" s="6">
        <f t="shared" ca="1" si="99"/>
        <v>4637646.9846094586</v>
      </c>
      <c r="AP182" s="6">
        <f t="shared" ca="1" si="100"/>
        <v>2.319802854620101E-3</v>
      </c>
    </row>
    <row r="183" spans="1:42" x14ac:dyDescent="0.25">
      <c r="A183">
        <f t="shared" si="101"/>
        <v>144</v>
      </c>
      <c r="B183">
        <f t="shared" si="77"/>
        <v>5.9800760525909844</v>
      </c>
      <c r="C183">
        <f t="shared" ca="1" si="102"/>
        <v>4660308039.7409306</v>
      </c>
      <c r="D183">
        <f t="shared" si="80"/>
        <v>10000000</v>
      </c>
      <c r="E183">
        <f t="shared" ca="1" si="81"/>
        <v>10000000.000991827</v>
      </c>
      <c r="F183">
        <f t="shared" ca="1" si="103"/>
        <v>3673063044.6084938</v>
      </c>
      <c r="G183">
        <f t="shared" ca="1" si="78"/>
        <v>949.99696688326776</v>
      </c>
      <c r="H183">
        <f t="shared" ca="1" si="82"/>
        <v>9499969669.77491</v>
      </c>
      <c r="I183">
        <f t="shared" ca="1" si="83"/>
        <v>791842534.47545338</v>
      </c>
      <c r="J183">
        <f t="shared" ca="1" si="112"/>
        <v>1842353298885.8906</v>
      </c>
      <c r="K183">
        <f t="shared" ca="1" si="84"/>
        <v>3.8970532778012391E-6</v>
      </c>
      <c r="L183">
        <f t="shared" ca="1" si="104"/>
        <v>-336584265215.84814</v>
      </c>
      <c r="M183">
        <f t="shared" ca="1" si="105"/>
        <v>-336584265258.70404</v>
      </c>
      <c r="N183">
        <f t="shared" ca="1" si="85"/>
        <v>336584265292.0874</v>
      </c>
      <c r="O183">
        <f t="shared" ca="1" si="86"/>
        <v>-336584265182.46484</v>
      </c>
      <c r="Q183">
        <f t="shared" si="106"/>
        <v>144</v>
      </c>
      <c r="R183" s="23">
        <f t="shared" si="114"/>
        <v>209.20407026220036</v>
      </c>
      <c r="S183">
        <f t="shared" ca="1" si="107"/>
        <v>5.0872405479986726E-2</v>
      </c>
      <c r="T183" s="23">
        <f t="shared" ca="1" si="108"/>
        <v>499999.99999924074</v>
      </c>
      <c r="U183">
        <f t="shared" ca="1" si="113"/>
        <v>350023.52948226169</v>
      </c>
      <c r="V183">
        <f t="shared" ca="1" si="109"/>
        <v>374.77111368943218</v>
      </c>
      <c r="W183">
        <f t="shared" ca="1" si="110"/>
        <v>2.4430479126732343E-11</v>
      </c>
      <c r="X183">
        <f t="shared" ca="1" si="87"/>
        <v>8.5512425308815778E-6</v>
      </c>
      <c r="Y183">
        <f t="shared" ca="1" si="88"/>
        <v>8.7231366769009624E-4</v>
      </c>
      <c r="Z183">
        <f t="shared" ca="1" si="89"/>
        <v>150.68450582424487</v>
      </c>
      <c r="AA183">
        <f t="shared" ca="1" si="90"/>
        <v>486.59104370799253</v>
      </c>
      <c r="AB183" s="6">
        <f t="shared" ca="1" si="91"/>
        <v>-3.7037610333157153E-9</v>
      </c>
      <c r="AC183">
        <f t="shared" ca="1" si="92"/>
        <v>68.549420197535397</v>
      </c>
      <c r="AD183">
        <f t="shared" ca="1" si="111"/>
        <v>25.693535636156774</v>
      </c>
      <c r="AE183">
        <f t="shared" ca="1" si="93"/>
        <v>3.6782043506336835</v>
      </c>
      <c r="AF183">
        <f t="shared" ca="1" si="94"/>
        <v>97.921160184325856</v>
      </c>
      <c r="AG183">
        <f t="shared" ca="1" si="79"/>
        <v>0.61021471407437777</v>
      </c>
      <c r="AI183">
        <f t="shared" ca="1" si="95"/>
        <v>8.2824731509486711E-5</v>
      </c>
      <c r="AK183">
        <f t="shared" ca="1" si="96"/>
        <v>7.0236734932012462E-2</v>
      </c>
      <c r="AM183">
        <f t="shared" ca="1" si="97"/>
        <v>11270.88943198332</v>
      </c>
      <c r="AN183" s="6">
        <f t="shared" si="98"/>
        <v>1.9495613999999998E-5</v>
      </c>
      <c r="AO183" s="6">
        <f t="shared" ca="1" si="99"/>
        <v>4637646.9846094577</v>
      </c>
      <c r="AP183" s="6">
        <f t="shared" ca="1" si="100"/>
        <v>2.319802854620101E-3</v>
      </c>
    </row>
    <row r="184" spans="1:42" x14ac:dyDescent="0.25">
      <c r="A184">
        <f t="shared" si="101"/>
        <v>145</v>
      </c>
      <c r="B184">
        <f t="shared" si="77"/>
        <v>6.0216043585117554</v>
      </c>
      <c r="C184">
        <f t="shared" ca="1" si="102"/>
        <v>4693191918.753706</v>
      </c>
      <c r="D184">
        <f t="shared" si="80"/>
        <v>10000000</v>
      </c>
      <c r="E184">
        <f t="shared" ca="1" si="81"/>
        <v>10000000.000984879</v>
      </c>
      <c r="F184">
        <f t="shared" ca="1" si="103"/>
        <v>3673063172.7587223</v>
      </c>
      <c r="G184">
        <f t="shared" ca="1" si="78"/>
        <v>949.99696688337349</v>
      </c>
      <c r="H184">
        <f t="shared" ca="1" si="82"/>
        <v>9499969669.7693672</v>
      </c>
      <c r="I184">
        <f t="shared" ca="1" si="83"/>
        <v>791842534.47499132</v>
      </c>
      <c r="J184">
        <f t="shared" ca="1" si="112"/>
        <v>1855353238362.4375</v>
      </c>
      <c r="K184">
        <f t="shared" ca="1" si="84"/>
        <v>3.8697477191071933E-6</v>
      </c>
      <c r="L184">
        <f t="shared" ca="1" si="104"/>
        <v>-338959257633.29193</v>
      </c>
      <c r="M184">
        <f t="shared" ca="1" si="105"/>
        <v>-338959257676.14777</v>
      </c>
      <c r="N184">
        <f t="shared" ca="1" si="85"/>
        <v>338959257709.53113</v>
      </c>
      <c r="O184">
        <f t="shared" ca="1" si="86"/>
        <v>-338959257599.90857</v>
      </c>
      <c r="Q184">
        <f t="shared" si="106"/>
        <v>145</v>
      </c>
      <c r="R184" s="23">
        <f t="shared" si="114"/>
        <v>210.65687630568783</v>
      </c>
      <c r="S184">
        <f t="shared" ca="1" si="107"/>
        <v>5.2139708048223619E-2</v>
      </c>
      <c r="T184" s="23">
        <f t="shared" ca="1" si="108"/>
        <v>499999.99999923538</v>
      </c>
      <c r="U184">
        <f t="shared" ca="1" si="113"/>
        <v>349883.2118608692</v>
      </c>
      <c r="V184">
        <f t="shared" ca="1" si="109"/>
        <v>375.38777176880438</v>
      </c>
      <c r="W184">
        <f t="shared" ca="1" si="110"/>
        <v>2.5719128358710343E-11</v>
      </c>
      <c r="X184">
        <f t="shared" ca="1" si="87"/>
        <v>8.9986912364075405E-6</v>
      </c>
      <c r="Y184">
        <f t="shared" ca="1" si="88"/>
        <v>9.1795798429215392E-4</v>
      </c>
      <c r="Z184">
        <f t="shared" ca="1" si="89"/>
        <v>150.83060703990125</v>
      </c>
      <c r="AA184">
        <f t="shared" ca="1" si="90"/>
        <v>486.57452246114241</v>
      </c>
      <c r="AB184" s="6">
        <f t="shared" ca="1" si="91"/>
        <v>-3.7063876102308115E-9</v>
      </c>
      <c r="AC184">
        <f t="shared" ca="1" si="92"/>
        <v>68.457891032469433</v>
      </c>
      <c r="AD184">
        <f t="shared" ca="1" si="111"/>
        <v>25.602006471090807</v>
      </c>
      <c r="AE184">
        <f t="shared" ca="1" si="93"/>
        <v>3.7697335156996505</v>
      </c>
      <c r="AF184">
        <f t="shared" ca="1" si="94"/>
        <v>97.829631019259892</v>
      </c>
      <c r="AG184">
        <f t="shared" ca="1" si="79"/>
        <v>0.61064745686388877</v>
      </c>
      <c r="AI184">
        <f t="shared" ca="1" si="95"/>
        <v>8.28834678928076E-5</v>
      </c>
      <c r="AK184">
        <f t="shared" ca="1" si="96"/>
        <v>7.0302448250547031E-2</v>
      </c>
      <c r="AM184">
        <f t="shared" ca="1" si="97"/>
        <v>11262.902178326171</v>
      </c>
      <c r="AN184" s="6">
        <f t="shared" si="98"/>
        <v>1.9495613999999998E-5</v>
      </c>
      <c r="AO184" s="6">
        <f t="shared" ca="1" si="99"/>
        <v>4637646.9846094595</v>
      </c>
      <c r="AP184" s="6">
        <f t="shared" ca="1" si="100"/>
        <v>2.319802854620101E-3</v>
      </c>
    </row>
    <row r="185" spans="1:42" x14ac:dyDescent="0.25">
      <c r="A185">
        <f t="shared" si="101"/>
        <v>146</v>
      </c>
      <c r="B185">
        <f t="shared" si="77"/>
        <v>6.0631326644325263</v>
      </c>
      <c r="C185">
        <f t="shared" ca="1" si="102"/>
        <v>4726075797.7664623</v>
      </c>
      <c r="D185">
        <f t="shared" si="80"/>
        <v>10000000</v>
      </c>
      <c r="E185">
        <f t="shared" ca="1" si="81"/>
        <v>10000000.000978025</v>
      </c>
      <c r="F185">
        <f t="shared" ca="1" si="103"/>
        <v>3673063300.0110383</v>
      </c>
      <c r="G185">
        <f t="shared" ca="1" si="78"/>
        <v>949.99696688347854</v>
      </c>
      <c r="H185">
        <f t="shared" ca="1" si="82"/>
        <v>9499969669.7639065</v>
      </c>
      <c r="I185">
        <f t="shared" ca="1" si="83"/>
        <v>791842534.4745363</v>
      </c>
      <c r="J185">
        <f t="shared" ca="1" si="112"/>
        <v>1868353177838.9844</v>
      </c>
      <c r="K185">
        <f t="shared" ca="1" si="84"/>
        <v>3.8428221427576048E-6</v>
      </c>
      <c r="L185">
        <f t="shared" ca="1" si="104"/>
        <v>-341334250050.73425</v>
      </c>
      <c r="M185">
        <f t="shared" ca="1" si="105"/>
        <v>-341334250093.59015</v>
      </c>
      <c r="N185">
        <f t="shared" ca="1" si="85"/>
        <v>341334250126.97351</v>
      </c>
      <c r="O185">
        <f t="shared" ca="1" si="86"/>
        <v>-341334250017.35095</v>
      </c>
      <c r="Q185">
        <f t="shared" si="106"/>
        <v>146</v>
      </c>
      <c r="R185" s="23">
        <f t="shared" si="114"/>
        <v>212.10968234917536</v>
      </c>
      <c r="S185">
        <f t="shared" ca="1" si="107"/>
        <v>5.3473322955470887E-2</v>
      </c>
      <c r="T185" s="23">
        <f t="shared" ca="1" si="108"/>
        <v>499999.99999922997</v>
      </c>
      <c r="U185">
        <f t="shared" ca="1" si="113"/>
        <v>349735.26823032188</v>
      </c>
      <c r="V185">
        <f t="shared" ca="1" si="109"/>
        <v>376.03667480544527</v>
      </c>
      <c r="W185">
        <f t="shared" ca="1" si="110"/>
        <v>2.7143683214754485E-11</v>
      </c>
      <c r="X185">
        <f t="shared" ca="1" si="87"/>
        <v>9.4931033298710458E-6</v>
      </c>
      <c r="Y185">
        <f t="shared" ca="1" si="88"/>
        <v>9.6839304388050905E-4</v>
      </c>
      <c r="Z185">
        <f t="shared" ca="1" si="89"/>
        <v>150.9846485926094</v>
      </c>
      <c r="AA185">
        <f t="shared" ca="1" si="90"/>
        <v>486.55713794194787</v>
      </c>
      <c r="AB185" s="6">
        <f t="shared" ca="1" si="91"/>
        <v>-3.7091391042671584E-9</v>
      </c>
      <c r="AC185">
        <f t="shared" ca="1" si="92"/>
        <v>68.36157255096451</v>
      </c>
      <c r="AD185">
        <f t="shared" ca="1" si="111"/>
        <v>25.50568798958588</v>
      </c>
      <c r="AE185">
        <f t="shared" ca="1" si="93"/>
        <v>3.8660519972045759</v>
      </c>
      <c r="AF185">
        <f t="shared" ca="1" si="94"/>
        <v>97.733312537754969</v>
      </c>
      <c r="AG185">
        <f t="shared" ca="1" si="79"/>
        <v>0.61110078042649552</v>
      </c>
      <c r="AI185">
        <f t="shared" ca="1" si="95"/>
        <v>8.2944997714186588E-5</v>
      </c>
      <c r="AK185">
        <f t="shared" ca="1" si="96"/>
        <v>7.0371732969193579E-2</v>
      </c>
      <c r="AM185">
        <f t="shared" ca="1" si="97"/>
        <v>11254.547191547714</v>
      </c>
      <c r="AN185" s="6">
        <f t="shared" si="98"/>
        <v>1.9495613999999998E-5</v>
      </c>
      <c r="AO185" s="6">
        <f t="shared" ca="1" si="99"/>
        <v>4637646.9846094614</v>
      </c>
      <c r="AP185" s="6">
        <f t="shared" ca="1" si="100"/>
        <v>2.3198028546201001E-3</v>
      </c>
    </row>
    <row r="186" spans="1:42" x14ac:dyDescent="0.25">
      <c r="A186">
        <f t="shared" si="101"/>
        <v>147</v>
      </c>
      <c r="B186">
        <f t="shared" si="77"/>
        <v>6.1046609703532964</v>
      </c>
      <c r="C186">
        <f t="shared" ca="1" si="102"/>
        <v>4758959676.7791986</v>
      </c>
      <c r="D186">
        <f t="shared" si="80"/>
        <v>10000000</v>
      </c>
      <c r="E186">
        <f t="shared" ca="1" si="81"/>
        <v>10000000.000971267</v>
      </c>
      <c r="F186">
        <f t="shared" ca="1" si="103"/>
        <v>3673063426.3779368</v>
      </c>
      <c r="G186">
        <f t="shared" ca="1" si="78"/>
        <v>949.99696688358301</v>
      </c>
      <c r="H186">
        <f t="shared" ca="1" si="82"/>
        <v>9499969669.7585316</v>
      </c>
      <c r="I186">
        <f t="shared" ca="1" si="83"/>
        <v>791842534.47408831</v>
      </c>
      <c r="J186">
        <f t="shared" ca="1" si="112"/>
        <v>1881353117315.5313</v>
      </c>
      <c r="K186">
        <f t="shared" ca="1" si="84"/>
        <v>3.8162686718460595E-6</v>
      </c>
      <c r="L186">
        <f t="shared" ca="1" si="104"/>
        <v>-343709242468.17517</v>
      </c>
      <c r="M186">
        <f t="shared" ca="1" si="105"/>
        <v>-343709242511.03113</v>
      </c>
      <c r="N186">
        <f t="shared" ca="1" si="85"/>
        <v>343709242544.41449</v>
      </c>
      <c r="O186">
        <f t="shared" ca="1" si="86"/>
        <v>-343709242434.79181</v>
      </c>
      <c r="Q186">
        <f t="shared" si="106"/>
        <v>147</v>
      </c>
      <c r="R186" s="23">
        <f t="shared" si="114"/>
        <v>213.56248839266286</v>
      </c>
      <c r="S186">
        <f t="shared" ca="1" si="107"/>
        <v>5.4880210222091746E-2</v>
      </c>
      <c r="T186" s="23">
        <f t="shared" ca="1" si="108"/>
        <v>499999.99999922456</v>
      </c>
      <c r="U186">
        <f t="shared" ca="1" si="113"/>
        <v>349578.879776994</v>
      </c>
      <c r="V186">
        <f t="shared" ca="1" si="109"/>
        <v>376.7212058472993</v>
      </c>
      <c r="W186">
        <f t="shared" ca="1" si="110"/>
        <v>2.8726277691705964E-11</v>
      </c>
      <c r="X186">
        <f t="shared" ca="1" si="87"/>
        <v>1.0042099975629424E-5</v>
      </c>
      <c r="Y186">
        <f t="shared" ca="1" si="88"/>
        <v>1.0243962826942349E-3</v>
      </c>
      <c r="Z186">
        <f t="shared" ca="1" si="89"/>
        <v>151.14748304575321</v>
      </c>
      <c r="AA186">
        <f t="shared" ca="1" si="90"/>
        <v>486.53879961735282</v>
      </c>
      <c r="AB186" s="6">
        <f t="shared" ca="1" si="91"/>
        <v>-3.7120278570099866E-9</v>
      </c>
      <c r="AC186">
        <f t="shared" ca="1" si="92"/>
        <v>68.259962075231869</v>
      </c>
      <c r="AD186">
        <f t="shared" ca="1" si="111"/>
        <v>25.404077513853242</v>
      </c>
      <c r="AE186">
        <f t="shared" ca="1" si="93"/>
        <v>3.9676624729372163</v>
      </c>
      <c r="AF186">
        <f t="shared" ca="1" si="94"/>
        <v>97.631702062022327</v>
      </c>
      <c r="AG186">
        <f t="shared" ca="1" si="79"/>
        <v>0.61157671810528746</v>
      </c>
      <c r="AI186">
        <f t="shared" ca="1" si="95"/>
        <v>8.3009596960242107E-5</v>
      </c>
      <c r="AK186">
        <f t="shared" ca="1" si="96"/>
        <v>7.0444972553407578E-2</v>
      </c>
      <c r="AM186">
        <f t="shared" ca="1" si="97"/>
        <v>11245.788743249033</v>
      </c>
      <c r="AN186" s="6">
        <f t="shared" si="98"/>
        <v>1.9495613999999998E-5</v>
      </c>
      <c r="AO186" s="6">
        <f t="shared" ca="1" si="99"/>
        <v>4637646.9846094595</v>
      </c>
      <c r="AP186" s="6">
        <f t="shared" ca="1" si="100"/>
        <v>2.319802854620101E-3</v>
      </c>
    </row>
    <row r="187" spans="1:42" x14ac:dyDescent="0.25">
      <c r="A187">
        <f t="shared" si="101"/>
        <v>148</v>
      </c>
      <c r="B187">
        <f t="shared" si="77"/>
        <v>6.1461892762740673</v>
      </c>
      <c r="C187">
        <f t="shared" ca="1" si="102"/>
        <v>4791843555.7919168</v>
      </c>
      <c r="D187">
        <f t="shared" si="80"/>
        <v>10000000</v>
      </c>
      <c r="E187">
        <f t="shared" ca="1" si="81"/>
        <v>10000000.000964604</v>
      </c>
      <c r="F187">
        <f t="shared" ca="1" si="103"/>
        <v>3673063551.871654</v>
      </c>
      <c r="G187">
        <f t="shared" ca="1" si="78"/>
        <v>949.99696688368658</v>
      </c>
      <c r="H187">
        <f t="shared" ca="1" si="82"/>
        <v>9499969669.7532368</v>
      </c>
      <c r="I187">
        <f t="shared" ca="1" si="83"/>
        <v>791842534.473647</v>
      </c>
      <c r="J187">
        <f t="shared" ca="1" si="112"/>
        <v>1894353056792.0625</v>
      </c>
      <c r="K187">
        <f t="shared" ca="1" si="84"/>
        <v>3.7900796456862827E-6</v>
      </c>
      <c r="L187">
        <f t="shared" ca="1" si="104"/>
        <v>-346084234885.61481</v>
      </c>
      <c r="M187">
        <f t="shared" ca="1" si="105"/>
        <v>-346084234928.4707</v>
      </c>
      <c r="N187">
        <f t="shared" ca="1" si="85"/>
        <v>346084234961.85406</v>
      </c>
      <c r="O187">
        <f t="shared" ca="1" si="86"/>
        <v>-346084234852.23138</v>
      </c>
      <c r="Q187">
        <f t="shared" si="106"/>
        <v>148</v>
      </c>
      <c r="R187" s="23">
        <f t="shared" si="114"/>
        <v>215.01529443615036</v>
      </c>
      <c r="S187">
        <f t="shared" ca="1" si="107"/>
        <v>5.6368459332516059E-2</v>
      </c>
      <c r="T187" s="23">
        <f t="shared" ca="1" si="108"/>
        <v>499999.99999921914</v>
      </c>
      <c r="U187">
        <f t="shared" ca="1" si="113"/>
        <v>349413.09251037397</v>
      </c>
      <c r="V187">
        <f t="shared" ca="1" si="109"/>
        <v>377.44529678301672</v>
      </c>
      <c r="W187">
        <f t="shared" ca="1" si="110"/>
        <v>3.0494046056697517E-11</v>
      </c>
      <c r="X187">
        <f t="shared" ca="1" si="87"/>
        <v>1.0655018935824455E-5</v>
      </c>
      <c r="Y187">
        <f t="shared" ca="1" si="88"/>
        <v>1.0869202473968718E-3</v>
      </c>
      <c r="Z187">
        <f t="shared" ca="1" si="89"/>
        <v>151.3201037113065</v>
      </c>
      <c r="AA187">
        <f t="shared" ca="1" si="90"/>
        <v>486.51940227170843</v>
      </c>
      <c r="AB187" s="6">
        <f t="shared" ca="1" si="91"/>
        <v>-3.7150681196683845E-9</v>
      </c>
      <c r="AC187">
        <f t="shared" ca="1" si="92"/>
        <v>68.152475353511718</v>
      </c>
      <c r="AD187">
        <f t="shared" ca="1" si="111"/>
        <v>25.296590792133095</v>
      </c>
      <c r="AE187">
        <f t="shared" ca="1" si="93"/>
        <v>4.0751491946573628</v>
      </c>
      <c r="AF187">
        <f t="shared" ca="1" si="94"/>
        <v>97.524215340302177</v>
      </c>
      <c r="AG187">
        <f t="shared" ca="1" si="79"/>
        <v>0.61207761786423986</v>
      </c>
      <c r="AI187">
        <f t="shared" ca="1" si="95"/>
        <v>8.3077584321234103E-5</v>
      </c>
      <c r="AK187">
        <f t="shared" ca="1" si="96"/>
        <v>7.0522613774462381E-2</v>
      </c>
      <c r="AM187">
        <f t="shared" ca="1" si="97"/>
        <v>11236.585641050364</v>
      </c>
      <c r="AN187" s="6">
        <f t="shared" si="98"/>
        <v>1.9495613999999998E-5</v>
      </c>
      <c r="AO187" s="6">
        <f t="shared" ca="1" si="99"/>
        <v>4637646.9846094595</v>
      </c>
      <c r="AP187" s="6">
        <f t="shared" ca="1" si="100"/>
        <v>2.319802854620101E-3</v>
      </c>
    </row>
    <row r="188" spans="1:42" x14ac:dyDescent="0.25">
      <c r="A188">
        <f t="shared" si="101"/>
        <v>149</v>
      </c>
      <c r="B188">
        <f t="shared" si="77"/>
        <v>6.1877175821948383</v>
      </c>
      <c r="C188">
        <f t="shared" ca="1" si="102"/>
        <v>4824727434.8046169</v>
      </c>
      <c r="D188">
        <f t="shared" si="80"/>
        <v>10000000</v>
      </c>
      <c r="E188">
        <f t="shared" ca="1" si="81"/>
        <v>10000000.000958027</v>
      </c>
      <c r="F188">
        <f t="shared" ca="1" si="103"/>
        <v>3673063676.5041747</v>
      </c>
      <c r="G188">
        <f t="shared" ca="1" si="78"/>
        <v>949.99696688378947</v>
      </c>
      <c r="H188">
        <f t="shared" ca="1" si="82"/>
        <v>9499969669.7480183</v>
      </c>
      <c r="I188">
        <f t="shared" ca="1" si="83"/>
        <v>791842534.47321188</v>
      </c>
      <c r="J188">
        <f t="shared" ca="1" si="112"/>
        <v>1907352996268.5781</v>
      </c>
      <c r="K188">
        <f t="shared" ca="1" si="84"/>
        <v>3.7642476124436236E-6</v>
      </c>
      <c r="L188">
        <f t="shared" ca="1" si="104"/>
        <v>-348459227303.0531</v>
      </c>
      <c r="M188">
        <f t="shared" ca="1" si="105"/>
        <v>-348459227345.909</v>
      </c>
      <c r="N188">
        <f t="shared" ca="1" si="85"/>
        <v>348459227379.29236</v>
      </c>
      <c r="O188">
        <f t="shared" ca="1" si="86"/>
        <v>-348459227269.6698</v>
      </c>
      <c r="Q188">
        <f t="shared" si="106"/>
        <v>149</v>
      </c>
      <c r="R188" s="23">
        <f t="shared" si="114"/>
        <v>216.46810047963788</v>
      </c>
      <c r="S188">
        <f t="shared" ca="1" si="107"/>
        <v>5.7947543636723192E-2</v>
      </c>
      <c r="T188" s="23">
        <f t="shared" ca="1" si="108"/>
        <v>499999.99999921373</v>
      </c>
      <c r="U188">
        <f t="shared" ca="1" si="113"/>
        <v>349236.78637577075</v>
      </c>
      <c r="V188">
        <f t="shared" ca="1" si="109"/>
        <v>378.21355193483623</v>
      </c>
      <c r="W188">
        <f t="shared" ca="1" si="110"/>
        <v>3.2480601090857368E-11</v>
      </c>
      <c r="X188">
        <f t="shared" ca="1" si="87"/>
        <v>1.1343420744524382E-5</v>
      </c>
      <c r="Y188">
        <f t="shared" ca="1" si="88"/>
        <v>1.157144229984537E-3</v>
      </c>
      <c r="Z188">
        <f t="shared" ca="1" si="89"/>
        <v>151.50367681023545</v>
      </c>
      <c r="AA188">
        <f t="shared" ca="1" si="90"/>
        <v>486.49882270133298</v>
      </c>
      <c r="AB188" s="6">
        <f t="shared" ca="1" si="91"/>
        <v>-3.7182764658132893E-9</v>
      </c>
      <c r="AC188">
        <f t="shared" ca="1" si="92"/>
        <v>68.038428186280044</v>
      </c>
      <c r="AD188">
        <f t="shared" ca="1" si="111"/>
        <v>25.182543624901413</v>
      </c>
      <c r="AE188">
        <f t="shared" ca="1" si="93"/>
        <v>4.1891963618890449</v>
      </c>
      <c r="AF188">
        <f t="shared" ca="1" si="94"/>
        <v>97.410168173070502</v>
      </c>
      <c r="AG188">
        <f t="shared" ca="1" si="79"/>
        <v>0.61260621028903572</v>
      </c>
      <c r="AI188">
        <f t="shared" ca="1" si="95"/>
        <v>8.3149330420847706E-5</v>
      </c>
      <c r="AK188">
        <f t="shared" ca="1" si="96"/>
        <v>7.0605181174535653E-2</v>
      </c>
      <c r="AM188">
        <f t="shared" ca="1" si="97"/>
        <v>11226.890058552715</v>
      </c>
      <c r="AN188" s="6">
        <f t="shared" si="98"/>
        <v>1.9495613999999998E-5</v>
      </c>
      <c r="AO188" s="6">
        <f t="shared" ca="1" si="99"/>
        <v>4637646.9846094595</v>
      </c>
      <c r="AP188" s="6">
        <f t="shared" ca="1" si="100"/>
        <v>2.319802854620101E-3</v>
      </c>
    </row>
    <row r="189" spans="1:42" x14ac:dyDescent="0.25">
      <c r="A189">
        <f t="shared" si="101"/>
        <v>150</v>
      </c>
      <c r="B189">
        <f t="shared" si="77"/>
        <v>6.2292458881156083</v>
      </c>
      <c r="C189">
        <f t="shared" ca="1" si="102"/>
        <v>4857611313.8172979</v>
      </c>
      <c r="D189">
        <f t="shared" si="80"/>
        <v>10000000</v>
      </c>
      <c r="E189">
        <f t="shared" ca="1" si="81"/>
        <v>10000000.000951543</v>
      </c>
      <c r="F189">
        <f t="shared" ca="1" si="103"/>
        <v>3673063800.2872376</v>
      </c>
      <c r="G189">
        <f t="shared" ca="1" si="78"/>
        <v>949.99696688389167</v>
      </c>
      <c r="H189">
        <f t="shared" ca="1" si="82"/>
        <v>9499969669.7428799</v>
      </c>
      <c r="I189">
        <f t="shared" ca="1" si="83"/>
        <v>791842534.47278368</v>
      </c>
      <c r="J189">
        <f t="shared" ca="1" si="112"/>
        <v>1920352935745.0938</v>
      </c>
      <c r="K189">
        <f t="shared" ca="1" si="84"/>
        <v>3.7387653220658918E-6</v>
      </c>
      <c r="L189">
        <f t="shared" ca="1" si="104"/>
        <v>-350834219720.49005</v>
      </c>
      <c r="M189">
        <f t="shared" ca="1" si="105"/>
        <v>-350834219763.34595</v>
      </c>
      <c r="N189">
        <f t="shared" ca="1" si="85"/>
        <v>350834219796.72931</v>
      </c>
      <c r="O189">
        <f t="shared" ca="1" si="86"/>
        <v>-350834219687.10663</v>
      </c>
      <c r="Q189">
        <f t="shared" si="106"/>
        <v>150</v>
      </c>
      <c r="R189" s="23">
        <f t="shared" si="114"/>
        <v>217.92090652312538</v>
      </c>
      <c r="S189">
        <f t="shared" ca="1" si="107"/>
        <v>5.9628649767231416E-2</v>
      </c>
      <c r="T189" s="23">
        <f t="shared" ca="1" si="108"/>
        <v>499999.99999920832</v>
      </c>
      <c r="U189">
        <f t="shared" ca="1" si="113"/>
        <v>349048.63514279039</v>
      </c>
      <c r="V189">
        <f t="shared" ca="1" si="109"/>
        <v>379.03140808816448</v>
      </c>
      <c r="W189">
        <f t="shared" ca="1" si="110"/>
        <v>3.4728064088636086E-11</v>
      </c>
      <c r="X189">
        <f t="shared" ca="1" si="87"/>
        <v>1.2121783371289779E-5</v>
      </c>
      <c r="Y189">
        <f t="shared" ca="1" si="88"/>
        <v>1.2365451305313988E-3</v>
      </c>
      <c r="Z189">
        <f t="shared" ca="1" si="89"/>
        <v>151.69958323733326</v>
      </c>
      <c r="AA189">
        <f t="shared" ca="1" si="90"/>
        <v>486.47691543483296</v>
      </c>
      <c r="AB189" s="6">
        <f t="shared" ca="1" si="91"/>
        <v>-3.7216723213070496E-9</v>
      </c>
      <c r="AC189">
        <f t="shared" ca="1" si="92"/>
        <v>67.917012634564742</v>
      </c>
      <c r="AD189">
        <f t="shared" ca="1" si="111"/>
        <v>25.061128073186115</v>
      </c>
      <c r="AE189">
        <f t="shared" ca="1" si="93"/>
        <v>4.310611913604343</v>
      </c>
      <c r="AF189">
        <f t="shared" ca="1" si="94"/>
        <v>97.288752621355201</v>
      </c>
      <c r="AG189">
        <f t="shared" ca="1" si="79"/>
        <v>0.61316569589583469</v>
      </c>
      <c r="AI189">
        <f t="shared" ca="1" si="95"/>
        <v>8.322526966665373E-5</v>
      </c>
      <c r="AK189">
        <f t="shared" ca="1" si="96"/>
        <v>7.0693295851672389E-2</v>
      </c>
      <c r="AM189">
        <f t="shared" ca="1" si="97"/>
        <v>11216.646035707152</v>
      </c>
      <c r="AN189" s="6">
        <f t="shared" si="98"/>
        <v>1.9495613999999998E-5</v>
      </c>
      <c r="AO189" s="6">
        <f t="shared" ca="1" si="99"/>
        <v>4637646.9846094605</v>
      </c>
      <c r="AP189" s="6">
        <f t="shared" ca="1" si="100"/>
        <v>2.3198028546201001E-3</v>
      </c>
    </row>
    <row r="190" spans="1:42" x14ac:dyDescent="0.25">
      <c r="A190">
        <f t="shared" si="101"/>
        <v>151</v>
      </c>
      <c r="B190">
        <f t="shared" si="77"/>
        <v>6.2707741940363793</v>
      </c>
      <c r="C190">
        <f t="shared" ca="1" si="102"/>
        <v>4890495192.8299627</v>
      </c>
      <c r="D190">
        <f t="shared" si="80"/>
        <v>10000000</v>
      </c>
      <c r="E190">
        <f t="shared" ca="1" si="81"/>
        <v>10000000.000945143</v>
      </c>
      <c r="F190">
        <f t="shared" ca="1" si="103"/>
        <v>3673063923.2323442</v>
      </c>
      <c r="G190">
        <f t="shared" ca="1" si="78"/>
        <v>949.9969668839932</v>
      </c>
      <c r="H190">
        <f t="shared" ca="1" si="82"/>
        <v>9499969669.7378159</v>
      </c>
      <c r="I190">
        <f t="shared" ca="1" si="83"/>
        <v>791842534.47236156</v>
      </c>
      <c r="J190">
        <f t="shared" ca="1" si="112"/>
        <v>1933352875221.5938</v>
      </c>
      <c r="K190">
        <f t="shared" ca="1" si="84"/>
        <v>3.7136257194994836E-6</v>
      </c>
      <c r="L190">
        <f t="shared" ca="1" si="104"/>
        <v>-353209212137.92584</v>
      </c>
      <c r="M190">
        <f t="shared" ca="1" si="105"/>
        <v>-353209212180.78168</v>
      </c>
      <c r="N190">
        <f t="shared" ca="1" si="85"/>
        <v>353209212214.16504</v>
      </c>
      <c r="O190">
        <f t="shared" ca="1" si="86"/>
        <v>-353209212104.54248</v>
      </c>
      <c r="Q190">
        <f t="shared" si="106"/>
        <v>151</v>
      </c>
      <c r="R190" s="23">
        <f t="shared" si="114"/>
        <v>219.37371256661288</v>
      </c>
      <c r="S190">
        <f t="shared" ca="1" si="107"/>
        <v>6.142511000591247E-2</v>
      </c>
      <c r="T190" s="23">
        <f t="shared" ca="1" si="108"/>
        <v>499999.9999992029</v>
      </c>
      <c r="U190">
        <f t="shared" ca="1" si="113"/>
        <v>348847.05359422206</v>
      </c>
      <c r="V190">
        <f t="shared" ca="1" si="109"/>
        <v>379.90534452377938</v>
      </c>
      <c r="W190">
        <f t="shared" ca="1" si="110"/>
        <v>3.7289900558921709E-11</v>
      </c>
      <c r="X190">
        <f t="shared" ca="1" si="87"/>
        <v>1.3008471938801372E-5</v>
      </c>
      <c r="Y190">
        <f t="shared" ca="1" si="88"/>
        <v>1.326996378245592E-3</v>
      </c>
      <c r="Z190">
        <f t="shared" ca="1" si="89"/>
        <v>151.90947354909662</v>
      </c>
      <c r="AA190">
        <f t="shared" ca="1" si="90"/>
        <v>486.45350711654334</v>
      </c>
      <c r="AB190" s="6">
        <f t="shared" ca="1" si="91"/>
        <v>-3.7252786535247297E-9</v>
      </c>
      <c r="AC190">
        <f t="shared" ca="1" si="92"/>
        <v>67.787265792853972</v>
      </c>
      <c r="AD190">
        <f t="shared" ca="1" si="111"/>
        <v>24.931381231475346</v>
      </c>
      <c r="AE190">
        <f t="shared" ca="1" si="93"/>
        <v>4.4403587553151125</v>
      </c>
      <c r="AF190">
        <f t="shared" ca="1" si="94"/>
        <v>97.159005779644431</v>
      </c>
      <c r="AG190">
        <f t="shared" ca="1" si="79"/>
        <v>0.61375985868422023</v>
      </c>
      <c r="AI190">
        <f t="shared" ca="1" si="95"/>
        <v>8.3305915662703839E-5</v>
      </c>
      <c r="AK190">
        <f t="shared" ca="1" si="96"/>
        <v>7.0787700192199307E-2</v>
      </c>
      <c r="AM190">
        <f t="shared" ca="1" si="97"/>
        <v>11205.787532025926</v>
      </c>
      <c r="AN190" s="6">
        <f t="shared" si="98"/>
        <v>1.9495613999999998E-5</v>
      </c>
      <c r="AO190" s="6">
        <f t="shared" ca="1" si="99"/>
        <v>4637646.9846094595</v>
      </c>
      <c r="AP190" s="6">
        <f t="shared" ca="1" si="100"/>
        <v>2.319802854620101E-3</v>
      </c>
    </row>
    <row r="191" spans="1:42" x14ac:dyDescent="0.25">
      <c r="A191">
        <f t="shared" si="101"/>
        <v>152</v>
      </c>
      <c r="B191">
        <f t="shared" si="77"/>
        <v>6.3123024999571502</v>
      </c>
      <c r="C191">
        <f t="shared" ca="1" si="102"/>
        <v>4923379071.8426094</v>
      </c>
      <c r="D191">
        <f t="shared" si="80"/>
        <v>10000000</v>
      </c>
      <c r="E191">
        <f t="shared" ca="1" si="81"/>
        <v>10000000.000938831</v>
      </c>
      <c r="F191">
        <f t="shared" ca="1" si="103"/>
        <v>3673064045.3507628</v>
      </c>
      <c r="G191">
        <f t="shared" ca="1" si="78"/>
        <v>949.99696688409404</v>
      </c>
      <c r="H191">
        <f t="shared" ca="1" si="82"/>
        <v>9499969669.7328262</v>
      </c>
      <c r="I191">
        <f t="shared" ca="1" si="83"/>
        <v>791842534.47194564</v>
      </c>
      <c r="J191">
        <f t="shared" ca="1" si="112"/>
        <v>1946352814698.0938</v>
      </c>
      <c r="K191">
        <f t="shared" ca="1" si="84"/>
        <v>3.6888219381771568E-6</v>
      </c>
      <c r="L191">
        <f t="shared" ca="1" si="104"/>
        <v>-355584204555.36029</v>
      </c>
      <c r="M191">
        <f t="shared" ca="1" si="105"/>
        <v>-355584204598.21613</v>
      </c>
      <c r="N191">
        <f t="shared" ca="1" si="85"/>
        <v>355584204631.59949</v>
      </c>
      <c r="O191">
        <f t="shared" ca="1" si="86"/>
        <v>-355584204521.97693</v>
      </c>
      <c r="Q191">
        <f t="shared" si="106"/>
        <v>152</v>
      </c>
      <c r="R191" s="23">
        <f t="shared" si="114"/>
        <v>220.82651861010035</v>
      </c>
      <c r="S191">
        <f t="shared" ca="1" si="107"/>
        <v>6.3352978363913653E-2</v>
      </c>
      <c r="T191" s="23">
        <f t="shared" ca="1" si="108"/>
        <v>499999.99999919749</v>
      </c>
      <c r="U191">
        <f t="shared" ca="1" si="113"/>
        <v>348630.12692608958</v>
      </c>
      <c r="V191">
        <f t="shared" ca="1" si="109"/>
        <v>380.84316284778805</v>
      </c>
      <c r="W191">
        <f t="shared" ca="1" si="110"/>
        <v>4.0234957401288391E-11</v>
      </c>
      <c r="X191">
        <f t="shared" ca="1" si="87"/>
        <v>1.4027118305676978E-5</v>
      </c>
      <c r="Y191">
        <f t="shared" ca="1" si="88"/>
        <v>1.4309086629410005E-3</v>
      </c>
      <c r="Z191">
        <f t="shared" ca="1" si="89"/>
        <v>152.13534147365411</v>
      </c>
      <c r="AA191">
        <f t="shared" ca="1" si="90"/>
        <v>486.42838902396977</v>
      </c>
      <c r="AB191" s="6">
        <f t="shared" ca="1" si="91"/>
        <v>-3.7291228806346358E-9</v>
      </c>
      <c r="AC191">
        <f t="shared" ca="1" si="92"/>
        <v>67.64802818252511</v>
      </c>
      <c r="AD191">
        <f t="shared" ca="1" si="111"/>
        <v>24.792143621146472</v>
      </c>
      <c r="AE191">
        <f t="shared" ca="1" si="93"/>
        <v>4.5795963656439831</v>
      </c>
      <c r="AF191">
        <f t="shared" ca="1" si="94"/>
        <v>97.019768169315554</v>
      </c>
      <c r="AG191">
        <f t="shared" ca="1" si="79"/>
        <v>0.61439321594609764</v>
      </c>
      <c r="AI191">
        <f t="shared" ca="1" si="95"/>
        <v>8.3391881543163054E-5</v>
      </c>
      <c r="AK191">
        <f t="shared" ca="1" si="96"/>
        <v>7.0889290933977195E-2</v>
      </c>
      <c r="AM191">
        <f t="shared" ca="1" si="97"/>
        <v>11194.235863283078</v>
      </c>
      <c r="AN191" s="6">
        <f t="shared" si="98"/>
        <v>1.9495613999999998E-5</v>
      </c>
      <c r="AO191" s="6">
        <f t="shared" ca="1" si="99"/>
        <v>4637646.9846094605</v>
      </c>
      <c r="AP191" s="6">
        <f t="shared" ca="1" si="100"/>
        <v>2.3198028546201001E-3</v>
      </c>
    </row>
    <row r="192" spans="1:42" x14ac:dyDescent="0.25">
      <c r="A192">
        <f t="shared" si="101"/>
        <v>153</v>
      </c>
      <c r="B192">
        <f t="shared" si="77"/>
        <v>6.3538308058779203</v>
      </c>
      <c r="C192">
        <f t="shared" ca="1" si="102"/>
        <v>4956262950.855238</v>
      </c>
      <c r="D192">
        <f t="shared" si="80"/>
        <v>10000000</v>
      </c>
      <c r="E192">
        <f t="shared" ca="1" si="81"/>
        <v>10000000.000932606</v>
      </c>
      <c r="F192">
        <f t="shared" ca="1" si="103"/>
        <v>3673064166.6535373</v>
      </c>
      <c r="G192">
        <f t="shared" ca="1" si="78"/>
        <v>949.99696688419431</v>
      </c>
      <c r="H192">
        <f t="shared" ca="1" si="82"/>
        <v>9499969669.7279167</v>
      </c>
      <c r="I192">
        <f t="shared" ca="1" si="83"/>
        <v>791842534.4715364</v>
      </c>
      <c r="J192">
        <f t="shared" ca="1" si="112"/>
        <v>1959352754174.5781</v>
      </c>
      <c r="K192">
        <f t="shared" ca="1" si="84"/>
        <v>3.6643472937652919E-6</v>
      </c>
      <c r="L192">
        <f t="shared" ca="1" si="104"/>
        <v>-357959196972.7934</v>
      </c>
      <c r="M192">
        <f t="shared" ca="1" si="105"/>
        <v>-357959197015.64929</v>
      </c>
      <c r="N192">
        <f t="shared" ca="1" si="85"/>
        <v>357959197049.03265</v>
      </c>
      <c r="O192">
        <f t="shared" ca="1" si="86"/>
        <v>-357959196939.40997</v>
      </c>
      <c r="Q192">
        <f t="shared" si="106"/>
        <v>153</v>
      </c>
      <c r="R192" s="23">
        <f t="shared" si="114"/>
        <v>222.27932465358788</v>
      </c>
      <c r="S192">
        <f t="shared" ca="1" si="107"/>
        <v>6.5431811117112992E-2</v>
      </c>
      <c r="T192" s="23">
        <f t="shared" ca="1" si="108"/>
        <v>499999.99999919208</v>
      </c>
      <c r="U192">
        <f t="shared" ca="1" si="113"/>
        <v>348395.51474652538</v>
      </c>
      <c r="V192">
        <f t="shared" ca="1" si="109"/>
        <v>381.8543661149771</v>
      </c>
      <c r="W192">
        <f t="shared" ca="1" si="110"/>
        <v>4.3653334230555404E-11</v>
      </c>
      <c r="X192">
        <f t="shared" ca="1" si="87"/>
        <v>1.5208625849656466E-5</v>
      </c>
      <c r="Y192">
        <f t="shared" ca="1" si="88"/>
        <v>1.5514344433021864E-3</v>
      </c>
      <c r="Z192">
        <f t="shared" ca="1" si="89"/>
        <v>152.3796238688538</v>
      </c>
      <c r="AA192">
        <f t="shared" ca="1" si="90"/>
        <v>486.40130693088366</v>
      </c>
      <c r="AB192" s="6">
        <f t="shared" ca="1" si="91"/>
        <v>-3.7332380904178166E-9</v>
      </c>
      <c r="AC192">
        <f t="shared" ca="1" si="92"/>
        <v>67.49788737875727</v>
      </c>
      <c r="AD192">
        <f t="shared" ca="1" si="111"/>
        <v>24.642002817378646</v>
      </c>
      <c r="AE192">
        <f t="shared" ca="1" si="93"/>
        <v>4.7297371694118127</v>
      </c>
      <c r="AF192">
        <f t="shared" ca="1" si="94"/>
        <v>96.869627365547728</v>
      </c>
      <c r="AG192">
        <f t="shared" ca="1" si="79"/>
        <v>0.61507121907281437</v>
      </c>
      <c r="AI192">
        <f t="shared" ca="1" si="95"/>
        <v>8.3483907227955155E-5</v>
      </c>
      <c r="AK192">
        <f t="shared" ca="1" si="96"/>
        <v>7.099916412549051E-2</v>
      </c>
      <c r="AM192">
        <f t="shared" ca="1" si="97"/>
        <v>11181.896272872797</v>
      </c>
      <c r="AN192" s="6">
        <f t="shared" si="98"/>
        <v>1.9495613999999998E-5</v>
      </c>
      <c r="AO192" s="6">
        <f t="shared" ca="1" si="99"/>
        <v>4637646.9846094605</v>
      </c>
      <c r="AP192" s="6">
        <f t="shared" ca="1" si="100"/>
        <v>2.3198028546201001E-3</v>
      </c>
    </row>
    <row r="193" spans="1:42" x14ac:dyDescent="0.25">
      <c r="A193">
        <f t="shared" si="101"/>
        <v>154</v>
      </c>
      <c r="B193">
        <f t="shared" si="77"/>
        <v>6.3953591117986912</v>
      </c>
      <c r="C193">
        <f t="shared" ca="1" si="102"/>
        <v>4989146829.8678503</v>
      </c>
      <c r="D193">
        <f t="shared" si="80"/>
        <v>10000000</v>
      </c>
      <c r="E193">
        <f t="shared" ca="1" si="81"/>
        <v>10000000.000926457</v>
      </c>
      <c r="F193">
        <f t="shared" ca="1" si="103"/>
        <v>3673064287.1514902</v>
      </c>
      <c r="G193">
        <f t="shared" ca="1" si="78"/>
        <v>949.99696688429378</v>
      </c>
      <c r="H193">
        <f t="shared" ca="1" si="82"/>
        <v>9499969669.7230701</v>
      </c>
      <c r="I193">
        <f t="shared" ca="1" si="83"/>
        <v>791842534.47113252</v>
      </c>
      <c r="J193">
        <f t="shared" ca="1" si="112"/>
        <v>1972352693651.0781</v>
      </c>
      <c r="K193">
        <f t="shared" ca="1" si="84"/>
        <v>3.6401952781581621E-6</v>
      </c>
      <c r="L193">
        <f t="shared" ca="1" si="104"/>
        <v>-360334189390.2254</v>
      </c>
      <c r="M193">
        <f t="shared" ca="1" si="105"/>
        <v>-360334189433.0813</v>
      </c>
      <c r="N193">
        <f t="shared" ca="1" si="85"/>
        <v>360334189466.46466</v>
      </c>
      <c r="O193">
        <f t="shared" ca="1" si="86"/>
        <v>-360334189356.84198</v>
      </c>
      <c r="Q193">
        <f t="shared" si="106"/>
        <v>154</v>
      </c>
      <c r="R193" s="23">
        <f t="shared" si="114"/>
        <v>223.73213069707538</v>
      </c>
      <c r="S193">
        <f t="shared" ca="1" si="107"/>
        <v>6.7685744452417068E-2</v>
      </c>
      <c r="T193" s="23">
        <f t="shared" ca="1" si="108"/>
        <v>499999.99999918666</v>
      </c>
      <c r="U193">
        <f t="shared" ca="1" si="113"/>
        <v>348140.31801401987</v>
      </c>
      <c r="V193">
        <f t="shared" ca="1" si="109"/>
        <v>382.95068223500408</v>
      </c>
      <c r="W193">
        <f t="shared" ca="1" si="110"/>
        <v>4.7665129444722781E-11</v>
      </c>
      <c r="X193">
        <f t="shared" ca="1" si="87"/>
        <v>1.6594153323065213E-5</v>
      </c>
      <c r="Y193">
        <f t="shared" ca="1" si="88"/>
        <v>1.6927723304747042E-3</v>
      </c>
      <c r="Z193">
        <f t="shared" ca="1" si="89"/>
        <v>152.64533926853804</v>
      </c>
      <c r="AA193">
        <f t="shared" ca="1" si="90"/>
        <v>486.37194711370506</v>
      </c>
      <c r="AB193" s="6">
        <f t="shared" ca="1" si="91"/>
        <v>-3.7376647033464691E-9</v>
      </c>
      <c r="AC193">
        <f t="shared" ca="1" si="92"/>
        <v>67.335100179026639</v>
      </c>
      <c r="AD193">
        <f t="shared" ca="1" si="111"/>
        <v>24.479215617648006</v>
      </c>
      <c r="AE193">
        <f t="shared" ca="1" si="93"/>
        <v>4.8925243691424525</v>
      </c>
      <c r="AF193">
        <f t="shared" ca="1" si="94"/>
        <v>96.706840165817098</v>
      </c>
      <c r="AG193">
        <f t="shared" ca="1" si="79"/>
        <v>0.61580052755634707</v>
      </c>
      <c r="AI193">
        <f t="shared" ca="1" si="95"/>
        <v>8.3582896613073162E-5</v>
      </c>
      <c r="AK193">
        <f t="shared" ca="1" si="96"/>
        <v>7.1118677441109002E-2</v>
      </c>
      <c r="AM193">
        <f t="shared" ca="1" si="97"/>
        <v>11168.653264059292</v>
      </c>
      <c r="AN193" s="6">
        <f t="shared" si="98"/>
        <v>1.9495613999999998E-5</v>
      </c>
      <c r="AO193" s="6">
        <f t="shared" ca="1" si="99"/>
        <v>4637646.9846094595</v>
      </c>
      <c r="AP193" s="6">
        <f t="shared" ca="1" si="100"/>
        <v>2.319802854620101E-3</v>
      </c>
    </row>
    <row r="194" spans="1:42" x14ac:dyDescent="0.25">
      <c r="A194">
        <f t="shared" si="101"/>
        <v>155</v>
      </c>
      <c r="B194">
        <f t="shared" si="77"/>
        <v>6.4368874177194622</v>
      </c>
      <c r="C194">
        <f t="shared" ca="1" si="102"/>
        <v>5022030708.8804464</v>
      </c>
      <c r="D194">
        <f t="shared" si="80"/>
        <v>10000000</v>
      </c>
      <c r="E194">
        <f t="shared" ca="1" si="81"/>
        <v>10000000.000920389</v>
      </c>
      <c r="F194">
        <f t="shared" ca="1" si="103"/>
        <v>3673064406.8552313</v>
      </c>
      <c r="G194">
        <f t="shared" ca="1" si="78"/>
        <v>949.99696688439258</v>
      </c>
      <c r="H194">
        <f t="shared" ca="1" si="82"/>
        <v>9499969669.7182922</v>
      </c>
      <c r="I194">
        <f t="shared" ca="1" si="83"/>
        <v>791842534.47073424</v>
      </c>
      <c r="J194">
        <f t="shared" ca="1" si="112"/>
        <v>1985352633127.5625</v>
      </c>
      <c r="K194">
        <f t="shared" ca="1" si="84"/>
        <v>3.6163595537084998E-6</v>
      </c>
      <c r="L194">
        <f t="shared" ca="1" si="104"/>
        <v>-362709181807.65619</v>
      </c>
      <c r="M194">
        <f t="shared" ca="1" si="105"/>
        <v>-362709181850.51202</v>
      </c>
      <c r="N194">
        <f t="shared" ca="1" si="85"/>
        <v>362709181883.89539</v>
      </c>
      <c r="O194">
        <f t="shared" ca="1" si="86"/>
        <v>-362709181774.27283</v>
      </c>
      <c r="Q194">
        <f t="shared" si="106"/>
        <v>155</v>
      </c>
      <c r="R194" s="23">
        <f t="shared" si="114"/>
        <v>225.18493674056288</v>
      </c>
      <c r="S194">
        <f t="shared" ca="1" si="107"/>
        <v>7.014501432437914E-2</v>
      </c>
      <c r="T194" s="23">
        <f t="shared" ca="1" si="108"/>
        <v>499999.99999918125</v>
      </c>
      <c r="U194">
        <f t="shared" ca="1" si="113"/>
        <v>347860.89057425183</v>
      </c>
      <c r="V194">
        <f t="shared" ca="1" si="109"/>
        <v>384.14680211110834</v>
      </c>
      <c r="W194">
        <f t="shared" ca="1" si="110"/>
        <v>5.2433828530754721E-11</v>
      </c>
      <c r="X194">
        <f t="shared" ca="1" si="87"/>
        <v>1.8239678288925951E-5</v>
      </c>
      <c r="Y194">
        <f t="shared" ca="1" si="88"/>
        <v>1.8606326049391241E-3</v>
      </c>
      <c r="Z194">
        <f t="shared" ca="1" si="89"/>
        <v>152.93628411376329</v>
      </c>
      <c r="AA194">
        <f t="shared" ca="1" si="90"/>
        <v>486.33991661855509</v>
      </c>
      <c r="AB194" s="6">
        <f t="shared" ca="1" si="91"/>
        <v>-3.7424527878725736E-9</v>
      </c>
      <c r="AC194">
        <f t="shared" ca="1" si="92"/>
        <v>67.157482833576339</v>
      </c>
      <c r="AD194">
        <f t="shared" ca="1" si="111"/>
        <v>24.301598272197712</v>
      </c>
      <c r="AE194">
        <f t="shared" ca="1" si="93"/>
        <v>5.0701417145927463</v>
      </c>
      <c r="AF194">
        <f t="shared" ca="1" si="94"/>
        <v>96.529222820366797</v>
      </c>
      <c r="AG194">
        <f t="shared" ca="1" si="79"/>
        <v>0.61658939044565886</v>
      </c>
      <c r="AI194">
        <f t="shared" ca="1" si="95"/>
        <v>8.3689969345831106E-5</v>
      </c>
      <c r="AK194">
        <f t="shared" ca="1" si="96"/>
        <v>7.1249538441850002E-2</v>
      </c>
      <c r="AM194">
        <f t="shared" ca="1" si="97"/>
        <v>11154.364117635218</v>
      </c>
      <c r="AN194" s="6">
        <f t="shared" si="98"/>
        <v>1.9495613999999998E-5</v>
      </c>
      <c r="AO194" s="6">
        <f t="shared" ca="1" si="99"/>
        <v>4637646.9846094595</v>
      </c>
      <c r="AP194" s="6">
        <f t="shared" ca="1" si="100"/>
        <v>2.319802854620101E-3</v>
      </c>
    </row>
    <row r="195" spans="1:42" x14ac:dyDescent="0.25">
      <c r="A195">
        <f t="shared" si="101"/>
        <v>156</v>
      </c>
      <c r="B195">
        <f t="shared" si="77"/>
        <v>6.478415723640234</v>
      </c>
      <c r="C195">
        <f t="shared" ca="1" si="102"/>
        <v>5054914587.8930264</v>
      </c>
      <c r="D195">
        <f t="shared" si="80"/>
        <v>10000000</v>
      </c>
      <c r="E195">
        <f t="shared" ca="1" si="81"/>
        <v>10000000.0009144</v>
      </c>
      <c r="F195">
        <f t="shared" ca="1" si="103"/>
        <v>3673064525.7751613</v>
      </c>
      <c r="G195">
        <f t="shared" ca="1" si="78"/>
        <v>949.9969668844908</v>
      </c>
      <c r="H195">
        <f t="shared" ca="1" si="82"/>
        <v>9499969669.7135849</v>
      </c>
      <c r="I195">
        <f t="shared" ca="1" si="83"/>
        <v>791842534.4703418</v>
      </c>
      <c r="J195">
        <f t="shared" ca="1" si="112"/>
        <v>1998352572604.0313</v>
      </c>
      <c r="K195">
        <f t="shared" ca="1" si="84"/>
        <v>3.5928339476828832E-6</v>
      </c>
      <c r="L195">
        <f t="shared" ca="1" si="104"/>
        <v>-365084174225.08582</v>
      </c>
      <c r="M195">
        <f t="shared" ca="1" si="105"/>
        <v>-365084174267.94171</v>
      </c>
      <c r="N195">
        <f t="shared" ca="1" si="85"/>
        <v>365084174301.32507</v>
      </c>
      <c r="O195">
        <f t="shared" ca="1" si="86"/>
        <v>-365084174191.70251</v>
      </c>
      <c r="Q195">
        <f t="shared" si="106"/>
        <v>156</v>
      </c>
      <c r="R195" s="23">
        <f t="shared" si="114"/>
        <v>226.63774278405037</v>
      </c>
      <c r="S195">
        <f t="shared" ca="1" si="107"/>
        <v>7.2848152617544584E-2</v>
      </c>
      <c r="T195" s="23">
        <f t="shared" ca="1" si="108"/>
        <v>499999.99999917584</v>
      </c>
      <c r="U195">
        <f t="shared" ca="1" si="113"/>
        <v>347552.56555948319</v>
      </c>
      <c r="V195">
        <f t="shared" ca="1" si="109"/>
        <v>385.46144616321487</v>
      </c>
      <c r="W195">
        <f t="shared" ca="1" si="110"/>
        <v>5.8187448835478838E-11</v>
      </c>
      <c r="X195">
        <f t="shared" ca="1" si="87"/>
        <v>2.0223197126131834E-5</v>
      </c>
      <c r="Y195">
        <f t="shared" ca="1" si="88"/>
        <v>2.0629716902319231E-3</v>
      </c>
      <c r="Z195">
        <f t="shared" ca="1" si="89"/>
        <v>153.25731763064158</v>
      </c>
      <c r="AA195">
        <f t="shared" ca="1" si="90"/>
        <v>486.304714752172</v>
      </c>
      <c r="AB195" s="6">
        <f t="shared" ca="1" si="91"/>
        <v>-3.7476653580721668E-9</v>
      </c>
      <c r="AC195">
        <f t="shared" ca="1" si="92"/>
        <v>66.962252430646217</v>
      </c>
      <c r="AD195">
        <f t="shared" ca="1" si="111"/>
        <v>24.106367869267583</v>
      </c>
      <c r="AE195">
        <f t="shared" ca="1" si="93"/>
        <v>5.2653721175228752</v>
      </c>
      <c r="AF195">
        <f t="shared" ca="1" si="94"/>
        <v>96.333992417436676</v>
      </c>
      <c r="AG195">
        <f t="shared" ca="1" si="79"/>
        <v>0.61744818965147275</v>
      </c>
      <c r="AI195">
        <f t="shared" ca="1" si="95"/>
        <v>8.3806534567877557E-5</v>
      </c>
      <c r="AK195">
        <f t="shared" ca="1" si="96"/>
        <v>7.1393932707565819E-2</v>
      </c>
      <c r="AM195">
        <f t="shared" ca="1" si="97"/>
        <v>11138.849683863877</v>
      </c>
      <c r="AN195" s="6">
        <f t="shared" si="98"/>
        <v>1.9495613999999998E-5</v>
      </c>
      <c r="AO195" s="6">
        <f t="shared" ca="1" si="99"/>
        <v>4637646.9846094595</v>
      </c>
      <c r="AP195" s="6">
        <f t="shared" ca="1" si="100"/>
        <v>2.319802854620101E-3</v>
      </c>
    </row>
    <row r="196" spans="1:42" x14ac:dyDescent="0.25">
      <c r="A196">
        <f t="shared" si="101"/>
        <v>157</v>
      </c>
      <c r="B196">
        <f t="shared" si="77"/>
        <v>6.5199440295610041</v>
      </c>
      <c r="C196">
        <f t="shared" ca="1" si="102"/>
        <v>5087798466.9055882</v>
      </c>
      <c r="D196">
        <f t="shared" si="80"/>
        <v>10000000</v>
      </c>
      <c r="E196">
        <f t="shared" ca="1" si="81"/>
        <v>10000000.00090849</v>
      </c>
      <c r="F196">
        <f t="shared" ca="1" si="103"/>
        <v>3673064643.9214783</v>
      </c>
      <c r="G196">
        <f t="shared" ca="1" si="78"/>
        <v>949.99696688458835</v>
      </c>
      <c r="H196">
        <f t="shared" ca="1" si="82"/>
        <v>9499969669.7089462</v>
      </c>
      <c r="I196">
        <f t="shared" ca="1" si="83"/>
        <v>791842534.46995521</v>
      </c>
      <c r="J196">
        <f t="shared" ca="1" si="112"/>
        <v>2011352512080.5</v>
      </c>
      <c r="K196">
        <f t="shared" ca="1" si="84"/>
        <v>3.569612446932342E-6</v>
      </c>
      <c r="L196">
        <f t="shared" ca="1" si="104"/>
        <v>-367459166642.51416</v>
      </c>
      <c r="M196">
        <f t="shared" ca="1" si="105"/>
        <v>-367459166685.37006</v>
      </c>
      <c r="N196">
        <f t="shared" ca="1" si="85"/>
        <v>367459166718.75342</v>
      </c>
      <c r="O196">
        <f t="shared" ca="1" si="86"/>
        <v>-367459166609.13086</v>
      </c>
      <c r="Q196">
        <f t="shared" si="106"/>
        <v>157</v>
      </c>
      <c r="R196" s="23">
        <f t="shared" si="114"/>
        <v>228.0905488275379</v>
      </c>
      <c r="S196">
        <f t="shared" ca="1" si="107"/>
        <v>7.5845250356657207E-2</v>
      </c>
      <c r="T196" s="23">
        <f t="shared" ca="1" si="108"/>
        <v>499999.99999917037</v>
      </c>
      <c r="U196">
        <f t="shared" ca="1" si="113"/>
        <v>347209.2467448127</v>
      </c>
      <c r="V196">
        <f t="shared" ca="1" si="109"/>
        <v>386.91894892431844</v>
      </c>
      <c r="W196">
        <f t="shared" ca="1" si="110"/>
        <v>6.525316403490481E-11</v>
      </c>
      <c r="X196">
        <f t="shared" ca="1" si="87"/>
        <v>2.2656501932275001E-5</v>
      </c>
      <c r="Y196">
        <f t="shared" ca="1" si="88"/>
        <v>2.3111935167547007E-3</v>
      </c>
      <c r="Z196">
        <f t="shared" ca="1" si="89"/>
        <v>153.61478731751407</v>
      </c>
      <c r="AA196">
        <f t="shared" ca="1" si="90"/>
        <v>486.2656907287502</v>
      </c>
      <c r="AB196" s="6">
        <f t="shared" ca="1" si="91"/>
        <v>-3.7533831948237092E-9</v>
      </c>
      <c r="AC196">
        <f t="shared" ca="1" si="92"/>
        <v>66.745791215654961</v>
      </c>
      <c r="AD196">
        <f t="shared" ca="1" si="111"/>
        <v>23.889906654276341</v>
      </c>
      <c r="AE196">
        <f t="shared" ca="1" si="93"/>
        <v>5.4818333325141149</v>
      </c>
      <c r="AF196">
        <f t="shared" ca="1" si="94"/>
        <v>96.11753120244542</v>
      </c>
      <c r="AG196">
        <f t="shared" ca="1" si="79"/>
        <v>0.61839023426155493</v>
      </c>
      <c r="AI196">
        <f t="shared" ca="1" si="95"/>
        <v>8.3934398727984494E-5</v>
      </c>
      <c r="AK196">
        <f t="shared" ca="1" si="96"/>
        <v>7.1554715212313394E-2</v>
      </c>
      <c r="AM196">
        <f t="shared" ca="1" si="97"/>
        <v>11121.88095970585</v>
      </c>
      <c r="AN196" s="6">
        <f t="shared" si="98"/>
        <v>1.9495613999999998E-5</v>
      </c>
      <c r="AO196" s="6">
        <f t="shared" ca="1" si="99"/>
        <v>4637646.9846094586</v>
      </c>
      <c r="AP196" s="6">
        <f t="shared" ca="1" si="100"/>
        <v>2.319802854620101E-3</v>
      </c>
    </row>
    <row r="197" spans="1:42" x14ac:dyDescent="0.25">
      <c r="A197">
        <f t="shared" si="101"/>
        <v>158</v>
      </c>
      <c r="B197">
        <f t="shared" si="77"/>
        <v>6.561472335481775</v>
      </c>
      <c r="C197">
        <f t="shared" ca="1" si="102"/>
        <v>5120682345.9181347</v>
      </c>
      <c r="D197">
        <f t="shared" si="80"/>
        <v>10000000</v>
      </c>
      <c r="E197">
        <f t="shared" ca="1" si="81"/>
        <v>10000000.00090266</v>
      </c>
      <c r="F197">
        <f t="shared" ca="1" si="103"/>
        <v>3673064761.3041821</v>
      </c>
      <c r="G197">
        <f t="shared" ca="1" si="78"/>
        <v>949.99696688468521</v>
      </c>
      <c r="H197">
        <f t="shared" ca="1" si="82"/>
        <v>9499969669.7043762</v>
      </c>
      <c r="I197">
        <f t="shared" ca="1" si="83"/>
        <v>791842534.46957421</v>
      </c>
      <c r="J197">
        <f t="shared" ca="1" si="112"/>
        <v>2024352451556.9531</v>
      </c>
      <c r="K197">
        <f t="shared" ca="1" si="84"/>
        <v>3.5466891927683631E-6</v>
      </c>
      <c r="L197">
        <f t="shared" ca="1" si="104"/>
        <v>-369834159059.94135</v>
      </c>
      <c r="M197">
        <f t="shared" ca="1" si="105"/>
        <v>-369834159102.79724</v>
      </c>
      <c r="N197">
        <f t="shared" ca="1" si="85"/>
        <v>369834159136.1806</v>
      </c>
      <c r="O197">
        <f t="shared" ca="1" si="86"/>
        <v>-369834159026.55792</v>
      </c>
      <c r="Q197">
        <f t="shared" si="106"/>
        <v>158</v>
      </c>
      <c r="R197" s="23">
        <f t="shared" si="114"/>
        <v>229.5433548710254</v>
      </c>
      <c r="S197">
        <f t="shared" ca="1" si="107"/>
        <v>7.9202966265467564E-2</v>
      </c>
      <c r="T197" s="23">
        <f t="shared" ca="1" si="108"/>
        <v>499999.99999916489</v>
      </c>
      <c r="U197">
        <f t="shared" ca="1" si="113"/>
        <v>346822.77769749018</v>
      </c>
      <c r="V197">
        <f t="shared" ca="1" si="109"/>
        <v>388.55169096998702</v>
      </c>
      <c r="W197">
        <f t="shared" ca="1" si="110"/>
        <v>7.4116454240284329E-11</v>
      </c>
      <c r="X197">
        <f t="shared" ca="1" si="87"/>
        <v>2.5705274532704335E-5</v>
      </c>
      <c r="Y197">
        <f t="shared" ca="1" si="88"/>
        <v>2.6221993149681457E-3</v>
      </c>
      <c r="Z197">
        <f t="shared" ca="1" si="89"/>
        <v>154.01718579796173</v>
      </c>
      <c r="AA197">
        <f t="shared" ca="1" si="90"/>
        <v>486.22197867696337</v>
      </c>
      <c r="AB197" s="6">
        <f t="shared" ca="1" si="91"/>
        <v>-3.7597121107863486E-9</v>
      </c>
      <c r="AC197">
        <f t="shared" ca="1" si="92"/>
        <v>66.503284855007664</v>
      </c>
      <c r="AD197">
        <f t="shared" ca="1" si="111"/>
        <v>23.647400293629026</v>
      </c>
      <c r="AE197">
        <f t="shared" ca="1" si="93"/>
        <v>5.7243396931614319</v>
      </c>
      <c r="AF197">
        <f t="shared" ca="1" si="94"/>
        <v>95.875024841798108</v>
      </c>
      <c r="AG197">
        <f t="shared" ca="1" si="79"/>
        <v>0.61943295748527338</v>
      </c>
      <c r="AI197">
        <f t="shared" ca="1" si="95"/>
        <v>8.4075928043897817E-5</v>
      </c>
      <c r="AK197">
        <f t="shared" ca="1" si="96"/>
        <v>7.1735705763313798E-2</v>
      </c>
      <c r="AM197">
        <f t="shared" ca="1" si="97"/>
        <v>11103.158927841101</v>
      </c>
      <c r="AN197" s="6">
        <f t="shared" si="98"/>
        <v>1.9495613999999998E-5</v>
      </c>
      <c r="AO197" s="6">
        <f t="shared" ca="1" si="99"/>
        <v>4637646.9846094595</v>
      </c>
      <c r="AP197" s="6">
        <f t="shared" ca="1" si="100"/>
        <v>2.319802854620101E-3</v>
      </c>
    </row>
    <row r="198" spans="1:42" x14ac:dyDescent="0.25">
      <c r="A198">
        <f t="shared" si="101"/>
        <v>159</v>
      </c>
      <c r="B198">
        <f t="shared" si="77"/>
        <v>6.6030006414025459</v>
      </c>
      <c r="C198">
        <f t="shared" ca="1" si="102"/>
        <v>5153566224.930666</v>
      </c>
      <c r="D198">
        <f t="shared" si="80"/>
        <v>10000000</v>
      </c>
      <c r="E198">
        <f t="shared" ca="1" si="81"/>
        <v>10000000.000896899</v>
      </c>
      <c r="F198">
        <f t="shared" ca="1" si="103"/>
        <v>3673064877.9330802</v>
      </c>
      <c r="G198">
        <f t="shared" ca="1" si="78"/>
        <v>949.9969668847815</v>
      </c>
      <c r="H198">
        <f t="shared" ca="1" si="82"/>
        <v>9499969669.6998672</v>
      </c>
      <c r="I198">
        <f t="shared" ca="1" si="83"/>
        <v>791842534.46919847</v>
      </c>
      <c r="J198">
        <f t="shared" ca="1" si="112"/>
        <v>2037352391033.4063</v>
      </c>
      <c r="K198">
        <f t="shared" ca="1" si="84"/>
        <v>3.5240584760348711E-6</v>
      </c>
      <c r="L198">
        <f t="shared" ca="1" si="104"/>
        <v>-372209151477.36749</v>
      </c>
      <c r="M198">
        <f t="shared" ca="1" si="105"/>
        <v>-372209151520.22333</v>
      </c>
      <c r="N198">
        <f t="shared" ca="1" si="85"/>
        <v>372209151553.60669</v>
      </c>
      <c r="O198">
        <f t="shared" ca="1" si="86"/>
        <v>-372209151443.98413</v>
      </c>
      <c r="Q198">
        <f t="shared" si="106"/>
        <v>159</v>
      </c>
      <c r="R198" s="23">
        <f t="shared" si="114"/>
        <v>230.99616091451287</v>
      </c>
      <c r="S198">
        <f t="shared" ca="1" si="107"/>
        <v>8.3012513277481992E-2</v>
      </c>
      <c r="T198" s="23">
        <f t="shared" ca="1" si="108"/>
        <v>499999.99999915942</v>
      </c>
      <c r="U198">
        <f t="shared" ca="1" si="113"/>
        <v>346381.92922500253</v>
      </c>
      <c r="V198">
        <f t="shared" ca="1" si="109"/>
        <v>390.40397645603161</v>
      </c>
      <c r="W198">
        <f t="shared" ca="1" si="110"/>
        <v>8.5527366155751601E-11</v>
      </c>
      <c r="X198">
        <f t="shared" ca="1" si="87"/>
        <v>2.9625134090562427E-5</v>
      </c>
      <c r="Y198">
        <f t="shared" ca="1" si="88"/>
        <v>3.0220648380657297E-3</v>
      </c>
      <c r="Z198">
        <f t="shared" ca="1" si="89"/>
        <v>154.47620510795778</v>
      </c>
      <c r="AA198">
        <f t="shared" ca="1" si="90"/>
        <v>486.17239402743843</v>
      </c>
      <c r="AB198" s="6">
        <f t="shared" ca="1" si="91"/>
        <v>-3.7667942920513557E-9</v>
      </c>
      <c r="AC198">
        <f t="shared" ca="1" si="92"/>
        <v>66.228145621466652</v>
      </c>
      <c r="AD198">
        <f t="shared" ca="1" si="111"/>
        <v>23.372261060088032</v>
      </c>
      <c r="AE198">
        <f t="shared" ca="1" si="93"/>
        <v>5.999478926702424</v>
      </c>
      <c r="AF198">
        <f t="shared" ca="1" si="94"/>
        <v>95.599885608257111</v>
      </c>
      <c r="AG198">
        <f t="shared" ca="1" si="79"/>
        <v>0.6205997852521774</v>
      </c>
      <c r="AI198">
        <f t="shared" ca="1" si="95"/>
        <v>8.4234302128105595E-5</v>
      </c>
      <c r="AK198">
        <f t="shared" ca="1" si="96"/>
        <v>7.1942163197605283E-2</v>
      </c>
      <c r="AM198">
        <f t="shared" ca="1" si="97"/>
        <v>11082.283196902701</v>
      </c>
      <c r="AN198" s="6">
        <f t="shared" si="98"/>
        <v>1.9495613999999998E-5</v>
      </c>
      <c r="AO198" s="6">
        <f t="shared" ca="1" si="99"/>
        <v>4637646.9846094595</v>
      </c>
      <c r="AP198" s="6">
        <f t="shared" ca="1" si="100"/>
        <v>2.319802854620101E-3</v>
      </c>
    </row>
    <row r="199" spans="1:42" x14ac:dyDescent="0.25">
      <c r="A199">
        <f t="shared" si="101"/>
        <v>160</v>
      </c>
      <c r="B199">
        <f t="shared" si="77"/>
        <v>6.644528947323316</v>
      </c>
      <c r="C199">
        <f t="shared" ca="1" si="102"/>
        <v>5186450103.943181</v>
      </c>
      <c r="D199">
        <f t="shared" si="80"/>
        <v>10000000</v>
      </c>
      <c r="E199">
        <f t="shared" ca="1" si="81"/>
        <v>10000000.000891214</v>
      </c>
      <c r="F199">
        <f t="shared" ca="1" si="103"/>
        <v>3673064993.8177929</v>
      </c>
      <c r="G199">
        <f t="shared" ca="1" si="78"/>
        <v>949.99696688487734</v>
      </c>
      <c r="H199">
        <f t="shared" ca="1" si="82"/>
        <v>9499969669.695425</v>
      </c>
      <c r="I199">
        <f t="shared" ca="1" si="83"/>
        <v>791842534.4688282</v>
      </c>
      <c r="J199">
        <f t="shared" ca="1" si="112"/>
        <v>2050352330509.8594</v>
      </c>
      <c r="K199">
        <f t="shared" ca="1" si="84"/>
        <v>3.5017147323678778E-6</v>
      </c>
      <c r="L199">
        <f t="shared" ca="1" si="104"/>
        <v>-374584143894.79242</v>
      </c>
      <c r="M199">
        <f t="shared" ca="1" si="105"/>
        <v>-374584143937.64832</v>
      </c>
      <c r="N199">
        <f t="shared" ca="1" si="85"/>
        <v>374584143971.03168</v>
      </c>
      <c r="O199">
        <f t="shared" ca="1" si="86"/>
        <v>-374584143861.409</v>
      </c>
      <c r="Q199">
        <f t="shared" si="106"/>
        <v>160</v>
      </c>
      <c r="R199" s="23">
        <f t="shared" si="114"/>
        <v>232.44896695800037</v>
      </c>
      <c r="S199">
        <f t="shared" ca="1" si="107"/>
        <v>8.7402987338034949E-2</v>
      </c>
      <c r="T199" s="23">
        <f t="shared" ca="1" si="108"/>
        <v>499999.99999915395</v>
      </c>
      <c r="U199">
        <f t="shared" ca="1" si="113"/>
        <v>345870.69673792925</v>
      </c>
      <c r="V199">
        <f t="shared" ca="1" si="109"/>
        <v>392.53850374096601</v>
      </c>
      <c r="W199">
        <f t="shared" ca="1" si="110"/>
        <v>1.0070335612634257E-10</v>
      </c>
      <c r="X199">
        <f t="shared" ca="1" si="87"/>
        <v>3.4830339947265918E-5</v>
      </c>
      <c r="Y199">
        <f t="shared" ca="1" si="88"/>
        <v>3.5530487501165657E-3</v>
      </c>
      <c r="Z199">
        <f t="shared" ca="1" si="89"/>
        <v>155.00850951209955</v>
      </c>
      <c r="AA199">
        <f t="shared" ca="1" si="90"/>
        <v>486.11526063726882</v>
      </c>
      <c r="AB199" s="6">
        <f t="shared" ca="1" si="91"/>
        <v>-3.7748267617870914E-9</v>
      </c>
      <c r="AC199">
        <f t="shared" ca="1" si="92"/>
        <v>65.911049739963573</v>
      </c>
      <c r="AD199">
        <f t="shared" ca="1" si="111"/>
        <v>23.05516517858495</v>
      </c>
      <c r="AE199">
        <f t="shared" ca="1" si="93"/>
        <v>6.3165748082055071</v>
      </c>
      <c r="AF199">
        <f t="shared" ca="1" si="94"/>
        <v>95.282789726754032</v>
      </c>
      <c r="AG199">
        <f t="shared" ca="1" si="79"/>
        <v>0.62192317819762211</v>
      </c>
      <c r="AI199">
        <f t="shared" ca="1" si="95"/>
        <v>8.4413926877984445E-5</v>
      </c>
      <c r="AK199">
        <f t="shared" ca="1" si="96"/>
        <v>7.2181582758281487E-2</v>
      </c>
      <c r="AM199">
        <f t="shared" ca="1" si="97"/>
        <v>11058.701159898219</v>
      </c>
      <c r="AN199" s="6">
        <f t="shared" si="98"/>
        <v>1.9495613999999998E-5</v>
      </c>
      <c r="AO199" s="6">
        <f t="shared" ca="1" si="99"/>
        <v>4637646.9846094595</v>
      </c>
      <c r="AP199" s="6">
        <f t="shared" ca="1" si="100"/>
        <v>2.319802854620101E-3</v>
      </c>
    </row>
    <row r="200" spans="1:42" x14ac:dyDescent="0.25">
      <c r="A200">
        <f t="shared" si="101"/>
        <v>161</v>
      </c>
      <c r="B200">
        <f t="shared" si="77"/>
        <v>6.686057253244087</v>
      </c>
      <c r="C200">
        <f t="shared" ca="1" si="102"/>
        <v>5219333982.9556808</v>
      </c>
      <c r="D200">
        <f t="shared" si="80"/>
        <v>10000000</v>
      </c>
      <c r="E200">
        <f t="shared" ca="1" si="81"/>
        <v>10000000.000885598</v>
      </c>
      <c r="F200">
        <f t="shared" ca="1" si="103"/>
        <v>3673065108.9677563</v>
      </c>
      <c r="G200">
        <f t="shared" ca="1" si="78"/>
        <v>949.99696688497238</v>
      </c>
      <c r="H200">
        <f t="shared" ca="1" si="82"/>
        <v>9499969669.69104</v>
      </c>
      <c r="I200">
        <f t="shared" ca="1" si="83"/>
        <v>791842534.46846271</v>
      </c>
      <c r="J200">
        <f t="shared" ca="1" si="112"/>
        <v>2063352269986.2969</v>
      </c>
      <c r="K200">
        <f t="shared" ca="1" si="84"/>
        <v>3.4796525376342396E-6</v>
      </c>
      <c r="L200">
        <f t="shared" ca="1" si="104"/>
        <v>-376959136312.21625</v>
      </c>
      <c r="M200">
        <f t="shared" ca="1" si="105"/>
        <v>-376959136355.07214</v>
      </c>
      <c r="N200">
        <f t="shared" ca="1" si="85"/>
        <v>376959136388.45551</v>
      </c>
      <c r="O200">
        <f t="shared" ca="1" si="86"/>
        <v>-376959136278.83282</v>
      </c>
      <c r="Q200">
        <f t="shared" si="106"/>
        <v>161</v>
      </c>
      <c r="R200" s="23">
        <f t="shared" si="114"/>
        <v>233.9017730014879</v>
      </c>
      <c r="S200">
        <f t="shared" ca="1" si="107"/>
        <v>9.2564878035010095E-2</v>
      </c>
      <c r="T200" s="23">
        <f t="shared" ca="1" si="108"/>
        <v>499999.99999914848</v>
      </c>
      <c r="U200">
        <f t="shared" ca="1" si="113"/>
        <v>345265.27037776774</v>
      </c>
      <c r="V200">
        <f t="shared" ca="1" si="109"/>
        <v>395.04777758250719</v>
      </c>
      <c r="W200">
        <f t="shared" ca="1" si="110"/>
        <v>1.217465946264388E-10</v>
      </c>
      <c r="X200">
        <f t="shared" ca="1" si="87"/>
        <v>4.2034870911269877E-5</v>
      </c>
      <c r="Y200">
        <f t="shared" ca="1" si="88"/>
        <v>4.2879841476919697E-3</v>
      </c>
      <c r="Z200">
        <f t="shared" ca="1" si="89"/>
        <v>155.63889026067585</v>
      </c>
      <c r="AA200">
        <f t="shared" ca="1" si="90"/>
        <v>486.04810594806486</v>
      </c>
      <c r="AB200" s="6">
        <f t="shared" ca="1" si="91"/>
        <v>-3.7840929915754145E-9</v>
      </c>
      <c r="AC200">
        <f t="shared" ca="1" si="92"/>
        <v>65.538239365000607</v>
      </c>
      <c r="AD200">
        <f t="shared" ca="1" si="111"/>
        <v>22.68235480362199</v>
      </c>
      <c r="AE200">
        <f t="shared" ca="1" si="93"/>
        <v>6.6893851831684668</v>
      </c>
      <c r="AF200">
        <f t="shared" ca="1" si="94"/>
        <v>94.909979351791065</v>
      </c>
      <c r="AG200">
        <f t="shared" ca="1" si="79"/>
        <v>0.6234498398018582</v>
      </c>
      <c r="AI200">
        <f t="shared" ca="1" si="95"/>
        <v>8.4621141378979394E-5</v>
      </c>
      <c r="AK200">
        <f t="shared" ca="1" si="96"/>
        <v>7.2465115039263145E-2</v>
      </c>
      <c r="AM200">
        <f t="shared" ca="1" si="97"/>
        <v>11031.621363937562</v>
      </c>
      <c r="AN200" s="6">
        <f t="shared" si="98"/>
        <v>1.9495613999999998E-5</v>
      </c>
      <c r="AO200" s="6">
        <f t="shared" ca="1" si="99"/>
        <v>4637646.9846094595</v>
      </c>
      <c r="AP200" s="6">
        <f t="shared" ca="1" si="100"/>
        <v>2.319802854620101E-3</v>
      </c>
    </row>
    <row r="201" spans="1:42" x14ac:dyDescent="0.25">
      <c r="A201">
        <f t="shared" si="101"/>
        <v>162</v>
      </c>
      <c r="B201">
        <f t="shared" si="77"/>
        <v>6.7275855591648579</v>
      </c>
      <c r="C201">
        <f t="shared" ca="1" si="102"/>
        <v>5252217861.9681654</v>
      </c>
      <c r="D201">
        <f t="shared" si="80"/>
        <v>10000000</v>
      </c>
      <c r="E201">
        <f t="shared" ca="1" si="81"/>
        <v>10000000.000880051</v>
      </c>
      <c r="F201">
        <f t="shared" ca="1" si="103"/>
        <v>3673065223.3922296</v>
      </c>
      <c r="G201">
        <f t="shared" ca="1" si="78"/>
        <v>949.99696688506685</v>
      </c>
      <c r="H201">
        <f t="shared" ca="1" si="82"/>
        <v>9499969669.6867142</v>
      </c>
      <c r="I201">
        <f t="shared" ca="1" si="83"/>
        <v>791842534.4681021</v>
      </c>
      <c r="J201">
        <f t="shared" ca="1" si="112"/>
        <v>2076352209462.7344</v>
      </c>
      <c r="K201">
        <f t="shared" ca="1" si="84"/>
        <v>3.457866603541689E-6</v>
      </c>
      <c r="L201">
        <f t="shared" ca="1" si="104"/>
        <v>-379334128729.63904</v>
      </c>
      <c r="M201">
        <f t="shared" ca="1" si="105"/>
        <v>-379334128772.49487</v>
      </c>
      <c r="N201">
        <f t="shared" ca="1" si="85"/>
        <v>379334128805.87823</v>
      </c>
      <c r="O201">
        <f t="shared" ca="1" si="86"/>
        <v>-379334128696.25568</v>
      </c>
      <c r="Q201">
        <f t="shared" si="106"/>
        <v>162</v>
      </c>
      <c r="R201" s="23">
        <f t="shared" si="114"/>
        <v>235.3545790449754</v>
      </c>
      <c r="S201">
        <f t="shared" ca="1" si="107"/>
        <v>9.8794487319155577E-2</v>
      </c>
      <c r="T201" s="23">
        <f t="shared" ca="1" si="108"/>
        <v>499999.99999914301</v>
      </c>
      <c r="U201">
        <f t="shared" ca="1" si="113"/>
        <v>344528.24981751619</v>
      </c>
      <c r="V201">
        <f t="shared" ca="1" si="109"/>
        <v>398.07566737586257</v>
      </c>
      <c r="W201">
        <f t="shared" ca="1" si="110"/>
        <v>1.5258768808568192E-10</v>
      </c>
      <c r="X201">
        <f t="shared" ca="1" si="87"/>
        <v>5.2570769119861061E-5</v>
      </c>
      <c r="Y201">
        <f t="shared" ca="1" si="88"/>
        <v>5.3627528699630479E-3</v>
      </c>
      <c r="Z201">
        <f t="shared" ca="1" si="89"/>
        <v>156.4062892427159</v>
      </c>
      <c r="AA201">
        <f t="shared" ca="1" si="90"/>
        <v>485.96708525600246</v>
      </c>
      <c r="AB201" s="6">
        <f t="shared" ca="1" si="91"/>
        <v>-3.7950204643914406E-9</v>
      </c>
      <c r="AC201">
        <f t="shared" ca="1" si="92"/>
        <v>65.088314500366053</v>
      </c>
      <c r="AD201">
        <f t="shared" ca="1" si="111"/>
        <v>22.232429938987416</v>
      </c>
      <c r="AE201">
        <f t="shared" ca="1" si="93"/>
        <v>7.1393100478030416</v>
      </c>
      <c r="AF201">
        <f t="shared" ca="1" si="94"/>
        <v>94.460054487156498</v>
      </c>
      <c r="AG201">
        <f t="shared" ca="1" si="79"/>
        <v>0.62525020020308475</v>
      </c>
      <c r="AI201">
        <f t="shared" ca="1" si="95"/>
        <v>8.4865505147031255E-5</v>
      </c>
      <c r="AK201">
        <f t="shared" ca="1" si="96"/>
        <v>7.2810275300410385E-2</v>
      </c>
      <c r="AM201">
        <f t="shared" ca="1" si="97"/>
        <v>10999.856649174566</v>
      </c>
      <c r="AN201" s="6">
        <f t="shared" si="98"/>
        <v>1.9495613999999998E-5</v>
      </c>
      <c r="AO201" s="6">
        <f t="shared" ca="1" si="99"/>
        <v>4637646.9846094595</v>
      </c>
      <c r="AP201" s="6">
        <f t="shared" ca="1" si="100"/>
        <v>2.319802854620101E-3</v>
      </c>
    </row>
    <row r="202" spans="1:42" x14ac:dyDescent="0.25">
      <c r="A202">
        <f t="shared" si="101"/>
        <v>163</v>
      </c>
      <c r="B202">
        <f t="shared" si="77"/>
        <v>6.769113865085628</v>
      </c>
      <c r="C202">
        <f t="shared" ca="1" si="102"/>
        <v>5285101740.9806347</v>
      </c>
      <c r="D202">
        <f t="shared" si="80"/>
        <v>10000000</v>
      </c>
      <c r="E202">
        <f t="shared" ca="1" si="81"/>
        <v>10000000.000874575</v>
      </c>
      <c r="F202">
        <f t="shared" ca="1" si="103"/>
        <v>3673065337.1002965</v>
      </c>
      <c r="G202">
        <f t="shared" ca="1" si="78"/>
        <v>949.99696688516076</v>
      </c>
      <c r="H202">
        <f t="shared" ca="1" si="82"/>
        <v>9499969669.6824512</v>
      </c>
      <c r="I202">
        <f t="shared" ca="1" si="83"/>
        <v>791842534.46774673</v>
      </c>
      <c r="J202">
        <f t="shared" ca="1" si="112"/>
        <v>2089352148939.1406</v>
      </c>
      <c r="K202">
        <f t="shared" ca="1" si="84"/>
        <v>3.4363517734129562E-6</v>
      </c>
      <c r="L202">
        <f t="shared" ca="1" si="104"/>
        <v>-381709121147.06067</v>
      </c>
      <c r="M202">
        <f t="shared" ca="1" si="105"/>
        <v>-381709121189.9165</v>
      </c>
      <c r="N202">
        <f t="shared" ca="1" si="85"/>
        <v>381709121223.29987</v>
      </c>
      <c r="O202">
        <f t="shared" ca="1" si="86"/>
        <v>-381709121113.67731</v>
      </c>
      <c r="Q202">
        <f t="shared" si="106"/>
        <v>163</v>
      </c>
      <c r="R202" s="23">
        <f t="shared" si="114"/>
        <v>236.80738508846289</v>
      </c>
      <c r="S202">
        <f t="shared" ca="1" si="107"/>
        <v>0.10658552709836783</v>
      </c>
      <c r="T202" s="23">
        <f t="shared" ca="1" si="108"/>
        <v>499999.99999913748</v>
      </c>
      <c r="U202">
        <f t="shared" ca="1" si="113"/>
        <v>343596.55704865901</v>
      </c>
      <c r="V202">
        <f t="shared" ca="1" si="109"/>
        <v>401.86185626847993</v>
      </c>
      <c r="W202">
        <f t="shared" ca="1" si="110"/>
        <v>2.0140098789287626E-10</v>
      </c>
      <c r="X202">
        <f t="shared" ca="1" si="87"/>
        <v>6.9200686026190934E-5</v>
      </c>
      <c r="Y202">
        <f t="shared" ca="1" si="88"/>
        <v>7.0591734494933342E-3</v>
      </c>
      <c r="Z202">
        <f t="shared" ca="1" si="89"/>
        <v>157.37638440824509</v>
      </c>
      <c r="AA202">
        <f t="shared" ca="1" si="90"/>
        <v>485.86579500857096</v>
      </c>
      <c r="AB202" s="6">
        <f t="shared" ca="1" si="91"/>
        <v>-3.8082938792418077E-9</v>
      </c>
      <c r="AC202">
        <f t="shared" ca="1" si="92"/>
        <v>64.525617490307013</v>
      </c>
      <c r="AD202">
        <f t="shared" ca="1" si="111"/>
        <v>21.669732928928383</v>
      </c>
      <c r="AE202">
        <f t="shared" ca="1" si="93"/>
        <v>7.7020070578620743</v>
      </c>
      <c r="AF202">
        <f t="shared" ca="1" si="94"/>
        <v>93.897357477097472</v>
      </c>
      <c r="AG202">
        <f t="shared" ca="1" si="79"/>
        <v>0.62743706727546067</v>
      </c>
      <c r="AI202">
        <f t="shared" ca="1" si="95"/>
        <v>8.5162329648209034E-5</v>
      </c>
      <c r="AK202">
        <f t="shared" ca="1" si="96"/>
        <v>7.3246604131316076E-2</v>
      </c>
      <c r="AM202">
        <f t="shared" ca="1" si="97"/>
        <v>10961.517785308281</v>
      </c>
      <c r="AN202" s="6">
        <f t="shared" si="98"/>
        <v>1.9495613999999998E-5</v>
      </c>
      <c r="AO202" s="6">
        <f t="shared" ca="1" si="99"/>
        <v>4637646.9846094595</v>
      </c>
      <c r="AP202" s="6">
        <f t="shared" ca="1" si="100"/>
        <v>2.319802854620101E-3</v>
      </c>
    </row>
    <row r="203" spans="1:42" x14ac:dyDescent="0.25">
      <c r="A203">
        <f t="shared" si="101"/>
        <v>164</v>
      </c>
      <c r="B203">
        <f t="shared" si="77"/>
        <v>6.8106421710063989</v>
      </c>
      <c r="C203">
        <f t="shared" ca="1" si="102"/>
        <v>5317985619.9930897</v>
      </c>
      <c r="D203">
        <f t="shared" si="80"/>
        <v>10000000</v>
      </c>
      <c r="E203">
        <f t="shared" ca="1" si="81"/>
        <v>10000000.000869166</v>
      </c>
      <c r="F203">
        <f t="shared" ca="1" si="103"/>
        <v>3673065450.1008725</v>
      </c>
      <c r="G203">
        <f t="shared" ca="1" si="78"/>
        <v>949.9969668852541</v>
      </c>
      <c r="H203">
        <f t="shared" ca="1" si="82"/>
        <v>9499969669.6782455</v>
      </c>
      <c r="I203">
        <f t="shared" ca="1" si="83"/>
        <v>791842534.46739626</v>
      </c>
      <c r="J203">
        <f t="shared" ca="1" si="112"/>
        <v>2102352088415.5781</v>
      </c>
      <c r="K203">
        <f t="shared" ca="1" si="84"/>
        <v>3.4151030181163187E-6</v>
      </c>
      <c r="L203">
        <f t="shared" ca="1" si="104"/>
        <v>-384084113564.48126</v>
      </c>
      <c r="M203">
        <f t="shared" ca="1" si="105"/>
        <v>-384084113607.3371</v>
      </c>
      <c r="N203">
        <f t="shared" ca="1" si="85"/>
        <v>384084113640.72046</v>
      </c>
      <c r="O203">
        <f t="shared" ca="1" si="86"/>
        <v>-384084113531.0979</v>
      </c>
      <c r="Q203">
        <f t="shared" si="106"/>
        <v>164</v>
      </c>
      <c r="R203" s="23">
        <f t="shared" si="114"/>
        <v>238.26019113195042</v>
      </c>
      <c r="S203">
        <f t="shared" ca="1" si="107"/>
        <v>0.11684113694781843</v>
      </c>
      <c r="T203" s="23">
        <f t="shared" ca="1" si="108"/>
        <v>499999.99999913195</v>
      </c>
      <c r="U203">
        <f t="shared" ca="1" si="113"/>
        <v>342352.97892103391</v>
      </c>
      <c r="V203">
        <f t="shared" ca="1" si="109"/>
        <v>406.84470630128095</v>
      </c>
      <c r="W203">
        <f t="shared" ca="1" si="110"/>
        <v>2.8792732282088499E-10</v>
      </c>
      <c r="X203">
        <f t="shared" ca="1" si="87"/>
        <v>9.8572776680488171E-5</v>
      </c>
      <c r="Y203">
        <f t="shared" ca="1" si="88"/>
        <v>1.0055425284691204E-2</v>
      </c>
      <c r="Z203">
        <f t="shared" ca="1" si="89"/>
        <v>158.67122018447222</v>
      </c>
      <c r="AA203">
        <f t="shared" ca="1" si="90"/>
        <v>485.73252757534556</v>
      </c>
      <c r="AB203" s="6">
        <f t="shared" ca="1" si="91"/>
        <v>-3.825100750441354E-9</v>
      </c>
      <c r="AC203">
        <f t="shared" ca="1" si="92"/>
        <v>63.784920335350201</v>
      </c>
      <c r="AD203">
        <f t="shared" ca="1" si="111"/>
        <v>20.929035773971577</v>
      </c>
      <c r="AE203">
        <f t="shared" ca="1" si="93"/>
        <v>8.4427042128188816</v>
      </c>
      <c r="AF203">
        <f t="shared" ca="1" si="94"/>
        <v>93.156660322140652</v>
      </c>
      <c r="AG203">
        <f t="shared" ca="1" si="79"/>
        <v>0.6302060904417135</v>
      </c>
      <c r="AI203">
        <f t="shared" ca="1" si="95"/>
        <v>8.5538170471117291E-5</v>
      </c>
      <c r="AK203">
        <f t="shared" ca="1" si="96"/>
        <v>7.3828994602407494E-2</v>
      </c>
      <c r="AM203">
        <f t="shared" ca="1" si="97"/>
        <v>10913.354657174219</v>
      </c>
      <c r="AN203" s="6">
        <f t="shared" si="98"/>
        <v>1.9495613999999998E-5</v>
      </c>
      <c r="AO203" s="6">
        <f t="shared" ca="1" si="99"/>
        <v>4637646.9846094605</v>
      </c>
      <c r="AP203" s="6">
        <f t="shared" ca="1" si="100"/>
        <v>2.3198028546201001E-3</v>
      </c>
    </row>
    <row r="204" spans="1:42" x14ac:dyDescent="0.25">
      <c r="A204">
        <f t="shared" si="101"/>
        <v>165</v>
      </c>
      <c r="B204">
        <f t="shared" si="77"/>
        <v>6.8521704769271699</v>
      </c>
      <c r="C204">
        <f t="shared" ca="1" si="102"/>
        <v>5350869499.0055304</v>
      </c>
      <c r="D204">
        <f t="shared" si="80"/>
        <v>10000000</v>
      </c>
      <c r="E204">
        <f t="shared" ca="1" si="81"/>
        <v>10000000.00086383</v>
      </c>
      <c r="F204">
        <f t="shared" ca="1" si="103"/>
        <v>3673065562.4027071</v>
      </c>
      <c r="G204">
        <f t="shared" ca="1" si="78"/>
        <v>949.99696688534675</v>
      </c>
      <c r="H204">
        <f t="shared" ca="1" si="82"/>
        <v>9499969669.6741028</v>
      </c>
      <c r="I204">
        <f t="shared" ca="1" si="83"/>
        <v>791842534.46705091</v>
      </c>
      <c r="J204">
        <f t="shared" ca="1" si="112"/>
        <v>2115352027892.0156</v>
      </c>
      <c r="K204">
        <f t="shared" ca="1" si="84"/>
        <v>3.3941154321467378E-6</v>
      </c>
      <c r="L204">
        <f t="shared" ca="1" si="104"/>
        <v>-386459105981.90082</v>
      </c>
      <c r="M204">
        <f t="shared" ca="1" si="105"/>
        <v>-386459106024.75671</v>
      </c>
      <c r="N204">
        <f t="shared" ca="1" si="85"/>
        <v>386459106058.14008</v>
      </c>
      <c r="O204">
        <f t="shared" ca="1" si="86"/>
        <v>-386459105948.5174</v>
      </c>
      <c r="Q204">
        <f t="shared" si="106"/>
        <v>165</v>
      </c>
      <c r="R204" s="23">
        <f t="shared" si="114"/>
        <v>239.71299717543792</v>
      </c>
      <c r="S204">
        <f t="shared" ca="1" si="107"/>
        <v>0.13144971957125481</v>
      </c>
      <c r="T204" s="23">
        <f t="shared" ca="1" si="108"/>
        <v>499999.99999912642</v>
      </c>
      <c r="U204">
        <f t="shared" ca="1" si="113"/>
        <v>340547.02786962956</v>
      </c>
      <c r="V204">
        <f t="shared" ca="1" si="109"/>
        <v>413.94057006325596</v>
      </c>
      <c r="W204">
        <f t="shared" ca="1" si="110"/>
        <v>4.7192919856335147E-10</v>
      </c>
      <c r="X204">
        <f t="shared" ca="1" si="87"/>
        <v>1.607140859356456E-4</v>
      </c>
      <c r="Y204">
        <f t="shared" ca="1" si="88"/>
        <v>1.6394470539889055E-2</v>
      </c>
      <c r="Z204">
        <f t="shared" ca="1" si="89"/>
        <v>160.55160870171085</v>
      </c>
      <c r="AA204">
        <f t="shared" ca="1" si="90"/>
        <v>485.54282123973576</v>
      </c>
      <c r="AB204" s="6">
        <f t="shared" ca="1" si="91"/>
        <v>-3.8477367607151169E-9</v>
      </c>
      <c r="AC204">
        <f t="shared" ca="1" si="92"/>
        <v>62.729835777145162</v>
      </c>
      <c r="AD204">
        <f t="shared" ca="1" si="111"/>
        <v>19.873951215766539</v>
      </c>
      <c r="AE204">
        <f t="shared" ca="1" si="93"/>
        <v>9.4977887710239166</v>
      </c>
      <c r="AF204">
        <f t="shared" ca="1" si="94"/>
        <v>92.101575763935614</v>
      </c>
      <c r="AG204">
        <f t="shared" ca="1" si="79"/>
        <v>0.63393549587925135</v>
      </c>
      <c r="AI204">
        <f t="shared" ca="1" si="95"/>
        <v>8.604436443355334E-5</v>
      </c>
      <c r="AK204">
        <f t="shared" ca="1" si="96"/>
        <v>7.467475463969997E-2</v>
      </c>
      <c r="AM204">
        <f t="shared" ca="1" si="97"/>
        <v>10849.152030148585</v>
      </c>
      <c r="AN204" s="6">
        <f t="shared" si="98"/>
        <v>1.9495613999999998E-5</v>
      </c>
      <c r="AO204" s="6">
        <f t="shared" ca="1" si="99"/>
        <v>4637646.9846094595</v>
      </c>
      <c r="AP204" s="6">
        <f t="shared" ca="1" si="100"/>
        <v>2.319802854620101E-3</v>
      </c>
    </row>
    <row r="205" spans="1:42" x14ac:dyDescent="0.25">
      <c r="A205">
        <f t="shared" si="101"/>
        <v>166</v>
      </c>
      <c r="B205">
        <f t="shared" si="77"/>
        <v>6.8936987828479399</v>
      </c>
      <c r="C205">
        <f t="shared" ca="1" si="102"/>
        <v>5383753378.0179558</v>
      </c>
      <c r="D205">
        <f t="shared" si="80"/>
        <v>10000000</v>
      </c>
      <c r="E205">
        <f t="shared" ca="1" si="81"/>
        <v>10000000.000858551</v>
      </c>
      <c r="F205">
        <f t="shared" ca="1" si="103"/>
        <v>3673065674.0143886</v>
      </c>
      <c r="G205">
        <f t="shared" ca="1" si="78"/>
        <v>949.99696688543895</v>
      </c>
      <c r="H205">
        <f t="shared" ca="1" si="82"/>
        <v>9499969669.6700096</v>
      </c>
      <c r="I205">
        <f t="shared" ca="1" si="83"/>
        <v>791842534.46670973</v>
      </c>
      <c r="J205">
        <f t="shared" ca="1" si="112"/>
        <v>2128351967368.4219</v>
      </c>
      <c r="K205">
        <f t="shared" ca="1" si="84"/>
        <v>3.3733842298501551E-6</v>
      </c>
      <c r="L205">
        <f t="shared" ca="1" si="104"/>
        <v>-388834098399.31927</v>
      </c>
      <c r="M205">
        <f t="shared" ca="1" si="105"/>
        <v>-388834098442.17517</v>
      </c>
      <c r="N205">
        <f t="shared" ca="1" si="85"/>
        <v>388834098475.55853</v>
      </c>
      <c r="O205">
        <f t="shared" ca="1" si="86"/>
        <v>-388834098365.93585</v>
      </c>
      <c r="Q205">
        <f t="shared" si="106"/>
        <v>166</v>
      </c>
      <c r="R205" s="23">
        <f t="shared" si="114"/>
        <v>241.16580321892539</v>
      </c>
      <c r="S205">
        <f t="shared" ca="1" si="107"/>
        <v>0.15526770545138291</v>
      </c>
      <c r="T205" s="23">
        <f t="shared" ca="1" si="108"/>
        <v>499999.99999912083</v>
      </c>
      <c r="U205">
        <f t="shared" ca="1" si="113"/>
        <v>337512.17255894252</v>
      </c>
      <c r="V205">
        <f t="shared" ca="1" si="109"/>
        <v>425.50522212374153</v>
      </c>
      <c r="W205">
        <f t="shared" ca="1" si="110"/>
        <v>1.0192451075299528E-9</v>
      </c>
      <c r="X205">
        <f t="shared" ca="1" si="87"/>
        <v>3.4400763061250732E-4</v>
      </c>
      <c r="Y205">
        <f t="shared" ca="1" si="88"/>
        <v>3.5092275407845271E-2</v>
      </c>
      <c r="Z205">
        <f t="shared" ca="1" si="89"/>
        <v>163.71155430115786</v>
      </c>
      <c r="AA205">
        <f t="shared" ca="1" si="90"/>
        <v>485.23383959510022</v>
      </c>
      <c r="AB205" s="6">
        <f t="shared" ca="1" si="91"/>
        <v>-3.8813610229944194E-9</v>
      </c>
      <c r="AC205">
        <f t="shared" ca="1" si="92"/>
        <v>61.009614879783577</v>
      </c>
      <c r="AD205">
        <f t="shared" ca="1" si="111"/>
        <v>18.15373031840495</v>
      </c>
      <c r="AE205">
        <f t="shared" ca="1" si="93"/>
        <v>11.218009668385507</v>
      </c>
      <c r="AF205">
        <f t="shared" ca="1" si="94"/>
        <v>90.381354866574029</v>
      </c>
      <c r="AG205">
        <f t="shared" ca="1" si="79"/>
        <v>0.63947527541906646</v>
      </c>
      <c r="AI205">
        <f t="shared" ca="1" si="95"/>
        <v>8.6796281328417024E-5</v>
      </c>
      <c r="AK205">
        <f t="shared" ca="1" si="96"/>
        <v>7.6096033106107089E-2</v>
      </c>
      <c r="AM205">
        <f t="shared" ca="1" si="97"/>
        <v>10755.16573740009</v>
      </c>
      <c r="AN205" s="6">
        <f t="shared" si="98"/>
        <v>1.9495613999999998E-5</v>
      </c>
      <c r="AO205" s="6">
        <f t="shared" ca="1" si="99"/>
        <v>4637646.9846094595</v>
      </c>
      <c r="AP205" s="6">
        <f t="shared" ca="1" si="100"/>
        <v>2.319802854620101E-3</v>
      </c>
    </row>
    <row r="206" spans="1:42" x14ac:dyDescent="0.25">
      <c r="A206">
        <f t="shared" si="101"/>
        <v>167</v>
      </c>
      <c r="B206">
        <f t="shared" si="77"/>
        <v>6.9352270887687109</v>
      </c>
      <c r="C206">
        <f t="shared" ca="1" si="102"/>
        <v>5416637257.0303679</v>
      </c>
      <c r="D206">
        <f t="shared" si="80"/>
        <v>10000000</v>
      </c>
      <c r="E206">
        <f t="shared" ca="1" si="81"/>
        <v>10000000.000853337</v>
      </c>
      <c r="F206">
        <f t="shared" ca="1" si="103"/>
        <v>3673065784.9443474</v>
      </c>
      <c r="G206">
        <f t="shared" ca="1" si="78"/>
        <v>949.99696688553058</v>
      </c>
      <c r="H206">
        <f t="shared" ca="1" si="82"/>
        <v>9499969669.6659737</v>
      </c>
      <c r="I206">
        <f t="shared" ca="1" si="83"/>
        <v>791842534.46637344</v>
      </c>
      <c r="J206">
        <f t="shared" ca="1" si="112"/>
        <v>2141351906844.8281</v>
      </c>
      <c r="K206">
        <f t="shared" ca="1" si="84"/>
        <v>3.3529047417853785E-6</v>
      </c>
      <c r="L206">
        <f t="shared" ca="1" si="104"/>
        <v>-391209090816.73682</v>
      </c>
      <c r="M206">
        <f t="shared" ca="1" si="105"/>
        <v>-391209090859.59271</v>
      </c>
      <c r="N206">
        <f t="shared" ca="1" si="85"/>
        <v>391209090892.97607</v>
      </c>
      <c r="O206">
        <f t="shared" ca="1" si="86"/>
        <v>-391209090783.35352</v>
      </c>
      <c r="Q206">
        <f t="shared" si="106"/>
        <v>167</v>
      </c>
      <c r="R206" s="23">
        <f t="shared" si="114"/>
        <v>242.61860926241289</v>
      </c>
      <c r="S206">
        <f t="shared" ca="1" si="107"/>
        <v>0.20624997524362826</v>
      </c>
      <c r="T206" s="23">
        <f t="shared" ca="1" si="108"/>
        <v>499999.99999911519</v>
      </c>
      <c r="U206">
        <f t="shared" ca="1" si="113"/>
        <v>330611.30110934575</v>
      </c>
      <c r="V206">
        <f t="shared" ca="1" si="109"/>
        <v>450.24354464630602</v>
      </c>
      <c r="W206">
        <f t="shared" ca="1" si="110"/>
        <v>4.6337390606880717E-9</v>
      </c>
      <c r="X206">
        <f t="shared" ca="1" si="87"/>
        <v>1.5319664998552809E-3</v>
      </c>
      <c r="Y206">
        <f t="shared" ca="1" si="88"/>
        <v>0.15627615652825486</v>
      </c>
      <c r="Z206">
        <f t="shared" ca="1" si="89"/>
        <v>170.89686501192816</v>
      </c>
      <c r="AA206">
        <f t="shared" ca="1" si="90"/>
        <v>484.57378601215851</v>
      </c>
      <c r="AB206" s="6">
        <f t="shared" ca="1" si="91"/>
        <v>-3.9396989847187374E-9</v>
      </c>
      <c r="AC206">
        <f t="shared" ca="1" si="92"/>
        <v>57.327491364683262</v>
      </c>
      <c r="AD206">
        <f t="shared" ca="1" si="111"/>
        <v>14.471606803304629</v>
      </c>
      <c r="AE206">
        <f t="shared" ca="1" si="93"/>
        <v>14.900133183485828</v>
      </c>
      <c r="AF206">
        <f t="shared" ca="1" si="94"/>
        <v>86.699231351473713</v>
      </c>
      <c r="AG206">
        <f t="shared" ca="1" si="79"/>
        <v>0.64908677095376022</v>
      </c>
      <c r="AI206">
        <f t="shared" ca="1" si="95"/>
        <v>8.8100854159429764E-5</v>
      </c>
      <c r="AK206">
        <f t="shared" ca="1" si="96"/>
        <v>7.9327837916116931E-2</v>
      </c>
      <c r="AM206">
        <f t="shared" ca="1" si="97"/>
        <v>10595.906248398311</v>
      </c>
      <c r="AN206" s="6">
        <f t="shared" si="98"/>
        <v>1.9495613999999998E-5</v>
      </c>
      <c r="AO206" s="6">
        <f t="shared" ca="1" si="99"/>
        <v>4637646.9846094605</v>
      </c>
      <c r="AP206" s="6">
        <f t="shared" ca="1" si="100"/>
        <v>2.3198028546201001E-3</v>
      </c>
    </row>
    <row r="207" spans="1:42" x14ac:dyDescent="0.25">
      <c r="A207">
        <f t="shared" si="101"/>
        <v>168</v>
      </c>
      <c r="B207">
        <f t="shared" si="77"/>
        <v>6.9767553946894818</v>
      </c>
      <c r="C207">
        <f t="shared" ca="1" si="102"/>
        <v>5449521136.0427656</v>
      </c>
      <c r="D207">
        <f t="shared" si="80"/>
        <v>10000000</v>
      </c>
      <c r="E207">
        <f t="shared" ca="1" si="81"/>
        <v>10000000.000848191</v>
      </c>
      <c r="F207">
        <f t="shared" ca="1" si="103"/>
        <v>3673065895.2008615</v>
      </c>
      <c r="G207">
        <f t="shared" ca="1" si="78"/>
        <v>949.99696688562165</v>
      </c>
      <c r="H207">
        <f t="shared" ca="1" si="82"/>
        <v>9499969669.6619949</v>
      </c>
      <c r="I207">
        <f t="shared" ca="1" si="83"/>
        <v>791842534.46604168</v>
      </c>
      <c r="J207">
        <f t="shared" ca="1" si="112"/>
        <v>2154351846321.2188</v>
      </c>
      <c r="K207">
        <f t="shared" ca="1" si="84"/>
        <v>3.3326724112179537E-6</v>
      </c>
      <c r="L207">
        <f t="shared" ca="1" si="104"/>
        <v>-393584083234.15326</v>
      </c>
      <c r="M207">
        <f t="shared" ca="1" si="105"/>
        <v>-393584083277.00916</v>
      </c>
      <c r="N207">
        <f t="shared" ca="1" si="85"/>
        <v>393584083310.39252</v>
      </c>
      <c r="O207">
        <f t="shared" ca="1" si="86"/>
        <v>-393584083200.76984</v>
      </c>
      <c r="Q207">
        <f t="shared" si="106"/>
        <v>168</v>
      </c>
      <c r="R207" s="23">
        <f t="shared" si="114"/>
        <v>244.07141530590042</v>
      </c>
      <c r="S207">
        <f t="shared" ca="1" si="107"/>
        <v>0.4332889199008797</v>
      </c>
      <c r="T207" s="23">
        <f t="shared" ca="1" si="108"/>
        <v>499999.99999910948</v>
      </c>
      <c r="U207">
        <f t="shared" ca="1" si="113"/>
        <v>291102.08609663404</v>
      </c>
      <c r="V207">
        <f t="shared" ca="1" si="109"/>
        <v>560.26066563107531</v>
      </c>
      <c r="W207">
        <f t="shared" ca="1" si="110"/>
        <v>7.712632101380149E-7</v>
      </c>
      <c r="X207">
        <f t="shared" ca="1" si="87"/>
        <v>0.22451632940076277</v>
      </c>
      <c r="Y207">
        <f t="shared" ca="1" si="88"/>
        <v>22.902947969095486</v>
      </c>
      <c r="Z207">
        <f t="shared" ca="1" si="89"/>
        <v>212.03456593543791</v>
      </c>
      <c r="AA207">
        <f t="shared" ca="1" si="90"/>
        <v>481.65604780274447</v>
      </c>
      <c r="AB207" s="6">
        <f t="shared" ca="1" si="91"/>
        <v>-3.975172759483455E-9</v>
      </c>
      <c r="AC207">
        <f t="shared" ca="1" si="92"/>
        <v>40.929919417167049</v>
      </c>
      <c r="AD207">
        <f t="shared" ca="1" si="111"/>
        <v>-1.9259651442115846</v>
      </c>
      <c r="AE207">
        <f t="shared" ca="1" si="93"/>
        <v>31.29770513100204</v>
      </c>
      <c r="AF207">
        <f t="shared" ca="1" si="94"/>
        <v>70.301659403957501</v>
      </c>
      <c r="AG207">
        <f t="shared" ca="1" si="79"/>
        <v>0.65493126770462429</v>
      </c>
      <c r="AI207">
        <f t="shared" ca="1" si="95"/>
        <v>8.8894130465348831E-5</v>
      </c>
      <c r="AK207">
        <f t="shared" ca="1" si="96"/>
        <v>9.7830728753956903E-2</v>
      </c>
      <c r="AM207">
        <f t="shared" ca="1" si="97"/>
        <v>10501.350158782576</v>
      </c>
      <c r="AN207" s="6">
        <f t="shared" si="98"/>
        <v>1.9495613999999998E-5</v>
      </c>
      <c r="AO207" s="6">
        <f t="shared" ca="1" si="99"/>
        <v>4637646.9846094595</v>
      </c>
      <c r="AP207" s="6">
        <f t="shared" ca="1" si="100"/>
        <v>2.319802854620101E-3</v>
      </c>
    </row>
    <row r="208" spans="1:42" x14ac:dyDescent="0.25">
      <c r="A208">
        <f t="shared" si="101"/>
        <v>169</v>
      </c>
      <c r="B208">
        <f t="shared" si="77"/>
        <v>7.0182837006102519</v>
      </c>
      <c r="C208">
        <f t="shared" ca="1" si="102"/>
        <v>5482405015.0551491</v>
      </c>
      <c r="D208">
        <f t="shared" si="80"/>
        <v>10000000</v>
      </c>
      <c r="E208">
        <f t="shared" ca="1" si="81"/>
        <v>10000000.0008431</v>
      </c>
      <c r="F208">
        <f t="shared" ca="1" si="103"/>
        <v>3673066004.792058</v>
      </c>
      <c r="G208">
        <f t="shared" ca="1" si="78"/>
        <v>949.99696688571214</v>
      </c>
      <c r="H208">
        <f t="shared" ca="1" si="82"/>
        <v>9499969669.6580639</v>
      </c>
      <c r="I208">
        <f t="shared" ca="1" si="83"/>
        <v>791842534.46571398</v>
      </c>
      <c r="J208">
        <f t="shared" ca="1" si="112"/>
        <v>2167351785797.6094</v>
      </c>
      <c r="K208">
        <f t="shared" ca="1" si="84"/>
        <v>3.3126827907399257E-6</v>
      </c>
      <c r="L208">
        <f t="shared" ca="1" si="104"/>
        <v>-395959075651.56873</v>
      </c>
      <c r="M208">
        <f t="shared" ca="1" si="105"/>
        <v>-395959075694.42456</v>
      </c>
      <c r="N208">
        <f t="shared" ca="1" si="85"/>
        <v>395959075727.80792</v>
      </c>
      <c r="O208">
        <f t="shared" ca="1" si="86"/>
        <v>-395959075618.18536</v>
      </c>
      <c r="Q208">
        <f t="shared" si="106"/>
        <v>169</v>
      </c>
      <c r="R208" s="23">
        <f t="shared" si="114"/>
        <v>245.52422134938791</v>
      </c>
      <c r="S208">
        <f t="shared" ca="1" si="107"/>
        <v>33.706830143082541</v>
      </c>
      <c r="T208" s="23">
        <f t="shared" ca="1" si="108"/>
        <v>499999.99999910372</v>
      </c>
      <c r="U208">
        <f t="shared" ca="1" si="113"/>
        <v>506295.29263707157</v>
      </c>
      <c r="V208">
        <f t="shared" ca="1" si="109"/>
        <v>16586.66302759045</v>
      </c>
      <c r="W208">
        <f t="shared" ca="1" si="110"/>
        <v>468.45295326473894</v>
      </c>
      <c r="X208">
        <f t="shared" ca="1" si="87"/>
        <v>237175525.05987141</v>
      </c>
      <c r="Y208">
        <f t="shared" ca="1" si="88"/>
        <v>24194314616.167435</v>
      </c>
      <c r="Z208">
        <f t="shared" ca="1" si="89"/>
        <v>-12.028447429530958</v>
      </c>
      <c r="AA208">
        <f t="shared" ca="1" si="90"/>
        <v>255.86797319586017</v>
      </c>
      <c r="AB208" s="6">
        <f t="shared" ca="1" si="91"/>
        <v>3.9051981626709782E-6</v>
      </c>
      <c r="AC208">
        <f t="shared" ca="1" si="92"/>
        <v>-2362.2053091201183</v>
      </c>
      <c r="AD208">
        <f t="shared" ca="1" si="111"/>
        <v>-2405.0611936814967</v>
      </c>
      <c r="AE208">
        <f t="shared" ca="1" si="93"/>
        <v>2434.4329336682872</v>
      </c>
      <c r="AF208">
        <f t="shared" ca="1" si="94"/>
        <v>-2332.8335691333273</v>
      </c>
      <c r="AG208">
        <f t="shared" ca="1" si="79"/>
        <v>-643.40257343890141</v>
      </c>
      <c r="AI208">
        <f t="shared" ca="1" si="95"/>
        <v>-8.7329335344566036E-2</v>
      </c>
      <c r="AK208">
        <f t="shared" ca="1" si="96"/>
        <v>-2.9482011332067539E-3</v>
      </c>
      <c r="AM208">
        <f t="shared" ca="1" si="97"/>
        <v>-10.68951672875885</v>
      </c>
      <c r="AN208" s="6">
        <f t="shared" si="98"/>
        <v>1.9495613999999998E-5</v>
      </c>
      <c r="AO208" s="6">
        <f t="shared" ca="1" si="99"/>
        <v>4637646.9846094605</v>
      </c>
      <c r="AP208" s="6">
        <f t="shared" ca="1" si="100"/>
        <v>2.3198028546201001E-3</v>
      </c>
    </row>
    <row r="209" spans="1:42" x14ac:dyDescent="0.25">
      <c r="A209">
        <f t="shared" si="101"/>
        <v>170</v>
      </c>
      <c r="B209">
        <f t="shared" si="77"/>
        <v>7.0598120065310228</v>
      </c>
      <c r="C209">
        <f t="shared" ca="1" si="102"/>
        <v>5515288894.0675201</v>
      </c>
      <c r="D209">
        <f t="shared" si="80"/>
        <v>10000000</v>
      </c>
      <c r="E209">
        <f t="shared" ca="1" si="81"/>
        <v>10000000.000838075</v>
      </c>
      <c r="F209">
        <f t="shared" ca="1" si="103"/>
        <v>3673066113.7259183</v>
      </c>
      <c r="G209">
        <f t="shared" ca="1" si="78"/>
        <v>949.99696688580207</v>
      </c>
      <c r="H209">
        <f t="shared" ca="1" si="82"/>
        <v>9499969669.6541901</v>
      </c>
      <c r="I209">
        <f t="shared" ca="1" si="83"/>
        <v>791842534.46539116</v>
      </c>
      <c r="J209">
        <f t="shared" ca="1" si="112"/>
        <v>2180351725274.0156</v>
      </c>
      <c r="K209">
        <f t="shared" ca="1" si="84"/>
        <v>3.2929315390106942E-6</v>
      </c>
      <c r="L209">
        <f t="shared" ca="1" si="104"/>
        <v>-398334068068.98328</v>
      </c>
      <c r="M209">
        <f t="shared" ca="1" si="105"/>
        <v>-398334068111.83911</v>
      </c>
      <c r="N209">
        <f t="shared" ca="1" si="85"/>
        <v>398334068145.22247</v>
      </c>
      <c r="O209">
        <f t="shared" ca="1" si="86"/>
        <v>-398334068035.59991</v>
      </c>
      <c r="Q209">
        <f t="shared" si="106"/>
        <v>170</v>
      </c>
      <c r="R209" s="23">
        <f t="shared" si="114"/>
        <v>246.97702739287541</v>
      </c>
      <c r="S209">
        <f t="shared" ca="1" si="107"/>
        <v>35149646526.112808</v>
      </c>
      <c r="T209" s="23">
        <f t="shared" ca="1" si="108"/>
        <v>500000.00000477722</v>
      </c>
      <c r="U209">
        <f t="shared" ca="1" si="113"/>
        <v>500000.00001056213</v>
      </c>
      <c r="V209">
        <f t="shared" ca="1" si="109"/>
        <v>8993668823149.5547</v>
      </c>
      <c r="W209">
        <f t="shared" ca="1" si="110"/>
        <v>949.99999876125673</v>
      </c>
      <c r="X209">
        <f t="shared" ca="1" si="87"/>
        <v>474999999.39066237</v>
      </c>
      <c r="Y209">
        <f t="shared" ca="1" si="88"/>
        <v>48454828655.005478</v>
      </c>
      <c r="Z209">
        <f t="shared" ca="1" si="89"/>
        <v>-5.4736762085533632</v>
      </c>
      <c r="AA209">
        <f t="shared" ca="1" si="90"/>
        <v>5.1668994296026082E-7</v>
      </c>
      <c r="AB209" s="6">
        <f t="shared" ca="1" si="91"/>
        <v>2304280083321.665</v>
      </c>
      <c r="AC209">
        <f t="shared" ca="1" si="92"/>
        <v>-2538634324148.2817</v>
      </c>
      <c r="AD209">
        <f t="shared" ca="1" si="111"/>
        <v>-2538634324191.1372</v>
      </c>
      <c r="AE209">
        <f t="shared" ca="1" si="93"/>
        <v>2538634324220.5088</v>
      </c>
      <c r="AF209">
        <f t="shared" ca="1" si="94"/>
        <v>-2538634324118.9102</v>
      </c>
      <c r="AG209">
        <f t="shared" ca="1" si="79"/>
        <v>-3.7964444962666316E+20</v>
      </c>
      <c r="AI209">
        <f t="shared" ca="1" si="95"/>
        <v>-5.152932055578488E+16</v>
      </c>
      <c r="AK209">
        <f t="shared" ca="1" si="96"/>
        <v>-2.7091830180729295E-12</v>
      </c>
      <c r="AM209">
        <f t="shared" ca="1" si="97"/>
        <v>-1.811596351998128E-17</v>
      </c>
      <c r="AN209" s="6">
        <f t="shared" si="98"/>
        <v>1.9495613999999998E-5</v>
      </c>
      <c r="AO209" s="6">
        <f t="shared" ca="1" si="99"/>
        <v>4637621.6495276643</v>
      </c>
      <c r="AP209" s="6">
        <f t="shared" ca="1" si="100"/>
        <v>2.319804462564105E-3</v>
      </c>
    </row>
    <row r="210" spans="1:42" x14ac:dyDescent="0.25">
      <c r="A210">
        <f t="shared" si="101"/>
        <v>171</v>
      </c>
      <c r="B210">
        <f t="shared" si="77"/>
        <v>7.1013403124517938</v>
      </c>
      <c r="C210">
        <f t="shared" ca="1" si="102"/>
        <v>5548172773.0798779</v>
      </c>
      <c r="D210">
        <f t="shared" si="80"/>
        <v>10000000</v>
      </c>
      <c r="E210">
        <f t="shared" ca="1" si="81"/>
        <v>10000000.000833105</v>
      </c>
      <c r="F210">
        <f t="shared" ca="1" si="103"/>
        <v>3673066222.0102806</v>
      </c>
      <c r="G210">
        <f t="shared" ca="1" si="78"/>
        <v>949.99696688589154</v>
      </c>
      <c r="H210">
        <f t="shared" ca="1" si="82"/>
        <v>9499969669.650362</v>
      </c>
      <c r="I210">
        <f t="shared" ca="1" si="83"/>
        <v>791842534.46507204</v>
      </c>
      <c r="J210">
        <f t="shared" ca="1" si="112"/>
        <v>2193351664750.4063</v>
      </c>
      <c r="K210">
        <f t="shared" ca="1" si="84"/>
        <v>3.2734144176137893E-6</v>
      </c>
      <c r="L210">
        <f t="shared" ca="1" si="104"/>
        <v>-400709060486.39685</v>
      </c>
      <c r="M210">
        <f t="shared" ca="1" si="105"/>
        <v>-400709060529.25275</v>
      </c>
      <c r="N210">
        <f t="shared" ca="1" si="85"/>
        <v>400709060562.63611</v>
      </c>
      <c r="O210">
        <f t="shared" ca="1" si="86"/>
        <v>-400709060453.01355</v>
      </c>
      <c r="Q210">
        <f t="shared" si="106"/>
        <v>171</v>
      </c>
      <c r="R210" s="23">
        <f t="shared" si="114"/>
        <v>248.42983343636294</v>
      </c>
      <c r="S210">
        <f t="shared" ca="1" si="107"/>
        <v>105545114432.25737</v>
      </c>
      <c r="T210" s="23">
        <f t="shared" ca="1" si="108"/>
        <v>3347672530937.6577</v>
      </c>
      <c r="U210">
        <f t="shared" ca="1" si="113"/>
        <v>3347672530950.5566</v>
      </c>
      <c r="V210">
        <f t="shared" ca="1" si="109"/>
        <v>8993668859522.1855</v>
      </c>
      <c r="W210">
        <f t="shared" ca="1" si="110"/>
        <v>949.99999876125673</v>
      </c>
      <c r="X210">
        <f t="shared" ca="1" si="87"/>
        <v>3180288900256122</v>
      </c>
      <c r="Y210">
        <f t="shared" ca="1" si="88"/>
        <v>3.2442179775370234E+17</v>
      </c>
      <c r="Z210">
        <f t="shared" ca="1" si="89"/>
        <v>-5.4736762045360114</v>
      </c>
      <c r="AA210">
        <f t="shared" ca="1" si="90"/>
        <v>1.7207304164847828E-7</v>
      </c>
      <c r="AB210" s="6">
        <f t="shared" ca="1" si="91"/>
        <v>1033426.220746662</v>
      </c>
      <c r="AC210">
        <f t="shared" ca="1" si="92"/>
        <v>-7622849067626.2402</v>
      </c>
      <c r="AD210">
        <f t="shared" ca="1" si="111"/>
        <v>-7622849067669.0957</v>
      </c>
      <c r="AE210">
        <f t="shared" ca="1" si="93"/>
        <v>7622849067698.4678</v>
      </c>
      <c r="AF210">
        <f t="shared" ca="1" si="94"/>
        <v>-7622849067596.8682</v>
      </c>
      <c r="AG210">
        <f t="shared" ca="1" si="79"/>
        <v>-170263385794478.22</v>
      </c>
      <c r="AI210">
        <f t="shared" ca="1" si="95"/>
        <v>-23109929814.974846</v>
      </c>
      <c r="AK210">
        <f t="shared" ca="1" si="96"/>
        <v>-9.0223811845302573E-13</v>
      </c>
      <c r="AM210">
        <f t="shared" ca="1" si="97"/>
        <v>-4.0394034030909346E-11</v>
      </c>
      <c r="AN210" s="6">
        <f t="shared" si="98"/>
        <v>1.9495613999999998E-5</v>
      </c>
      <c r="AO210" s="6">
        <f t="shared" ca="1" si="99"/>
        <v>4637621.6495276643</v>
      </c>
      <c r="AP210" s="6">
        <f t="shared" ca="1" si="100"/>
        <v>2.319804462564105E-3</v>
      </c>
    </row>
    <row r="211" spans="1:42" x14ac:dyDescent="0.25">
      <c r="A211">
        <f t="shared" si="101"/>
        <v>172</v>
      </c>
      <c r="B211">
        <f t="shared" si="77"/>
        <v>7.1428686183725638</v>
      </c>
      <c r="C211">
        <f t="shared" ca="1" si="102"/>
        <v>5581056652.0922213</v>
      </c>
      <c r="D211">
        <f t="shared" si="80"/>
        <v>10000000</v>
      </c>
      <c r="E211">
        <f t="shared" ca="1" si="81"/>
        <v>10000000.000828199</v>
      </c>
      <c r="F211">
        <f t="shared" ca="1" si="103"/>
        <v>3673066329.6528444</v>
      </c>
      <c r="G211">
        <f t="shared" ca="1" si="78"/>
        <v>949.99696688598033</v>
      </c>
      <c r="H211">
        <f t="shared" ca="1" si="82"/>
        <v>9499969669.6465893</v>
      </c>
      <c r="I211">
        <f t="shared" ca="1" si="83"/>
        <v>791842534.46475756</v>
      </c>
      <c r="J211">
        <f t="shared" ca="1" si="112"/>
        <v>2206351604226.7969</v>
      </c>
      <c r="K211">
        <f t="shared" ca="1" si="84"/>
        <v>3.2541272880245612E-6</v>
      </c>
      <c r="L211">
        <f t="shared" ca="1" si="104"/>
        <v>-403084052903.80939</v>
      </c>
      <c r="M211">
        <f t="shared" ca="1" si="105"/>
        <v>-403084052946.66528</v>
      </c>
      <c r="N211">
        <f t="shared" ca="1" si="85"/>
        <v>403084052980.04865</v>
      </c>
      <c r="O211">
        <f t="shared" ca="1" si="86"/>
        <v>-403084052870.42596</v>
      </c>
      <c r="Q211">
        <f t="shared" si="106"/>
        <v>172</v>
      </c>
      <c r="R211" s="23">
        <f t="shared" si="114"/>
        <v>249.88263947985041</v>
      </c>
      <c r="S211">
        <f t="shared" ca="1" si="107"/>
        <v>4.7132205396076301E+17</v>
      </c>
      <c r="T211" s="23">
        <f t="shared" ca="1" si="108"/>
        <v>3347674032305.5166</v>
      </c>
      <c r="U211">
        <f t="shared" ca="1" si="113"/>
        <v>3347674032305.5166</v>
      </c>
      <c r="V211">
        <f t="shared" ca="1" si="109"/>
        <v>9074770660781.7539</v>
      </c>
      <c r="W211">
        <f t="shared" ca="1" si="110"/>
        <v>949.99999877232756</v>
      </c>
      <c r="X211">
        <f t="shared" ca="1" si="87"/>
        <v>3180290326580393.5</v>
      </c>
      <c r="Y211">
        <f t="shared" ca="1" si="88"/>
        <v>3.2442194325327763E+17</v>
      </c>
      <c r="Z211">
        <f t="shared" ca="1" si="89"/>
        <v>-5.4736762025300427</v>
      </c>
      <c r="AA211">
        <f t="shared" ca="1" si="90"/>
        <v>3.8533034313350493E-14</v>
      </c>
      <c r="AB211" s="6" t="e">
        <f t="shared" ca="1" si="91"/>
        <v>#DIV/0!</v>
      </c>
      <c r="AC211">
        <f t="shared" ca="1" si="92"/>
        <v>-3.4040579698518643E+19</v>
      </c>
      <c r="AD211">
        <f t="shared" ca="1" si="111"/>
        <v>-3.4040579698518643E+19</v>
      </c>
      <c r="AE211">
        <f t="shared" ca="1" si="93"/>
        <v>3.4040579698518643E+19</v>
      </c>
      <c r="AF211">
        <f t="shared" ca="1" si="94"/>
        <v>-3.4040579698518643E+19</v>
      </c>
      <c r="AG211">
        <f t="shared" ca="1" si="79"/>
        <v>-7.6718386830404105E+20</v>
      </c>
      <c r="AI211">
        <f t="shared" ca="1" si="95"/>
        <v>-1.0413022899173592E+17</v>
      </c>
      <c r="AK211">
        <f t="shared" ca="1" si="96"/>
        <v>0</v>
      </c>
      <c r="AM211">
        <f t="shared" ca="1" si="97"/>
        <v>0</v>
      </c>
      <c r="AN211" s="6">
        <f t="shared" si="98"/>
        <v>1.9495613999999998E-5</v>
      </c>
      <c r="AO211" s="6">
        <f t="shared" ca="1" si="99"/>
        <v>0</v>
      </c>
      <c r="AP211" s="6" t="e">
        <f t="shared" ca="1" si="100"/>
        <v>#DIV/0!</v>
      </c>
    </row>
    <row r="212" spans="1:42" x14ac:dyDescent="0.25">
      <c r="A212">
        <f t="shared" si="101"/>
        <v>173</v>
      </c>
      <c r="B212">
        <f t="shared" si="77"/>
        <v>7.1843969242933348</v>
      </c>
      <c r="C212">
        <f t="shared" ca="1" si="102"/>
        <v>5613940531.1045523</v>
      </c>
      <c r="D212">
        <f t="shared" si="80"/>
        <v>10000000</v>
      </c>
      <c r="E212">
        <f t="shared" ca="1" si="81"/>
        <v>10000000.000823349</v>
      </c>
      <c r="F212">
        <f t="shared" ca="1" si="103"/>
        <v>3673066436.6611724</v>
      </c>
      <c r="G212">
        <f t="shared" ca="1" si="78"/>
        <v>949.99696688606866</v>
      </c>
      <c r="H212">
        <f t="shared" ca="1" si="82"/>
        <v>9499969669.6428661</v>
      </c>
      <c r="I212">
        <f t="shared" ca="1" si="83"/>
        <v>791842534.46444738</v>
      </c>
      <c r="J212">
        <f t="shared" ca="1" si="112"/>
        <v>2219351543703.1406</v>
      </c>
      <c r="K212">
        <f t="shared" ca="1" si="84"/>
        <v>3.2350661086847385E-6</v>
      </c>
      <c r="L212">
        <f t="shared" ca="1" si="104"/>
        <v>-405459045321.22107</v>
      </c>
      <c r="M212">
        <f t="shared" ca="1" si="105"/>
        <v>-405459045364.0769</v>
      </c>
      <c r="N212">
        <f t="shared" ca="1" si="85"/>
        <v>405459045397.46027</v>
      </c>
      <c r="O212">
        <f t="shared" ca="1" si="86"/>
        <v>-405459045287.83771</v>
      </c>
      <c r="Q212">
        <f t="shared" si="106"/>
        <v>173</v>
      </c>
      <c r="R212" s="23">
        <f t="shared" si="114"/>
        <v>251.33544552333791</v>
      </c>
      <c r="S212">
        <f t="shared" ca="1" si="107"/>
        <v>9.4264421375908314E+17</v>
      </c>
      <c r="T212" s="23" t="e">
        <f t="shared" ca="1" si="108"/>
        <v>#DIV/0!</v>
      </c>
      <c r="U212" t="e">
        <f t="shared" ca="1" si="113"/>
        <v>#DIV/0!</v>
      </c>
      <c r="V212">
        <f t="shared" ca="1" si="109"/>
        <v>9074770678943.2266</v>
      </c>
      <c r="W212">
        <f t="shared" ca="1" si="110"/>
        <v>949.99999877232756</v>
      </c>
      <c r="X212" t="e">
        <f t="shared" ca="1" si="87"/>
        <v>#DIV/0!</v>
      </c>
      <c r="Y212" t="e">
        <f t="shared" ca="1" si="88"/>
        <v>#DIV/0!</v>
      </c>
      <c r="Z212">
        <f t="shared" ca="1" si="89"/>
        <v>-5.4736762025300543</v>
      </c>
      <c r="AA212">
        <f t="shared" ca="1" si="90"/>
        <v>1.9266514993482478E-14</v>
      </c>
      <c r="AB212" s="6" t="e">
        <f t="shared" ca="1" si="91"/>
        <v>#DIV/0!</v>
      </c>
      <c r="AC212">
        <f t="shared" ca="1" si="92"/>
        <v>-6.8081167041007616E+19</v>
      </c>
      <c r="AD212">
        <f t="shared" ca="1" si="111"/>
        <v>-6.8081167041007616E+19</v>
      </c>
      <c r="AE212">
        <f t="shared" ca="1" si="93"/>
        <v>6.8081167041007616E+19</v>
      </c>
      <c r="AF212">
        <f t="shared" ca="1" si="94"/>
        <v>-6.8081167041007616E+19</v>
      </c>
      <c r="AG212" t="e">
        <f t="shared" ca="1" si="79"/>
        <v>#DIV/0!</v>
      </c>
      <c r="AI212" t="e">
        <f t="shared" ca="1" si="95"/>
        <v>#DIV/0!</v>
      </c>
      <c r="AK212">
        <f t="shared" ca="1" si="96"/>
        <v>1.5401851137017185E-17</v>
      </c>
      <c r="AM212" t="e">
        <f t="shared" ca="1" si="97"/>
        <v>#DIV/0!</v>
      </c>
      <c r="AN212" s="6">
        <f t="shared" si="98"/>
        <v>1.9495613999999998E-5</v>
      </c>
      <c r="AO212" s="6" t="e">
        <f t="shared" ca="1" si="99"/>
        <v>#DIV/0!</v>
      </c>
      <c r="AP212" s="6" t="e">
        <f t="shared" ca="1" si="100"/>
        <v>#DIV/0!</v>
      </c>
    </row>
    <row r="213" spans="1:42" x14ac:dyDescent="0.25">
      <c r="A213">
        <f t="shared" si="101"/>
        <v>174</v>
      </c>
      <c r="B213">
        <f t="shared" si="77"/>
        <v>7.2259252302141066</v>
      </c>
      <c r="C213">
        <f t="shared" ca="1" si="102"/>
        <v>5646824410.1168709</v>
      </c>
      <c r="D213">
        <f t="shared" si="80"/>
        <v>10000000</v>
      </c>
      <c r="E213">
        <f t="shared" ca="1" si="81"/>
        <v>10000000.000818552</v>
      </c>
      <c r="F213">
        <f t="shared" ca="1" si="103"/>
        <v>3673066543.042695</v>
      </c>
      <c r="G213">
        <f t="shared" ca="1" si="78"/>
        <v>949.99696688615654</v>
      </c>
      <c r="H213">
        <f t="shared" ca="1" si="82"/>
        <v>9499969669.6391869</v>
      </c>
      <c r="I213">
        <f t="shared" ca="1" si="83"/>
        <v>791842534.46414053</v>
      </c>
      <c r="J213">
        <f t="shared" ca="1" si="112"/>
        <v>2232351483179.5313</v>
      </c>
      <c r="K213">
        <f t="shared" ca="1" si="84"/>
        <v>3.2162269321787503E-6</v>
      </c>
      <c r="L213">
        <f t="shared" ca="1" si="104"/>
        <v>-407834037738.63184</v>
      </c>
      <c r="M213">
        <f t="shared" ca="1" si="105"/>
        <v>-407834037781.48773</v>
      </c>
      <c r="N213">
        <f t="shared" ca="1" si="85"/>
        <v>407834037814.87109</v>
      </c>
      <c r="O213">
        <f t="shared" ca="1" si="86"/>
        <v>-407834037705.24854</v>
      </c>
      <c r="Q213">
        <f t="shared" si="106"/>
        <v>174</v>
      </c>
      <c r="R213" s="23">
        <f t="shared" si="114"/>
        <v>252.78825156682541</v>
      </c>
      <c r="S213" t="e">
        <f t="shared" ca="1" si="107"/>
        <v>#DIV/0!</v>
      </c>
      <c r="T213" s="23" t="e">
        <f t="shared" ca="1" si="108"/>
        <v>#DIV/0!</v>
      </c>
      <c r="U213" t="e">
        <f t="shared" ca="1" si="113"/>
        <v>#DIV/0!</v>
      </c>
      <c r="V213" t="e">
        <f t="shared" ca="1" si="109"/>
        <v>#DIV/0!</v>
      </c>
      <c r="W213" t="e">
        <f t="shared" ca="1" si="110"/>
        <v>#DIV/0!</v>
      </c>
      <c r="X213" t="e">
        <f t="shared" ca="1" si="87"/>
        <v>#DIV/0!</v>
      </c>
      <c r="Y213" t="e">
        <f t="shared" ca="1" si="88"/>
        <v>#DIV/0!</v>
      </c>
      <c r="Z213" t="e">
        <f t="shared" ca="1" si="89"/>
        <v>#DIV/0!</v>
      </c>
      <c r="AA213" t="e">
        <f t="shared" ca="1" si="90"/>
        <v>#DIV/0!</v>
      </c>
      <c r="AB213" s="6" t="e">
        <f t="shared" ca="1" si="91"/>
        <v>#DIV/0!</v>
      </c>
      <c r="AC213" t="e">
        <f t="shared" ca="1" si="92"/>
        <v>#DIV/0!</v>
      </c>
      <c r="AD213" t="e">
        <f t="shared" ca="1" si="111"/>
        <v>#DIV/0!</v>
      </c>
      <c r="AE213" t="e">
        <f t="shared" ca="1" si="93"/>
        <v>#DIV/0!</v>
      </c>
      <c r="AF213" t="e">
        <f t="shared" ca="1" si="94"/>
        <v>#DIV/0!</v>
      </c>
      <c r="AG213" t="e">
        <f t="shared" ca="1" si="79"/>
        <v>#DIV/0!</v>
      </c>
      <c r="AI213" t="e">
        <f t="shared" ca="1" si="95"/>
        <v>#DIV/0!</v>
      </c>
      <c r="AK213" t="e">
        <f t="shared" ca="1" si="96"/>
        <v>#DIV/0!</v>
      </c>
      <c r="AM213" t="e">
        <f t="shared" ca="1" si="97"/>
        <v>#DIV/0!</v>
      </c>
      <c r="AN213" s="6">
        <f t="shared" si="98"/>
        <v>1.9495613999999998E-5</v>
      </c>
      <c r="AO213" s="6" t="e">
        <f t="shared" ca="1" si="99"/>
        <v>#DIV/0!</v>
      </c>
      <c r="AP213" s="6" t="e">
        <f t="shared" ca="1" si="100"/>
        <v>#DIV/0!</v>
      </c>
    </row>
    <row r="214" spans="1:42" x14ac:dyDescent="0.25">
      <c r="A214">
        <f>A213+1</f>
        <v>175</v>
      </c>
      <c r="B214">
        <f t="shared" si="77"/>
        <v>7.2674535361348775</v>
      </c>
      <c r="C214">
        <f t="shared" ca="1" si="102"/>
        <v>5679708289.1291761</v>
      </c>
      <c r="D214">
        <f t="shared" si="80"/>
        <v>10000000</v>
      </c>
      <c r="E214">
        <f t="shared" ca="1" si="81"/>
        <v>10000000.000813814</v>
      </c>
      <c r="F214">
        <f t="shared" ca="1" si="103"/>
        <v>3673066648.8047123</v>
      </c>
      <c r="G214">
        <f t="shared" ca="1" si="78"/>
        <v>949.99696688624385</v>
      </c>
      <c r="H214">
        <f t="shared" ca="1" si="82"/>
        <v>9499969669.6355591</v>
      </c>
      <c r="I214">
        <f t="shared" ca="1" si="83"/>
        <v>791842534.46383822</v>
      </c>
      <c r="J214">
        <f t="shared" ca="1" si="112"/>
        <v>2245351422655.8906</v>
      </c>
      <c r="K214">
        <f t="shared" ca="1" si="84"/>
        <v>3.1976059025088802E-6</v>
      </c>
      <c r="L214">
        <f t="shared" ca="1" si="104"/>
        <v>-410209030156.04163</v>
      </c>
      <c r="M214">
        <f t="shared" ca="1" si="105"/>
        <v>-410209030198.89746</v>
      </c>
      <c r="N214">
        <f t="shared" ca="1" si="85"/>
        <v>410209030232.28082</v>
      </c>
      <c r="O214">
        <f t="shared" ca="1" si="86"/>
        <v>-410209030122.65826</v>
      </c>
      <c r="Q214">
        <f>Q213+1</f>
        <v>175</v>
      </c>
      <c r="R214" s="23">
        <f t="shared" si="114"/>
        <v>254.24105761031294</v>
      </c>
      <c r="S214" t="e">
        <f t="shared" ca="1" si="107"/>
        <v>#DIV/0!</v>
      </c>
      <c r="T214" s="23" t="e">
        <f t="shared" ca="1" si="108"/>
        <v>#DIV/0!</v>
      </c>
      <c r="U214" t="e">
        <f t="shared" ca="1" si="113"/>
        <v>#DIV/0!</v>
      </c>
      <c r="V214" t="e">
        <f t="shared" ca="1" si="109"/>
        <v>#DIV/0!</v>
      </c>
      <c r="W214" t="e">
        <f t="shared" ca="1" si="110"/>
        <v>#DIV/0!</v>
      </c>
      <c r="X214" t="e">
        <f t="shared" ca="1" si="87"/>
        <v>#DIV/0!</v>
      </c>
      <c r="Y214" t="e">
        <f t="shared" ca="1" si="88"/>
        <v>#DIV/0!</v>
      </c>
      <c r="Z214" t="e">
        <f t="shared" ca="1" si="89"/>
        <v>#DIV/0!</v>
      </c>
      <c r="AA214" t="e">
        <f t="shared" ca="1" si="90"/>
        <v>#DIV/0!</v>
      </c>
      <c r="AB214" s="6" t="e">
        <f t="shared" ca="1" si="91"/>
        <v>#DIV/0!</v>
      </c>
      <c r="AC214" t="e">
        <f t="shared" ca="1" si="92"/>
        <v>#DIV/0!</v>
      </c>
      <c r="AD214" t="e">
        <f t="shared" ca="1" si="111"/>
        <v>#DIV/0!</v>
      </c>
      <c r="AE214" t="e">
        <f t="shared" ca="1" si="93"/>
        <v>#DIV/0!</v>
      </c>
      <c r="AF214" t="e">
        <f t="shared" ca="1" si="94"/>
        <v>#DIV/0!</v>
      </c>
      <c r="AG214" t="e">
        <f t="shared" ca="1" si="79"/>
        <v>#DIV/0!</v>
      </c>
      <c r="AI214" t="e">
        <f t="shared" ca="1" si="95"/>
        <v>#DIV/0!</v>
      </c>
      <c r="AK214" t="e">
        <f t="shared" ca="1" si="96"/>
        <v>#DIV/0!</v>
      </c>
      <c r="AM214" t="e">
        <f t="shared" ca="1" si="97"/>
        <v>#DIV/0!</v>
      </c>
      <c r="AN214" s="6">
        <f t="shared" si="98"/>
        <v>1.9495613999999998E-5</v>
      </c>
      <c r="AO214" s="6" t="e">
        <f t="shared" ca="1" si="99"/>
        <v>#DIV/0!</v>
      </c>
      <c r="AP214" s="6" t="e">
        <f t="shared" ca="1" si="100"/>
        <v>#DIV/0!</v>
      </c>
    </row>
    <row r="215" spans="1:42" x14ac:dyDescent="0.25">
      <c r="A215">
        <f t="shared" ref="A215:A227" si="115">A214+1</f>
        <v>176</v>
      </c>
      <c r="B215">
        <f t="shared" si="77"/>
        <v>7.3089818420556476</v>
      </c>
      <c r="C215">
        <f t="shared" ca="1" si="102"/>
        <v>5712592168.141468</v>
      </c>
      <c r="D215">
        <f t="shared" si="80"/>
        <v>10000000</v>
      </c>
      <c r="E215">
        <f t="shared" ca="1" si="81"/>
        <v>10000000.000809127</v>
      </c>
      <c r="F215">
        <f t="shared" ca="1" si="103"/>
        <v>3673066753.9543982</v>
      </c>
      <c r="G215">
        <f t="shared" ca="1" si="78"/>
        <v>949.99696688633071</v>
      </c>
      <c r="H215">
        <f t="shared" ca="1" si="82"/>
        <v>9499969669.6319752</v>
      </c>
      <c r="I215">
        <f t="shared" ca="1" si="83"/>
        <v>791842534.46353948</v>
      </c>
      <c r="J215">
        <f t="shared" ca="1" si="112"/>
        <v>2258351362132.2656</v>
      </c>
      <c r="K215">
        <f t="shared" ca="1" si="84"/>
        <v>3.1791992524636597E-6</v>
      </c>
      <c r="L215">
        <f t="shared" ca="1" si="104"/>
        <v>-412584022573.45044</v>
      </c>
      <c r="M215">
        <f t="shared" ca="1" si="105"/>
        <v>-412584022616.30634</v>
      </c>
      <c r="N215">
        <f t="shared" ca="1" si="85"/>
        <v>412584022649.6897</v>
      </c>
      <c r="O215">
        <f t="shared" ca="1" si="86"/>
        <v>-412584022540.06714</v>
      </c>
      <c r="Q215">
        <f t="shared" ref="Q215:Q227" si="116">Q214+1</f>
        <v>176</v>
      </c>
      <c r="R215" s="23">
        <f t="shared" si="114"/>
        <v>255.69386365380043</v>
      </c>
      <c r="S215" t="e">
        <f t="shared" ca="1" si="107"/>
        <v>#DIV/0!</v>
      </c>
      <c r="T215" s="23" t="e">
        <f t="shared" ca="1" si="108"/>
        <v>#DIV/0!</v>
      </c>
      <c r="U215" t="e">
        <f t="shared" ca="1" si="113"/>
        <v>#DIV/0!</v>
      </c>
      <c r="V215" t="e">
        <f t="shared" ca="1" si="109"/>
        <v>#DIV/0!</v>
      </c>
      <c r="W215" t="e">
        <f t="shared" ca="1" si="110"/>
        <v>#DIV/0!</v>
      </c>
      <c r="X215" t="e">
        <f t="shared" ca="1" si="87"/>
        <v>#DIV/0!</v>
      </c>
      <c r="Y215" t="e">
        <f t="shared" ca="1" si="88"/>
        <v>#DIV/0!</v>
      </c>
      <c r="Z215" t="e">
        <f t="shared" ca="1" si="89"/>
        <v>#DIV/0!</v>
      </c>
      <c r="AA215" t="e">
        <f t="shared" ca="1" si="90"/>
        <v>#DIV/0!</v>
      </c>
      <c r="AB215" s="6" t="e">
        <f t="shared" ca="1" si="91"/>
        <v>#DIV/0!</v>
      </c>
      <c r="AC215" t="e">
        <f t="shared" ca="1" si="92"/>
        <v>#DIV/0!</v>
      </c>
      <c r="AD215" t="e">
        <f t="shared" ca="1" si="111"/>
        <v>#DIV/0!</v>
      </c>
      <c r="AE215" t="e">
        <f t="shared" ca="1" si="93"/>
        <v>#DIV/0!</v>
      </c>
      <c r="AF215" t="e">
        <f t="shared" ca="1" si="94"/>
        <v>#DIV/0!</v>
      </c>
      <c r="AG215" t="e">
        <f t="shared" ca="1" si="79"/>
        <v>#DIV/0!</v>
      </c>
      <c r="AI215" t="e">
        <f t="shared" ca="1" si="95"/>
        <v>#DIV/0!</v>
      </c>
      <c r="AK215" t="e">
        <f t="shared" ca="1" si="96"/>
        <v>#DIV/0!</v>
      </c>
      <c r="AM215" t="e">
        <f t="shared" ca="1" si="97"/>
        <v>#DIV/0!</v>
      </c>
      <c r="AN215" s="6">
        <f t="shared" si="98"/>
        <v>1.9495613999999998E-5</v>
      </c>
      <c r="AO215" s="6" t="e">
        <f t="shared" ca="1" si="99"/>
        <v>#DIV/0!</v>
      </c>
      <c r="AP215" s="6" t="e">
        <f t="shared" ca="1" si="100"/>
        <v>#DIV/0!</v>
      </c>
    </row>
    <row r="216" spans="1:42" x14ac:dyDescent="0.25">
      <c r="A216">
        <f t="shared" si="115"/>
        <v>177</v>
      </c>
      <c r="B216">
        <f t="shared" si="77"/>
        <v>7.3505101479764186</v>
      </c>
      <c r="C216">
        <f t="shared" ca="1" si="102"/>
        <v>5745476047.1537485</v>
      </c>
      <c r="D216">
        <f t="shared" si="80"/>
        <v>10000000</v>
      </c>
      <c r="E216">
        <f t="shared" ca="1" si="81"/>
        <v>10000000.000804499</v>
      </c>
      <c r="F216">
        <f t="shared" ca="1" si="103"/>
        <v>3673066858.4988017</v>
      </c>
      <c r="G216">
        <f t="shared" ca="1" si="78"/>
        <v>949.99696688641711</v>
      </c>
      <c r="H216">
        <f t="shared" ca="1" si="82"/>
        <v>9499969669.6284428</v>
      </c>
      <c r="I216">
        <f t="shared" ca="1" si="83"/>
        <v>791842534.46324503</v>
      </c>
      <c r="J216">
        <f t="shared" ca="1" si="112"/>
        <v>2271351301608.6094</v>
      </c>
      <c r="K216">
        <f t="shared" ca="1" si="84"/>
        <v>3.1610033010773662E-6</v>
      </c>
      <c r="L216">
        <f t="shared" ca="1" si="104"/>
        <v>-414959014990.85846</v>
      </c>
      <c r="M216">
        <f t="shared" ca="1" si="105"/>
        <v>-414959015033.71429</v>
      </c>
      <c r="N216">
        <f t="shared" ca="1" si="85"/>
        <v>414959015067.09766</v>
      </c>
      <c r="O216">
        <f t="shared" ca="1" si="86"/>
        <v>-414959014957.4751</v>
      </c>
      <c r="Q216">
        <f t="shared" si="116"/>
        <v>177</v>
      </c>
      <c r="R216" s="23">
        <f t="shared" si="114"/>
        <v>257.14666969728796</v>
      </c>
      <c r="S216" t="e">
        <f t="shared" ca="1" si="107"/>
        <v>#DIV/0!</v>
      </c>
      <c r="T216" s="23" t="e">
        <f t="shared" ca="1" si="108"/>
        <v>#DIV/0!</v>
      </c>
      <c r="U216" t="e">
        <f t="shared" ca="1" si="113"/>
        <v>#DIV/0!</v>
      </c>
      <c r="V216" t="e">
        <f t="shared" ca="1" si="109"/>
        <v>#DIV/0!</v>
      </c>
      <c r="W216" t="e">
        <f t="shared" ca="1" si="110"/>
        <v>#DIV/0!</v>
      </c>
      <c r="X216" t="e">
        <f t="shared" ca="1" si="87"/>
        <v>#DIV/0!</v>
      </c>
      <c r="Y216" t="e">
        <f t="shared" ca="1" si="88"/>
        <v>#DIV/0!</v>
      </c>
      <c r="Z216" t="e">
        <f t="shared" ca="1" si="89"/>
        <v>#DIV/0!</v>
      </c>
      <c r="AA216" t="e">
        <f t="shared" ca="1" si="90"/>
        <v>#DIV/0!</v>
      </c>
      <c r="AB216" s="6" t="e">
        <f t="shared" ca="1" si="91"/>
        <v>#DIV/0!</v>
      </c>
      <c r="AC216" t="e">
        <f t="shared" ca="1" si="92"/>
        <v>#DIV/0!</v>
      </c>
      <c r="AD216" t="e">
        <f t="shared" ca="1" si="111"/>
        <v>#DIV/0!</v>
      </c>
      <c r="AE216" t="e">
        <f t="shared" ca="1" si="93"/>
        <v>#DIV/0!</v>
      </c>
      <c r="AF216" t="e">
        <f t="shared" ca="1" si="94"/>
        <v>#DIV/0!</v>
      </c>
      <c r="AG216" t="e">
        <f t="shared" ca="1" si="79"/>
        <v>#DIV/0!</v>
      </c>
      <c r="AI216" t="e">
        <f t="shared" ca="1" si="95"/>
        <v>#DIV/0!</v>
      </c>
      <c r="AK216" t="e">
        <f t="shared" ca="1" si="96"/>
        <v>#DIV/0!</v>
      </c>
      <c r="AM216" t="e">
        <f t="shared" ca="1" si="97"/>
        <v>#DIV/0!</v>
      </c>
      <c r="AN216" s="6">
        <f t="shared" si="98"/>
        <v>1.9495613999999998E-5</v>
      </c>
      <c r="AO216" s="6" t="e">
        <f t="shared" ca="1" si="99"/>
        <v>#DIV/0!</v>
      </c>
      <c r="AP216" s="6" t="e">
        <f t="shared" ca="1" si="100"/>
        <v>#DIV/0!</v>
      </c>
    </row>
    <row r="217" spans="1:42" x14ac:dyDescent="0.25">
      <c r="A217">
        <f t="shared" si="115"/>
        <v>178</v>
      </c>
      <c r="B217">
        <f t="shared" si="77"/>
        <v>7.3920384538971895</v>
      </c>
      <c r="C217">
        <f t="shared" ca="1" si="102"/>
        <v>5778359926.1660166</v>
      </c>
      <c r="D217">
        <f t="shared" si="80"/>
        <v>10000000</v>
      </c>
      <c r="E217">
        <f t="shared" ca="1" si="81"/>
        <v>10000000.00079992</v>
      </c>
      <c r="F217">
        <f t="shared" ca="1" si="103"/>
        <v>3673066962.4448519</v>
      </c>
      <c r="G217">
        <f t="shared" ca="1" si="78"/>
        <v>949.99696688650295</v>
      </c>
      <c r="H217">
        <f t="shared" ca="1" si="82"/>
        <v>9499969669.6249523</v>
      </c>
      <c r="I217">
        <f t="shared" ca="1" si="83"/>
        <v>791842534.46295416</v>
      </c>
      <c r="J217">
        <f t="shared" ca="1" si="112"/>
        <v>2284351241084.9531</v>
      </c>
      <c r="K217">
        <f t="shared" ca="1" si="84"/>
        <v>3.1430144511757147E-6</v>
      </c>
      <c r="L217">
        <f t="shared" ca="1" si="104"/>
        <v>-417334007408.26556</v>
      </c>
      <c r="M217">
        <f t="shared" ca="1" si="105"/>
        <v>-417334007451.1214</v>
      </c>
      <c r="N217">
        <f t="shared" ca="1" si="85"/>
        <v>417334007484.50476</v>
      </c>
      <c r="O217">
        <f t="shared" ca="1" si="86"/>
        <v>-417334007374.8822</v>
      </c>
      <c r="Q217">
        <f t="shared" si="116"/>
        <v>178</v>
      </c>
      <c r="R217" s="23">
        <f t="shared" si="114"/>
        <v>258.59947574077546</v>
      </c>
      <c r="S217" t="e">
        <f t="shared" ca="1" si="107"/>
        <v>#DIV/0!</v>
      </c>
      <c r="T217" s="23" t="e">
        <f t="shared" ca="1" si="108"/>
        <v>#DIV/0!</v>
      </c>
      <c r="U217" t="e">
        <f t="shared" ca="1" si="113"/>
        <v>#DIV/0!</v>
      </c>
      <c r="V217" t="e">
        <f t="shared" ca="1" si="109"/>
        <v>#DIV/0!</v>
      </c>
      <c r="W217" t="e">
        <f t="shared" ca="1" si="110"/>
        <v>#DIV/0!</v>
      </c>
      <c r="X217" t="e">
        <f t="shared" ca="1" si="87"/>
        <v>#DIV/0!</v>
      </c>
      <c r="Y217" t="e">
        <f t="shared" ca="1" si="88"/>
        <v>#DIV/0!</v>
      </c>
      <c r="Z217" t="e">
        <f t="shared" ca="1" si="89"/>
        <v>#DIV/0!</v>
      </c>
      <c r="AA217" t="e">
        <f t="shared" ca="1" si="90"/>
        <v>#DIV/0!</v>
      </c>
      <c r="AB217" s="6" t="e">
        <f t="shared" ca="1" si="91"/>
        <v>#DIV/0!</v>
      </c>
      <c r="AC217" t="e">
        <f t="shared" ca="1" si="92"/>
        <v>#DIV/0!</v>
      </c>
      <c r="AD217" t="e">
        <f t="shared" ca="1" si="111"/>
        <v>#DIV/0!</v>
      </c>
      <c r="AE217" t="e">
        <f t="shared" ca="1" si="93"/>
        <v>#DIV/0!</v>
      </c>
      <c r="AF217" t="e">
        <f t="shared" ca="1" si="94"/>
        <v>#DIV/0!</v>
      </c>
      <c r="AG217" t="e">
        <f t="shared" ca="1" si="79"/>
        <v>#DIV/0!</v>
      </c>
      <c r="AI217" t="e">
        <f t="shared" ca="1" si="95"/>
        <v>#DIV/0!</v>
      </c>
      <c r="AK217" t="e">
        <f t="shared" ca="1" si="96"/>
        <v>#DIV/0!</v>
      </c>
      <c r="AM217" t="e">
        <f t="shared" ca="1" si="97"/>
        <v>#DIV/0!</v>
      </c>
      <c r="AN217" s="6">
        <f t="shared" si="98"/>
        <v>1.9495613999999998E-5</v>
      </c>
      <c r="AO217" s="6" t="e">
        <f t="shared" ca="1" si="99"/>
        <v>#DIV/0!</v>
      </c>
      <c r="AP217" s="6" t="e">
        <f t="shared" ca="1" si="100"/>
        <v>#DIV/0!</v>
      </c>
    </row>
    <row r="218" spans="1:42" x14ac:dyDescent="0.25">
      <c r="A218">
        <f t="shared" si="115"/>
        <v>179</v>
      </c>
      <c r="B218">
        <f t="shared" si="77"/>
        <v>7.4335667598179604</v>
      </c>
      <c r="C218">
        <f t="shared" ca="1" si="102"/>
        <v>5811243805.1782732</v>
      </c>
      <c r="D218">
        <f t="shared" si="80"/>
        <v>10000000</v>
      </c>
      <c r="E218">
        <f t="shared" ca="1" si="81"/>
        <v>10000000.000795394</v>
      </c>
      <c r="F218">
        <f t="shared" ca="1" si="103"/>
        <v>3673067065.7993588</v>
      </c>
      <c r="G218">
        <f t="shared" ca="1" si="78"/>
        <v>949.99696688658821</v>
      </c>
      <c r="H218">
        <f t="shared" ca="1" si="82"/>
        <v>9499969669.6215038</v>
      </c>
      <c r="I218">
        <f t="shared" ca="1" si="83"/>
        <v>791842534.46266675</v>
      </c>
      <c r="J218">
        <f t="shared" ca="1" si="112"/>
        <v>2297351180561.3125</v>
      </c>
      <c r="K218">
        <f t="shared" ca="1" si="84"/>
        <v>3.1252291870052519E-6</v>
      </c>
      <c r="L218">
        <f t="shared" ca="1" si="104"/>
        <v>-419708999825.67181</v>
      </c>
      <c r="M218">
        <f t="shared" ca="1" si="105"/>
        <v>-419708999868.52771</v>
      </c>
      <c r="N218">
        <f t="shared" ca="1" si="85"/>
        <v>419708999901.91107</v>
      </c>
      <c r="O218">
        <f t="shared" ca="1" si="86"/>
        <v>-419708999792.28839</v>
      </c>
      <c r="Q218">
        <f t="shared" si="116"/>
        <v>179</v>
      </c>
      <c r="R218" s="23">
        <f t="shared" si="114"/>
        <v>260.0522817842629</v>
      </c>
      <c r="S218" t="e">
        <f t="shared" ca="1" si="107"/>
        <v>#DIV/0!</v>
      </c>
      <c r="T218" s="23" t="e">
        <f t="shared" ca="1" si="108"/>
        <v>#DIV/0!</v>
      </c>
      <c r="U218" t="e">
        <f t="shared" ca="1" si="113"/>
        <v>#DIV/0!</v>
      </c>
      <c r="V218" t="e">
        <f t="shared" ca="1" si="109"/>
        <v>#DIV/0!</v>
      </c>
      <c r="W218" t="e">
        <f t="shared" ca="1" si="110"/>
        <v>#DIV/0!</v>
      </c>
      <c r="X218" t="e">
        <f t="shared" ca="1" si="87"/>
        <v>#DIV/0!</v>
      </c>
      <c r="Y218" t="e">
        <f t="shared" ca="1" si="88"/>
        <v>#DIV/0!</v>
      </c>
      <c r="Z218" t="e">
        <f t="shared" ca="1" si="89"/>
        <v>#DIV/0!</v>
      </c>
      <c r="AA218" t="e">
        <f t="shared" ca="1" si="90"/>
        <v>#DIV/0!</v>
      </c>
      <c r="AB218" s="6" t="e">
        <f t="shared" ca="1" si="91"/>
        <v>#DIV/0!</v>
      </c>
      <c r="AC218" t="e">
        <f t="shared" ca="1" si="92"/>
        <v>#DIV/0!</v>
      </c>
      <c r="AD218" t="e">
        <f t="shared" ca="1" si="111"/>
        <v>#DIV/0!</v>
      </c>
      <c r="AE218" t="e">
        <f t="shared" ca="1" si="93"/>
        <v>#DIV/0!</v>
      </c>
      <c r="AF218" t="e">
        <f t="shared" ca="1" si="94"/>
        <v>#DIV/0!</v>
      </c>
      <c r="AG218" t="e">
        <f t="shared" ca="1" si="79"/>
        <v>#DIV/0!</v>
      </c>
      <c r="AI218" t="e">
        <f t="shared" ca="1" si="95"/>
        <v>#DIV/0!</v>
      </c>
      <c r="AK218" t="e">
        <f t="shared" ca="1" si="96"/>
        <v>#DIV/0!</v>
      </c>
      <c r="AM218" t="e">
        <f t="shared" ca="1" si="97"/>
        <v>#DIV/0!</v>
      </c>
      <c r="AN218" s="6">
        <f t="shared" si="98"/>
        <v>1.9495613999999998E-5</v>
      </c>
      <c r="AO218" s="6" t="e">
        <f t="shared" ca="1" si="99"/>
        <v>#DIV/0!</v>
      </c>
      <c r="AP218" s="6" t="e">
        <f t="shared" ca="1" si="100"/>
        <v>#DIV/0!</v>
      </c>
    </row>
    <row r="219" spans="1:42" x14ac:dyDescent="0.25">
      <c r="A219">
        <f t="shared" si="115"/>
        <v>180</v>
      </c>
      <c r="B219">
        <f t="shared" si="77"/>
        <v>7.4750950657387305</v>
      </c>
      <c r="C219">
        <f t="shared" ca="1" si="102"/>
        <v>5844127684.1905165</v>
      </c>
      <c r="D219">
        <f t="shared" si="80"/>
        <v>10000000</v>
      </c>
      <c r="E219">
        <f t="shared" ca="1" si="81"/>
        <v>10000000.000790916</v>
      </c>
      <c r="F219">
        <f t="shared" ca="1" si="103"/>
        <v>3673067168.5690174</v>
      </c>
      <c r="G219">
        <f t="shared" ca="1" si="78"/>
        <v>949.99696688667314</v>
      </c>
      <c r="H219">
        <f t="shared" ca="1" si="82"/>
        <v>9499969669.6180992</v>
      </c>
      <c r="I219">
        <f t="shared" ca="1" si="83"/>
        <v>791842534.46238291</v>
      </c>
      <c r="J219">
        <f t="shared" ca="1" si="112"/>
        <v>2310351120037.6563</v>
      </c>
      <c r="K219">
        <f t="shared" ca="1" si="84"/>
        <v>3.1076440719426943E-6</v>
      </c>
      <c r="L219">
        <f t="shared" ca="1" si="104"/>
        <v>-422083992243.07715</v>
      </c>
      <c r="M219">
        <f t="shared" ca="1" si="105"/>
        <v>-422083992285.93304</v>
      </c>
      <c r="N219">
        <f t="shared" ca="1" si="85"/>
        <v>422083992319.31641</v>
      </c>
      <c r="O219">
        <f t="shared" ca="1" si="86"/>
        <v>-422083992209.69385</v>
      </c>
      <c r="Q219">
        <f t="shared" si="116"/>
        <v>180</v>
      </c>
      <c r="R219" s="23">
        <f t="shared" si="114"/>
        <v>261.50508782775046</v>
      </c>
      <c r="S219" t="e">
        <f t="shared" ca="1" si="107"/>
        <v>#DIV/0!</v>
      </c>
      <c r="T219" s="23" t="e">
        <f t="shared" ca="1" si="108"/>
        <v>#DIV/0!</v>
      </c>
      <c r="U219" t="e">
        <f t="shared" ca="1" si="113"/>
        <v>#DIV/0!</v>
      </c>
      <c r="V219" t="e">
        <f t="shared" ca="1" si="109"/>
        <v>#DIV/0!</v>
      </c>
      <c r="W219" t="e">
        <f t="shared" ca="1" si="110"/>
        <v>#DIV/0!</v>
      </c>
      <c r="X219" t="e">
        <f t="shared" ca="1" si="87"/>
        <v>#DIV/0!</v>
      </c>
      <c r="Y219" t="e">
        <f t="shared" ca="1" si="88"/>
        <v>#DIV/0!</v>
      </c>
      <c r="Z219" t="e">
        <f t="shared" ca="1" si="89"/>
        <v>#DIV/0!</v>
      </c>
      <c r="AA219" t="e">
        <f t="shared" ca="1" si="90"/>
        <v>#DIV/0!</v>
      </c>
      <c r="AB219" s="6" t="e">
        <f t="shared" ca="1" si="91"/>
        <v>#DIV/0!</v>
      </c>
      <c r="AC219" t="e">
        <f t="shared" ca="1" si="92"/>
        <v>#DIV/0!</v>
      </c>
      <c r="AD219" t="e">
        <f t="shared" ca="1" si="111"/>
        <v>#DIV/0!</v>
      </c>
      <c r="AE219" t="e">
        <f t="shared" ca="1" si="93"/>
        <v>#DIV/0!</v>
      </c>
      <c r="AF219" t="e">
        <f t="shared" ca="1" si="94"/>
        <v>#DIV/0!</v>
      </c>
      <c r="AG219" t="e">
        <f t="shared" ca="1" si="79"/>
        <v>#DIV/0!</v>
      </c>
      <c r="AI219" t="e">
        <f t="shared" ca="1" si="95"/>
        <v>#DIV/0!</v>
      </c>
      <c r="AK219" t="e">
        <f t="shared" ca="1" si="96"/>
        <v>#DIV/0!</v>
      </c>
      <c r="AM219" t="e">
        <f t="shared" ca="1" si="97"/>
        <v>#DIV/0!</v>
      </c>
      <c r="AN219" s="6">
        <f t="shared" si="98"/>
        <v>1.9495613999999998E-5</v>
      </c>
      <c r="AO219" s="6" t="e">
        <f t="shared" ca="1" si="99"/>
        <v>#DIV/0!</v>
      </c>
      <c r="AP219" s="6" t="e">
        <f t="shared" ca="1" si="100"/>
        <v>#DIV/0!</v>
      </c>
    </row>
    <row r="220" spans="1:42" x14ac:dyDescent="0.25">
      <c r="A220">
        <f t="shared" si="115"/>
        <v>181</v>
      </c>
      <c r="B220">
        <f t="shared" si="77"/>
        <v>7.5166233716595015</v>
      </c>
      <c r="C220">
        <f t="shared" ca="1" si="102"/>
        <v>5877011563.2027493</v>
      </c>
      <c r="D220">
        <f t="shared" si="80"/>
        <v>10000000</v>
      </c>
      <c r="E220">
        <f t="shared" ca="1" si="81"/>
        <v>10000000.000786491</v>
      </c>
      <c r="F220">
        <f t="shared" ca="1" si="103"/>
        <v>3673067270.7604089</v>
      </c>
      <c r="G220">
        <f t="shared" ca="1" si="78"/>
        <v>949.99696688675749</v>
      </c>
      <c r="H220">
        <f t="shared" ca="1" si="82"/>
        <v>9499969669.6147385</v>
      </c>
      <c r="I220">
        <f t="shared" ca="1" si="83"/>
        <v>791842534.46210277</v>
      </c>
      <c r="J220">
        <f t="shared" ca="1" si="112"/>
        <v>2323351059513.9844</v>
      </c>
      <c r="K220">
        <f t="shared" ca="1" si="84"/>
        <v>3.0902557462810202E-6</v>
      </c>
      <c r="L220">
        <f t="shared" ca="1" si="104"/>
        <v>-424458984660.48169</v>
      </c>
      <c r="M220">
        <f t="shared" ca="1" si="105"/>
        <v>-424458984703.33759</v>
      </c>
      <c r="N220">
        <f t="shared" ca="1" si="85"/>
        <v>424458984736.72095</v>
      </c>
      <c r="O220">
        <f t="shared" ca="1" si="86"/>
        <v>-424458984627.09839</v>
      </c>
      <c r="Q220">
        <f t="shared" si="116"/>
        <v>181</v>
      </c>
      <c r="R220" s="23">
        <f t="shared" si="114"/>
        <v>262.95789387123796</v>
      </c>
      <c r="S220" t="e">
        <f t="shared" ca="1" si="107"/>
        <v>#DIV/0!</v>
      </c>
      <c r="T220" s="23" t="e">
        <f t="shared" ca="1" si="108"/>
        <v>#DIV/0!</v>
      </c>
      <c r="U220" t="e">
        <f t="shared" ca="1" si="113"/>
        <v>#DIV/0!</v>
      </c>
      <c r="V220" t="e">
        <f t="shared" ca="1" si="109"/>
        <v>#DIV/0!</v>
      </c>
      <c r="W220" t="e">
        <f t="shared" ca="1" si="110"/>
        <v>#DIV/0!</v>
      </c>
      <c r="X220" t="e">
        <f t="shared" ca="1" si="87"/>
        <v>#DIV/0!</v>
      </c>
      <c r="Y220" t="e">
        <f t="shared" ca="1" si="88"/>
        <v>#DIV/0!</v>
      </c>
      <c r="Z220" t="e">
        <f t="shared" ca="1" si="89"/>
        <v>#DIV/0!</v>
      </c>
      <c r="AA220" t="e">
        <f t="shared" ca="1" si="90"/>
        <v>#DIV/0!</v>
      </c>
      <c r="AB220" s="6" t="e">
        <f t="shared" ca="1" si="91"/>
        <v>#DIV/0!</v>
      </c>
      <c r="AC220" t="e">
        <f t="shared" ca="1" si="92"/>
        <v>#DIV/0!</v>
      </c>
      <c r="AD220" t="e">
        <f t="shared" ca="1" si="111"/>
        <v>#DIV/0!</v>
      </c>
      <c r="AE220" t="e">
        <f t="shared" ca="1" si="93"/>
        <v>#DIV/0!</v>
      </c>
      <c r="AF220" t="e">
        <f t="shared" ca="1" si="94"/>
        <v>#DIV/0!</v>
      </c>
      <c r="AG220" t="e">
        <f t="shared" ca="1" si="79"/>
        <v>#DIV/0!</v>
      </c>
      <c r="AI220" t="e">
        <f t="shared" ca="1" si="95"/>
        <v>#DIV/0!</v>
      </c>
      <c r="AK220" t="e">
        <f t="shared" ca="1" si="96"/>
        <v>#DIV/0!</v>
      </c>
      <c r="AM220" t="e">
        <f t="shared" ca="1" si="97"/>
        <v>#DIV/0!</v>
      </c>
      <c r="AN220" s="6">
        <f t="shared" si="98"/>
        <v>1.9495613999999998E-5</v>
      </c>
      <c r="AO220" s="6" t="e">
        <f t="shared" ca="1" si="99"/>
        <v>#DIV/0!</v>
      </c>
      <c r="AP220" s="6" t="e">
        <f t="shared" ca="1" si="100"/>
        <v>#DIV/0!</v>
      </c>
    </row>
    <row r="221" spans="1:42" x14ac:dyDescent="0.25">
      <c r="A221">
        <f t="shared" si="115"/>
        <v>182</v>
      </c>
      <c r="B221">
        <f t="shared" si="77"/>
        <v>7.5581516775802724</v>
      </c>
      <c r="C221">
        <f t="shared" ca="1" si="102"/>
        <v>5909895442.2149696</v>
      </c>
      <c r="D221">
        <f t="shared" si="80"/>
        <v>10000000</v>
      </c>
      <c r="E221">
        <f t="shared" ca="1" si="81"/>
        <v>10000000.000782114</v>
      </c>
      <c r="F221">
        <f t="shared" ca="1" si="103"/>
        <v>3673067372.3800049</v>
      </c>
      <c r="G221">
        <f t="shared" ca="1" si="78"/>
        <v>949.99696688684139</v>
      </c>
      <c r="H221">
        <f t="shared" ca="1" si="82"/>
        <v>9499969669.6114197</v>
      </c>
      <c r="I221">
        <f t="shared" ca="1" si="83"/>
        <v>791842534.46182621</v>
      </c>
      <c r="J221">
        <f t="shared" ca="1" si="112"/>
        <v>2336350998990.3281</v>
      </c>
      <c r="K221">
        <f t="shared" ca="1" si="84"/>
        <v>3.0730609250895821E-6</v>
      </c>
      <c r="L221">
        <f t="shared" ca="1" si="104"/>
        <v>-426833977077.88538</v>
      </c>
      <c r="M221">
        <f t="shared" ca="1" si="105"/>
        <v>-426833977120.74127</v>
      </c>
      <c r="N221">
        <f t="shared" ca="1" si="85"/>
        <v>426833977154.12463</v>
      </c>
      <c r="O221">
        <f t="shared" ca="1" si="86"/>
        <v>-426833977044.50208</v>
      </c>
      <c r="Q221">
        <f t="shared" si="116"/>
        <v>182</v>
      </c>
      <c r="R221" s="23">
        <f t="shared" si="114"/>
        <v>264.41069991472546</v>
      </c>
      <c r="S221" t="e">
        <f t="shared" ca="1" si="107"/>
        <v>#DIV/0!</v>
      </c>
      <c r="T221" s="23" t="e">
        <f t="shared" ca="1" si="108"/>
        <v>#DIV/0!</v>
      </c>
      <c r="U221" t="e">
        <f t="shared" ca="1" si="113"/>
        <v>#DIV/0!</v>
      </c>
      <c r="V221" t="e">
        <f t="shared" ca="1" si="109"/>
        <v>#DIV/0!</v>
      </c>
      <c r="W221" t="e">
        <f t="shared" ca="1" si="110"/>
        <v>#DIV/0!</v>
      </c>
      <c r="X221" t="e">
        <f t="shared" ca="1" si="87"/>
        <v>#DIV/0!</v>
      </c>
      <c r="Y221" t="e">
        <f t="shared" ca="1" si="88"/>
        <v>#DIV/0!</v>
      </c>
      <c r="Z221" t="e">
        <f t="shared" ca="1" si="89"/>
        <v>#DIV/0!</v>
      </c>
      <c r="AA221" t="e">
        <f t="shared" ca="1" si="90"/>
        <v>#DIV/0!</v>
      </c>
      <c r="AB221" s="6" t="e">
        <f t="shared" ca="1" si="91"/>
        <v>#DIV/0!</v>
      </c>
      <c r="AC221" t="e">
        <f t="shared" ca="1" si="92"/>
        <v>#DIV/0!</v>
      </c>
      <c r="AD221" t="e">
        <f t="shared" ca="1" si="111"/>
        <v>#DIV/0!</v>
      </c>
      <c r="AE221" t="e">
        <f t="shared" ca="1" si="93"/>
        <v>#DIV/0!</v>
      </c>
      <c r="AF221" t="e">
        <f t="shared" ca="1" si="94"/>
        <v>#DIV/0!</v>
      </c>
      <c r="AG221" t="e">
        <f t="shared" ca="1" si="79"/>
        <v>#DIV/0!</v>
      </c>
      <c r="AI221" t="e">
        <f t="shared" ca="1" si="95"/>
        <v>#DIV/0!</v>
      </c>
      <c r="AK221" t="e">
        <f t="shared" ca="1" si="96"/>
        <v>#DIV/0!</v>
      </c>
      <c r="AM221" t="e">
        <f t="shared" ca="1" si="97"/>
        <v>#DIV/0!</v>
      </c>
      <c r="AN221" s="6">
        <f t="shared" si="98"/>
        <v>1.9495613999999998E-5</v>
      </c>
      <c r="AO221" s="6" t="e">
        <f t="shared" ca="1" si="99"/>
        <v>#DIV/0!</v>
      </c>
      <c r="AP221" s="6" t="e">
        <f t="shared" ca="1" si="100"/>
        <v>#DIV/0!</v>
      </c>
    </row>
    <row r="222" spans="1:42" x14ac:dyDescent="0.25">
      <c r="A222">
        <f t="shared" si="115"/>
        <v>183</v>
      </c>
      <c r="B222">
        <f t="shared" si="77"/>
        <v>7.5996799835010425</v>
      </c>
      <c r="C222">
        <f t="shared" ca="1" si="102"/>
        <v>5942779321.2271786</v>
      </c>
      <c r="D222">
        <f t="shared" si="80"/>
        <v>10000000</v>
      </c>
      <c r="E222">
        <f t="shared" ca="1" si="81"/>
        <v>10000000.000777788</v>
      </c>
      <c r="F222">
        <f t="shared" ca="1" si="103"/>
        <v>3673067473.4341683</v>
      </c>
      <c r="G222">
        <f t="shared" ca="1" si="78"/>
        <v>949.99696688692484</v>
      </c>
      <c r="H222">
        <f t="shared" ca="1" si="82"/>
        <v>9499969669.6081448</v>
      </c>
      <c r="I222">
        <f t="shared" ca="1" si="83"/>
        <v>791842534.46155322</v>
      </c>
      <c r="J222">
        <f t="shared" ca="1" si="112"/>
        <v>2349350938466.625</v>
      </c>
      <c r="K222">
        <f t="shared" ca="1" si="84"/>
        <v>3.056056396145425E-6</v>
      </c>
      <c r="L222">
        <f t="shared" ca="1" si="104"/>
        <v>-429208969495.28821</v>
      </c>
      <c r="M222">
        <f t="shared" ca="1" si="105"/>
        <v>-429208969538.14404</v>
      </c>
      <c r="N222">
        <f t="shared" ca="1" si="85"/>
        <v>429208969571.5274</v>
      </c>
      <c r="O222">
        <f t="shared" ca="1" si="86"/>
        <v>-429208969461.90485</v>
      </c>
      <c r="Q222">
        <f t="shared" si="116"/>
        <v>183</v>
      </c>
      <c r="R222" s="23">
        <f t="shared" si="114"/>
        <v>265.86350595821295</v>
      </c>
      <c r="S222" t="e">
        <f t="shared" ca="1" si="107"/>
        <v>#DIV/0!</v>
      </c>
      <c r="T222" s="23" t="e">
        <f t="shared" ca="1" si="108"/>
        <v>#DIV/0!</v>
      </c>
      <c r="U222" t="e">
        <f t="shared" ca="1" si="113"/>
        <v>#DIV/0!</v>
      </c>
      <c r="V222" t="e">
        <f t="shared" ca="1" si="109"/>
        <v>#DIV/0!</v>
      </c>
      <c r="W222" t="e">
        <f t="shared" ca="1" si="110"/>
        <v>#DIV/0!</v>
      </c>
      <c r="X222" t="e">
        <f t="shared" ca="1" si="87"/>
        <v>#DIV/0!</v>
      </c>
      <c r="Y222" t="e">
        <f t="shared" ca="1" si="88"/>
        <v>#DIV/0!</v>
      </c>
      <c r="Z222" t="e">
        <f t="shared" ca="1" si="89"/>
        <v>#DIV/0!</v>
      </c>
      <c r="AA222" t="e">
        <f t="shared" ca="1" si="90"/>
        <v>#DIV/0!</v>
      </c>
      <c r="AB222" s="6" t="e">
        <f t="shared" ca="1" si="91"/>
        <v>#DIV/0!</v>
      </c>
      <c r="AC222" t="e">
        <f t="shared" ca="1" si="92"/>
        <v>#DIV/0!</v>
      </c>
      <c r="AD222" t="e">
        <f t="shared" ca="1" si="111"/>
        <v>#DIV/0!</v>
      </c>
      <c r="AE222" t="e">
        <f t="shared" ca="1" si="93"/>
        <v>#DIV/0!</v>
      </c>
      <c r="AF222" t="e">
        <f t="shared" ca="1" si="94"/>
        <v>#DIV/0!</v>
      </c>
      <c r="AG222" t="e">
        <f t="shared" ca="1" si="79"/>
        <v>#DIV/0!</v>
      </c>
      <c r="AI222" t="e">
        <f t="shared" ca="1" si="95"/>
        <v>#DIV/0!</v>
      </c>
      <c r="AK222" t="e">
        <f t="shared" ca="1" si="96"/>
        <v>#DIV/0!</v>
      </c>
      <c r="AM222" t="e">
        <f t="shared" ca="1" si="97"/>
        <v>#DIV/0!</v>
      </c>
      <c r="AN222" s="6">
        <f t="shared" si="98"/>
        <v>1.9495613999999998E-5</v>
      </c>
      <c r="AO222" s="6" t="e">
        <f t="shared" ca="1" si="99"/>
        <v>#DIV/0!</v>
      </c>
      <c r="AP222" s="6" t="e">
        <f t="shared" ca="1" si="100"/>
        <v>#DIV/0!</v>
      </c>
    </row>
    <row r="223" spans="1:42" x14ac:dyDescent="0.25">
      <c r="A223">
        <f t="shared" si="115"/>
        <v>184</v>
      </c>
      <c r="B223">
        <f t="shared" si="77"/>
        <v>7.6412082894218134</v>
      </c>
      <c r="C223">
        <f t="shared" ca="1" si="102"/>
        <v>5975663200.239377</v>
      </c>
      <c r="D223">
        <f t="shared" si="80"/>
        <v>10000000</v>
      </c>
      <c r="E223">
        <f t="shared" ca="1" si="81"/>
        <v>10000000.000773508</v>
      </c>
      <c r="F223">
        <f t="shared" ca="1" si="103"/>
        <v>3673067573.9291573</v>
      </c>
      <c r="G223">
        <f t="shared" ca="1" si="78"/>
        <v>949.99696688700783</v>
      </c>
      <c r="H223">
        <f t="shared" ca="1" si="82"/>
        <v>9499969669.604908</v>
      </c>
      <c r="I223">
        <f t="shared" ca="1" si="83"/>
        <v>791842534.46128345</v>
      </c>
      <c r="J223">
        <f t="shared" ca="1" si="112"/>
        <v>2362350877942.9531</v>
      </c>
      <c r="K223">
        <f t="shared" ca="1" si="84"/>
        <v>3.0392390179324435E-6</v>
      </c>
      <c r="L223">
        <f t="shared" ca="1" si="104"/>
        <v>-431583961912.69031</v>
      </c>
      <c r="M223">
        <f t="shared" ca="1" si="105"/>
        <v>-431583961955.54614</v>
      </c>
      <c r="N223">
        <f t="shared" ca="1" si="85"/>
        <v>431583961988.9295</v>
      </c>
      <c r="O223">
        <f t="shared" ca="1" si="86"/>
        <v>-431583961879.30695</v>
      </c>
      <c r="Q223">
        <f t="shared" si="116"/>
        <v>184</v>
      </c>
      <c r="R223" s="23">
        <f t="shared" si="114"/>
        <v>267.31631200170045</v>
      </c>
      <c r="S223" t="e">
        <f t="shared" ca="1" si="107"/>
        <v>#DIV/0!</v>
      </c>
      <c r="T223" s="23" t="e">
        <f t="shared" ca="1" si="108"/>
        <v>#DIV/0!</v>
      </c>
      <c r="U223" t="e">
        <f t="shared" ca="1" si="113"/>
        <v>#DIV/0!</v>
      </c>
      <c r="V223" t="e">
        <f t="shared" ca="1" si="109"/>
        <v>#DIV/0!</v>
      </c>
      <c r="W223" t="e">
        <f t="shared" ca="1" si="110"/>
        <v>#DIV/0!</v>
      </c>
      <c r="X223" t="e">
        <f t="shared" ca="1" si="87"/>
        <v>#DIV/0!</v>
      </c>
      <c r="Y223" t="e">
        <f t="shared" ca="1" si="88"/>
        <v>#DIV/0!</v>
      </c>
      <c r="Z223" t="e">
        <f t="shared" ca="1" si="89"/>
        <v>#DIV/0!</v>
      </c>
      <c r="AA223" t="e">
        <f t="shared" ca="1" si="90"/>
        <v>#DIV/0!</v>
      </c>
      <c r="AB223" s="6" t="e">
        <f t="shared" ca="1" si="91"/>
        <v>#DIV/0!</v>
      </c>
      <c r="AC223" t="e">
        <f t="shared" ca="1" si="92"/>
        <v>#DIV/0!</v>
      </c>
      <c r="AD223" t="e">
        <f t="shared" ca="1" si="111"/>
        <v>#DIV/0!</v>
      </c>
      <c r="AE223" t="e">
        <f t="shared" ca="1" si="93"/>
        <v>#DIV/0!</v>
      </c>
      <c r="AF223" t="e">
        <f t="shared" ca="1" si="94"/>
        <v>#DIV/0!</v>
      </c>
      <c r="AG223" t="e">
        <f t="shared" ca="1" si="79"/>
        <v>#DIV/0!</v>
      </c>
      <c r="AI223" t="e">
        <f t="shared" ca="1" si="95"/>
        <v>#DIV/0!</v>
      </c>
      <c r="AK223" t="e">
        <f t="shared" ca="1" si="96"/>
        <v>#DIV/0!</v>
      </c>
      <c r="AM223" t="e">
        <f t="shared" ca="1" si="97"/>
        <v>#DIV/0!</v>
      </c>
      <c r="AN223" s="6">
        <f t="shared" si="98"/>
        <v>1.9495613999999998E-5</v>
      </c>
      <c r="AO223" s="6" t="e">
        <f t="shared" ca="1" si="99"/>
        <v>#DIV/0!</v>
      </c>
      <c r="AP223" s="6" t="e">
        <f t="shared" ca="1" si="100"/>
        <v>#DIV/0!</v>
      </c>
    </row>
    <row r="224" spans="1:42" x14ac:dyDescent="0.25">
      <c r="A224">
        <f t="shared" si="115"/>
        <v>185</v>
      </c>
      <c r="B224">
        <f t="shared" si="77"/>
        <v>7.6827365953425844</v>
      </c>
      <c r="C224">
        <f t="shared" ca="1" si="102"/>
        <v>6008547079.251564</v>
      </c>
      <c r="D224">
        <f t="shared" si="80"/>
        <v>10000000</v>
      </c>
      <c r="E224">
        <f t="shared" ca="1" si="81"/>
        <v>10000000.000769274</v>
      </c>
      <c r="F224">
        <f t="shared" ca="1" si="103"/>
        <v>3673067673.8711252</v>
      </c>
      <c r="G224">
        <f t="shared" ca="1" si="78"/>
        <v>949.99696688709037</v>
      </c>
      <c r="H224">
        <f t="shared" ca="1" si="82"/>
        <v>9499969669.6017113</v>
      </c>
      <c r="I224">
        <f t="shared" ca="1" si="83"/>
        <v>791842534.46101689</v>
      </c>
      <c r="J224">
        <f t="shared" ca="1" si="112"/>
        <v>2375350817419.2656</v>
      </c>
      <c r="K224">
        <f t="shared" ca="1" si="84"/>
        <v>3.0226057177068816E-6</v>
      </c>
      <c r="L224">
        <f t="shared" ca="1" si="104"/>
        <v>-433958954330.09155</v>
      </c>
      <c r="M224">
        <f t="shared" ca="1" si="105"/>
        <v>-433958954372.94739</v>
      </c>
      <c r="N224">
        <f t="shared" ca="1" si="85"/>
        <v>433958954406.33075</v>
      </c>
      <c r="O224">
        <f t="shared" ca="1" si="86"/>
        <v>-433958954296.70819</v>
      </c>
      <c r="Q224">
        <f t="shared" si="116"/>
        <v>185</v>
      </c>
      <c r="R224" s="23">
        <f t="shared" si="114"/>
        <v>268.76911804518795</v>
      </c>
      <c r="S224" t="e">
        <f t="shared" ca="1" si="107"/>
        <v>#DIV/0!</v>
      </c>
      <c r="T224" s="23" t="e">
        <f t="shared" ca="1" si="108"/>
        <v>#DIV/0!</v>
      </c>
      <c r="U224" t="e">
        <f t="shared" ca="1" si="113"/>
        <v>#DIV/0!</v>
      </c>
      <c r="V224" t="e">
        <f t="shared" ca="1" si="109"/>
        <v>#DIV/0!</v>
      </c>
      <c r="W224" t="e">
        <f t="shared" ca="1" si="110"/>
        <v>#DIV/0!</v>
      </c>
      <c r="X224" t="e">
        <f t="shared" ca="1" si="87"/>
        <v>#DIV/0!</v>
      </c>
      <c r="Y224" t="e">
        <f t="shared" ca="1" si="88"/>
        <v>#DIV/0!</v>
      </c>
      <c r="Z224" t="e">
        <f t="shared" ca="1" si="89"/>
        <v>#DIV/0!</v>
      </c>
      <c r="AA224" t="e">
        <f t="shared" ca="1" si="90"/>
        <v>#DIV/0!</v>
      </c>
      <c r="AB224" s="6" t="e">
        <f t="shared" ca="1" si="91"/>
        <v>#DIV/0!</v>
      </c>
      <c r="AC224" t="e">
        <f t="shared" ca="1" si="92"/>
        <v>#DIV/0!</v>
      </c>
      <c r="AD224" t="e">
        <f t="shared" ca="1" si="111"/>
        <v>#DIV/0!</v>
      </c>
      <c r="AE224" t="e">
        <f t="shared" ca="1" si="93"/>
        <v>#DIV/0!</v>
      </c>
      <c r="AF224" t="e">
        <f t="shared" ca="1" si="94"/>
        <v>#DIV/0!</v>
      </c>
      <c r="AG224" t="e">
        <f t="shared" ca="1" si="79"/>
        <v>#DIV/0!</v>
      </c>
      <c r="AI224" t="e">
        <f t="shared" ca="1" si="95"/>
        <v>#DIV/0!</v>
      </c>
      <c r="AK224" t="e">
        <f t="shared" ca="1" si="96"/>
        <v>#DIV/0!</v>
      </c>
      <c r="AM224" t="e">
        <f t="shared" ca="1" si="97"/>
        <v>#DIV/0!</v>
      </c>
      <c r="AN224" s="6">
        <f t="shared" si="98"/>
        <v>1.9495613999999998E-5</v>
      </c>
      <c r="AO224" s="6" t="e">
        <f t="shared" ca="1" si="99"/>
        <v>#DIV/0!</v>
      </c>
      <c r="AP224" s="6" t="e">
        <f t="shared" ca="1" si="100"/>
        <v>#DIV/0!</v>
      </c>
    </row>
    <row r="225" spans="1:42" x14ac:dyDescent="0.25">
      <c r="A225">
        <f t="shared" si="115"/>
        <v>186</v>
      </c>
      <c r="B225">
        <f t="shared" si="77"/>
        <v>7.7242649012633544</v>
      </c>
      <c r="C225">
        <f t="shared" ca="1" si="102"/>
        <v>6041430958.2637386</v>
      </c>
      <c r="D225">
        <f t="shared" si="80"/>
        <v>10000000</v>
      </c>
      <c r="E225">
        <f t="shared" ca="1" si="81"/>
        <v>10000000.000765087</v>
      </c>
      <c r="F225">
        <f t="shared" ca="1" si="103"/>
        <v>3673067773.2661262</v>
      </c>
      <c r="G225">
        <f t="shared" ca="1" si="78"/>
        <v>949.99696688717245</v>
      </c>
      <c r="H225">
        <f t="shared" ca="1" si="82"/>
        <v>9499969669.5985546</v>
      </c>
      <c r="I225">
        <f t="shared" ca="1" si="83"/>
        <v>791842534.4607538</v>
      </c>
      <c r="J225">
        <f t="shared" ca="1" si="112"/>
        <v>2388350756895.6094</v>
      </c>
      <c r="K225">
        <f t="shared" ca="1" si="84"/>
        <v>3.0061534896253939E-6</v>
      </c>
      <c r="L225">
        <f t="shared" ca="1" si="104"/>
        <v>-436333946747.49188</v>
      </c>
      <c r="M225">
        <f t="shared" ca="1" si="105"/>
        <v>-436333946790.34778</v>
      </c>
      <c r="N225">
        <f t="shared" ca="1" si="85"/>
        <v>436333946823.73114</v>
      </c>
      <c r="O225">
        <f t="shared" ca="1" si="86"/>
        <v>-436333946714.10846</v>
      </c>
      <c r="Q225">
        <f t="shared" si="116"/>
        <v>186</v>
      </c>
      <c r="R225" s="23">
        <f t="shared" si="114"/>
        <v>270.22192408867545</v>
      </c>
      <c r="S225" t="e">
        <f t="shared" ca="1" si="107"/>
        <v>#DIV/0!</v>
      </c>
      <c r="T225" s="23" t="e">
        <f t="shared" ca="1" si="108"/>
        <v>#DIV/0!</v>
      </c>
      <c r="U225" t="e">
        <f t="shared" ca="1" si="113"/>
        <v>#DIV/0!</v>
      </c>
      <c r="V225" t="e">
        <f t="shared" ca="1" si="109"/>
        <v>#DIV/0!</v>
      </c>
      <c r="W225" t="e">
        <f t="shared" ca="1" si="110"/>
        <v>#DIV/0!</v>
      </c>
      <c r="X225" t="e">
        <f t="shared" ca="1" si="87"/>
        <v>#DIV/0!</v>
      </c>
      <c r="Y225" t="e">
        <f t="shared" ca="1" si="88"/>
        <v>#DIV/0!</v>
      </c>
      <c r="Z225" t="e">
        <f t="shared" ca="1" si="89"/>
        <v>#DIV/0!</v>
      </c>
      <c r="AA225" t="e">
        <f t="shared" ca="1" si="90"/>
        <v>#DIV/0!</v>
      </c>
      <c r="AB225" s="6" t="e">
        <f t="shared" ca="1" si="91"/>
        <v>#DIV/0!</v>
      </c>
      <c r="AC225" t="e">
        <f t="shared" ca="1" si="92"/>
        <v>#DIV/0!</v>
      </c>
      <c r="AD225" t="e">
        <f t="shared" ca="1" si="111"/>
        <v>#DIV/0!</v>
      </c>
      <c r="AE225" t="e">
        <f t="shared" ca="1" si="93"/>
        <v>#DIV/0!</v>
      </c>
      <c r="AF225" t="e">
        <f t="shared" ca="1" si="94"/>
        <v>#DIV/0!</v>
      </c>
      <c r="AG225" t="e">
        <f t="shared" ca="1" si="79"/>
        <v>#DIV/0!</v>
      </c>
      <c r="AI225" t="e">
        <f t="shared" ca="1" si="95"/>
        <v>#DIV/0!</v>
      </c>
      <c r="AK225" t="e">
        <f t="shared" ca="1" si="96"/>
        <v>#DIV/0!</v>
      </c>
      <c r="AM225" t="e">
        <f t="shared" ca="1" si="97"/>
        <v>#DIV/0!</v>
      </c>
      <c r="AN225" s="6">
        <f t="shared" si="98"/>
        <v>1.9495613999999998E-5</v>
      </c>
      <c r="AO225" s="6" t="e">
        <f t="shared" ca="1" si="99"/>
        <v>#DIV/0!</v>
      </c>
      <c r="AP225" s="6" t="e">
        <f t="shared" ca="1" si="100"/>
        <v>#DIV/0!</v>
      </c>
    </row>
    <row r="226" spans="1:42" x14ac:dyDescent="0.25">
      <c r="A226">
        <f t="shared" si="115"/>
        <v>187</v>
      </c>
      <c r="B226">
        <f t="shared" si="77"/>
        <v>7.7657932071841254</v>
      </c>
      <c r="C226">
        <f t="shared" ca="1" si="102"/>
        <v>6074314837.2759037</v>
      </c>
      <c r="D226">
        <f t="shared" si="80"/>
        <v>10000000</v>
      </c>
      <c r="E226">
        <f t="shared" ca="1" si="81"/>
        <v>10000000.000760945</v>
      </c>
      <c r="F226">
        <f t="shared" ca="1" si="103"/>
        <v>3673067872.1201138</v>
      </c>
      <c r="G226">
        <f t="shared" ca="1" si="78"/>
        <v>949.99696688725408</v>
      </c>
      <c r="H226">
        <f t="shared" ca="1" si="82"/>
        <v>9499969669.5954361</v>
      </c>
      <c r="I226">
        <f t="shared" ca="1" si="83"/>
        <v>791842534.46049392</v>
      </c>
      <c r="J226">
        <f t="shared" ca="1" si="112"/>
        <v>2401350696371.9219</v>
      </c>
      <c r="K226">
        <f t="shared" ca="1" si="84"/>
        <v>2.9898793929344444E-6</v>
      </c>
      <c r="L226">
        <f t="shared" ca="1" si="104"/>
        <v>-438708939164.89154</v>
      </c>
      <c r="M226">
        <f t="shared" ca="1" si="105"/>
        <v>-438708939207.7475</v>
      </c>
      <c r="N226">
        <f t="shared" ca="1" si="85"/>
        <v>438708939241.13086</v>
      </c>
      <c r="O226">
        <f t="shared" ca="1" si="86"/>
        <v>-438708939131.50818</v>
      </c>
      <c r="Q226">
        <f t="shared" si="116"/>
        <v>187</v>
      </c>
      <c r="R226" s="23">
        <f t="shared" si="114"/>
        <v>271.67473013216295</v>
      </c>
      <c r="S226" t="e">
        <f t="shared" ca="1" si="107"/>
        <v>#DIV/0!</v>
      </c>
      <c r="T226" s="23" t="e">
        <f t="shared" ca="1" si="108"/>
        <v>#DIV/0!</v>
      </c>
      <c r="U226" t="e">
        <f t="shared" ca="1" si="113"/>
        <v>#DIV/0!</v>
      </c>
      <c r="V226" t="e">
        <f t="shared" ca="1" si="109"/>
        <v>#DIV/0!</v>
      </c>
      <c r="W226" t="e">
        <f t="shared" ca="1" si="110"/>
        <v>#DIV/0!</v>
      </c>
      <c r="X226" t="e">
        <f t="shared" ca="1" si="87"/>
        <v>#DIV/0!</v>
      </c>
      <c r="Y226" t="e">
        <f t="shared" ca="1" si="88"/>
        <v>#DIV/0!</v>
      </c>
      <c r="Z226" t="e">
        <f t="shared" ca="1" si="89"/>
        <v>#DIV/0!</v>
      </c>
      <c r="AA226" t="e">
        <f t="shared" ca="1" si="90"/>
        <v>#DIV/0!</v>
      </c>
      <c r="AB226" s="6" t="e">
        <f t="shared" ca="1" si="91"/>
        <v>#DIV/0!</v>
      </c>
      <c r="AC226" t="e">
        <f t="shared" ca="1" si="92"/>
        <v>#DIV/0!</v>
      </c>
      <c r="AD226" t="e">
        <f t="shared" ca="1" si="111"/>
        <v>#DIV/0!</v>
      </c>
      <c r="AE226" t="e">
        <f t="shared" ca="1" si="93"/>
        <v>#DIV/0!</v>
      </c>
      <c r="AF226" t="e">
        <f t="shared" ca="1" si="94"/>
        <v>#DIV/0!</v>
      </c>
      <c r="AG226" t="e">
        <f t="shared" ca="1" si="79"/>
        <v>#DIV/0!</v>
      </c>
      <c r="AI226" t="e">
        <f t="shared" ca="1" si="95"/>
        <v>#DIV/0!</v>
      </c>
      <c r="AK226" t="e">
        <f t="shared" ca="1" si="96"/>
        <v>#DIV/0!</v>
      </c>
      <c r="AM226" t="e">
        <f t="shared" ca="1" si="97"/>
        <v>#DIV/0!</v>
      </c>
      <c r="AN226" s="6">
        <f t="shared" si="98"/>
        <v>1.9495613999999998E-5</v>
      </c>
      <c r="AO226" s="6" t="e">
        <f t="shared" ca="1" si="99"/>
        <v>#DIV/0!</v>
      </c>
      <c r="AP226" s="6" t="e">
        <f t="shared" ca="1" si="100"/>
        <v>#DIV/0!</v>
      </c>
    </row>
    <row r="227" spans="1:42" x14ac:dyDescent="0.25">
      <c r="A227">
        <f t="shared" si="115"/>
        <v>188</v>
      </c>
      <c r="B227">
        <f t="shared" si="77"/>
        <v>7.8073215131048963</v>
      </c>
      <c r="C227">
        <f t="shared" ca="1" si="102"/>
        <v>6107198716.2880573</v>
      </c>
      <c r="D227">
        <f t="shared" si="80"/>
        <v>10000000</v>
      </c>
      <c r="E227">
        <f t="shared" ca="1" si="81"/>
        <v>10000000.000756849</v>
      </c>
      <c r="F227">
        <f t="shared" ca="1" si="103"/>
        <v>3673067970.4389462</v>
      </c>
      <c r="G227">
        <f t="shared" ca="1" si="78"/>
        <v>949.99696688733536</v>
      </c>
      <c r="H227">
        <f t="shared" ca="1" si="82"/>
        <v>9499969669.5923576</v>
      </c>
      <c r="I227">
        <f t="shared" ca="1" si="83"/>
        <v>791842534.46023738</v>
      </c>
      <c r="J227">
        <f t="shared" ca="1" si="112"/>
        <v>2414350635848.2188</v>
      </c>
      <c r="K227">
        <f t="shared" ca="1" si="84"/>
        <v>2.9737805502177071E-6</v>
      </c>
      <c r="L227">
        <f t="shared" ca="1" si="104"/>
        <v>-441083931582.29041</v>
      </c>
      <c r="M227">
        <f t="shared" ca="1" si="105"/>
        <v>-441083931625.1463</v>
      </c>
      <c r="N227">
        <f t="shared" ca="1" si="85"/>
        <v>441083931658.52966</v>
      </c>
      <c r="O227">
        <f t="shared" ca="1" si="86"/>
        <v>-441083931548.9071</v>
      </c>
      <c r="Q227">
        <f t="shared" si="116"/>
        <v>188</v>
      </c>
      <c r="R227" s="23">
        <f t="shared" si="114"/>
        <v>273.12753617565045</v>
      </c>
      <c r="S227" t="e">
        <f t="shared" ca="1" si="107"/>
        <v>#DIV/0!</v>
      </c>
      <c r="T227" s="23" t="e">
        <f t="shared" ca="1" si="108"/>
        <v>#DIV/0!</v>
      </c>
      <c r="U227" t="e">
        <f t="shared" ca="1" si="113"/>
        <v>#DIV/0!</v>
      </c>
      <c r="V227" t="e">
        <f t="shared" ca="1" si="109"/>
        <v>#DIV/0!</v>
      </c>
      <c r="W227" t="e">
        <f t="shared" ca="1" si="110"/>
        <v>#DIV/0!</v>
      </c>
      <c r="X227" t="e">
        <f t="shared" ca="1" si="87"/>
        <v>#DIV/0!</v>
      </c>
      <c r="Y227" t="e">
        <f t="shared" ca="1" si="88"/>
        <v>#DIV/0!</v>
      </c>
      <c r="Z227" t="e">
        <f t="shared" ca="1" si="89"/>
        <v>#DIV/0!</v>
      </c>
      <c r="AA227" t="e">
        <f t="shared" ca="1" si="90"/>
        <v>#DIV/0!</v>
      </c>
      <c r="AB227" s="6" t="e">
        <f t="shared" ca="1" si="91"/>
        <v>#DIV/0!</v>
      </c>
      <c r="AC227" t="e">
        <f t="shared" ca="1" si="92"/>
        <v>#DIV/0!</v>
      </c>
      <c r="AD227" t="e">
        <f t="shared" ca="1" si="111"/>
        <v>#DIV/0!</v>
      </c>
      <c r="AE227" t="e">
        <f t="shared" ca="1" si="93"/>
        <v>#DIV/0!</v>
      </c>
      <c r="AF227" t="e">
        <f t="shared" ca="1" si="94"/>
        <v>#DIV/0!</v>
      </c>
      <c r="AG227" t="e">
        <f t="shared" ca="1" si="79"/>
        <v>#DIV/0!</v>
      </c>
      <c r="AI227" t="e">
        <f t="shared" ca="1" si="95"/>
        <v>#DIV/0!</v>
      </c>
      <c r="AK227" t="e">
        <f t="shared" ca="1" si="96"/>
        <v>#DIV/0!</v>
      </c>
      <c r="AM227" t="e">
        <f t="shared" ca="1" si="97"/>
        <v>#DIV/0!</v>
      </c>
      <c r="AN227" s="6">
        <f t="shared" si="98"/>
        <v>1.9495613999999998E-5</v>
      </c>
      <c r="AO227" s="6" t="e">
        <f t="shared" ca="1" si="99"/>
        <v>#DIV/0!</v>
      </c>
      <c r="AP227" s="6" t="e">
        <f t="shared" ca="1" si="100"/>
        <v>#DIV/0!</v>
      </c>
    </row>
    <row r="228" spans="1:42" x14ac:dyDescent="0.25">
      <c r="A228">
        <f>A227+1</f>
        <v>189</v>
      </c>
      <c r="B228">
        <f t="shared" si="77"/>
        <v>7.8488498190256664</v>
      </c>
      <c r="C228">
        <f t="shared" ca="1" si="102"/>
        <v>6140082595.3001995</v>
      </c>
      <c r="D228">
        <f t="shared" si="80"/>
        <v>10000000</v>
      </c>
      <c r="E228">
        <f t="shared" ca="1" si="81"/>
        <v>10000000.000752795</v>
      </c>
      <c r="F228">
        <f t="shared" ca="1" si="103"/>
        <v>3673068068.2283859</v>
      </c>
      <c r="G228">
        <f t="shared" ca="1" si="78"/>
        <v>949.99696688741597</v>
      </c>
      <c r="H228">
        <f t="shared" ca="1" si="82"/>
        <v>9499969669.5893135</v>
      </c>
      <c r="I228">
        <f t="shared" ca="1" si="83"/>
        <v>791842534.45998359</v>
      </c>
      <c r="J228">
        <f t="shared" ca="1" si="112"/>
        <v>2427350575324.5156</v>
      </c>
      <c r="K228">
        <f t="shared" ca="1" si="84"/>
        <v>2.9578541457001186E-6</v>
      </c>
      <c r="L228">
        <f t="shared" ca="1" si="104"/>
        <v>-443458923999.68842</v>
      </c>
      <c r="M228">
        <f t="shared" ca="1" si="105"/>
        <v>-443458924042.54431</v>
      </c>
      <c r="N228">
        <f t="shared" ca="1" si="85"/>
        <v>443458924075.92767</v>
      </c>
      <c r="O228">
        <f t="shared" ca="1" si="86"/>
        <v>-443458923966.30499</v>
      </c>
      <c r="Q228">
        <f>Q227+1</f>
        <v>189</v>
      </c>
      <c r="R228" s="23">
        <f t="shared" si="114"/>
        <v>274.58034221913795</v>
      </c>
      <c r="S228" t="e">
        <f t="shared" ca="1" si="107"/>
        <v>#DIV/0!</v>
      </c>
      <c r="T228" s="23" t="e">
        <f t="shared" ca="1" si="108"/>
        <v>#DIV/0!</v>
      </c>
      <c r="U228" t="e">
        <f t="shared" ca="1" si="113"/>
        <v>#DIV/0!</v>
      </c>
      <c r="V228" t="e">
        <f t="shared" ca="1" si="109"/>
        <v>#DIV/0!</v>
      </c>
      <c r="W228" t="e">
        <f t="shared" ca="1" si="110"/>
        <v>#DIV/0!</v>
      </c>
      <c r="X228" t="e">
        <f t="shared" ca="1" si="87"/>
        <v>#DIV/0!</v>
      </c>
      <c r="Y228" t="e">
        <f t="shared" ca="1" si="88"/>
        <v>#DIV/0!</v>
      </c>
      <c r="Z228" t="e">
        <f t="shared" ca="1" si="89"/>
        <v>#DIV/0!</v>
      </c>
      <c r="AA228" t="e">
        <f t="shared" ca="1" si="90"/>
        <v>#DIV/0!</v>
      </c>
      <c r="AB228" s="6" t="e">
        <f t="shared" ca="1" si="91"/>
        <v>#DIV/0!</v>
      </c>
      <c r="AC228" t="e">
        <f t="shared" ca="1" si="92"/>
        <v>#DIV/0!</v>
      </c>
      <c r="AD228" t="e">
        <f t="shared" ca="1" si="111"/>
        <v>#DIV/0!</v>
      </c>
      <c r="AE228" t="e">
        <f t="shared" ca="1" si="93"/>
        <v>#DIV/0!</v>
      </c>
      <c r="AF228" t="e">
        <f t="shared" ca="1" si="94"/>
        <v>#DIV/0!</v>
      </c>
      <c r="AG228" t="e">
        <f t="shared" ca="1" si="79"/>
        <v>#DIV/0!</v>
      </c>
      <c r="AI228" t="e">
        <f t="shared" ca="1" si="95"/>
        <v>#DIV/0!</v>
      </c>
      <c r="AK228" t="e">
        <f t="shared" ca="1" si="96"/>
        <v>#DIV/0!</v>
      </c>
      <c r="AM228" t="e">
        <f t="shared" ca="1" si="97"/>
        <v>#DIV/0!</v>
      </c>
      <c r="AN228" s="6">
        <f t="shared" si="98"/>
        <v>1.9495613999999998E-5</v>
      </c>
      <c r="AO228" s="6" t="e">
        <f t="shared" ca="1" si="99"/>
        <v>#DIV/0!</v>
      </c>
      <c r="AP228" s="6" t="e">
        <f t="shared" ca="1" si="100"/>
        <v>#DIV/0!</v>
      </c>
    </row>
    <row r="229" spans="1:42" x14ac:dyDescent="0.25">
      <c r="A229">
        <f t="shared" ref="A229:A238" si="117">A228+1</f>
        <v>190</v>
      </c>
      <c r="B229">
        <f t="shared" si="77"/>
        <v>7.8903781249464373</v>
      </c>
      <c r="C229">
        <f t="shared" ca="1" si="102"/>
        <v>6172966474.3123322</v>
      </c>
      <c r="D229">
        <f t="shared" si="80"/>
        <v>10000000</v>
      </c>
      <c r="E229">
        <f t="shared" ca="1" si="81"/>
        <v>10000000.000748785</v>
      </c>
      <c r="F229">
        <f t="shared" ca="1" si="103"/>
        <v>3673068165.4941039</v>
      </c>
      <c r="G229">
        <f t="shared" ca="1" si="78"/>
        <v>949.99696688749634</v>
      </c>
      <c r="H229">
        <f t="shared" ca="1" si="82"/>
        <v>9499969669.5863075</v>
      </c>
      <c r="I229">
        <f t="shared" ca="1" si="83"/>
        <v>791842534.45973301</v>
      </c>
      <c r="J229">
        <f t="shared" ca="1" si="112"/>
        <v>2440350514800.7969</v>
      </c>
      <c r="K229">
        <f t="shared" ca="1" si="84"/>
        <v>2.9420974236060765E-6</v>
      </c>
      <c r="L229">
        <f t="shared" ca="1" si="104"/>
        <v>-445833916417.08575</v>
      </c>
      <c r="M229">
        <f t="shared" ca="1" si="105"/>
        <v>-445833916459.94165</v>
      </c>
      <c r="N229">
        <f t="shared" ca="1" si="85"/>
        <v>445833916493.32501</v>
      </c>
      <c r="O229">
        <f t="shared" ca="1" si="86"/>
        <v>-445833916383.70233</v>
      </c>
      <c r="Q229">
        <f t="shared" ref="Q229:Q238" si="118">Q228+1</f>
        <v>190</v>
      </c>
      <c r="R229" s="23">
        <f t="shared" si="114"/>
        <v>276.03314826262545</v>
      </c>
      <c r="S229" t="e">
        <f t="shared" ca="1" si="107"/>
        <v>#DIV/0!</v>
      </c>
      <c r="T229" s="23" t="e">
        <f t="shared" ca="1" si="108"/>
        <v>#DIV/0!</v>
      </c>
      <c r="U229" t="e">
        <f t="shared" ca="1" si="113"/>
        <v>#DIV/0!</v>
      </c>
      <c r="V229" t="e">
        <f t="shared" ca="1" si="109"/>
        <v>#DIV/0!</v>
      </c>
      <c r="W229" t="e">
        <f t="shared" ca="1" si="110"/>
        <v>#DIV/0!</v>
      </c>
      <c r="X229" t="e">
        <f t="shared" ca="1" si="87"/>
        <v>#DIV/0!</v>
      </c>
      <c r="Y229" t="e">
        <f t="shared" ca="1" si="88"/>
        <v>#DIV/0!</v>
      </c>
      <c r="Z229" t="e">
        <f t="shared" ca="1" si="89"/>
        <v>#DIV/0!</v>
      </c>
      <c r="AA229" t="e">
        <f t="shared" ca="1" si="90"/>
        <v>#DIV/0!</v>
      </c>
      <c r="AB229" s="6" t="e">
        <f t="shared" ca="1" si="91"/>
        <v>#DIV/0!</v>
      </c>
      <c r="AC229" t="e">
        <f t="shared" ca="1" si="92"/>
        <v>#DIV/0!</v>
      </c>
      <c r="AD229" t="e">
        <f t="shared" ca="1" si="111"/>
        <v>#DIV/0!</v>
      </c>
      <c r="AE229" t="e">
        <f t="shared" ca="1" si="93"/>
        <v>#DIV/0!</v>
      </c>
      <c r="AF229" t="e">
        <f t="shared" ca="1" si="94"/>
        <v>#DIV/0!</v>
      </c>
      <c r="AG229" t="e">
        <f t="shared" ca="1" si="79"/>
        <v>#DIV/0!</v>
      </c>
      <c r="AI229" t="e">
        <f t="shared" ca="1" si="95"/>
        <v>#DIV/0!</v>
      </c>
      <c r="AK229" t="e">
        <f t="shared" ca="1" si="96"/>
        <v>#DIV/0!</v>
      </c>
      <c r="AM229" t="e">
        <f t="shared" ca="1" si="97"/>
        <v>#DIV/0!</v>
      </c>
      <c r="AN229" s="6">
        <f t="shared" si="98"/>
        <v>1.9495613999999998E-5</v>
      </c>
      <c r="AO229" s="6" t="e">
        <f t="shared" ca="1" si="99"/>
        <v>#DIV/0!</v>
      </c>
      <c r="AP229" s="6" t="e">
        <f t="shared" ca="1" si="100"/>
        <v>#DIV/0!</v>
      </c>
    </row>
    <row r="230" spans="1:42" x14ac:dyDescent="0.25">
      <c r="A230">
        <f t="shared" si="117"/>
        <v>191</v>
      </c>
      <c r="B230">
        <f t="shared" si="77"/>
        <v>7.9319064308672083</v>
      </c>
      <c r="C230">
        <f t="shared" ca="1" si="102"/>
        <v>6205850353.3244543</v>
      </c>
      <c r="D230">
        <f t="shared" si="80"/>
        <v>10000000</v>
      </c>
      <c r="E230">
        <f t="shared" ca="1" si="81"/>
        <v>10000000.000744816</v>
      </c>
      <c r="F230">
        <f t="shared" ca="1" si="103"/>
        <v>3673068262.2416797</v>
      </c>
      <c r="G230">
        <f t="shared" ca="1" si="78"/>
        <v>949.99696688757626</v>
      </c>
      <c r="H230">
        <f t="shared" ca="1" si="82"/>
        <v>9499969669.5833359</v>
      </c>
      <c r="I230">
        <f t="shared" ca="1" si="83"/>
        <v>791842534.45948529</v>
      </c>
      <c r="J230">
        <f t="shared" ca="1" si="112"/>
        <v>2453350454277.125</v>
      </c>
      <c r="K230">
        <f t="shared" ca="1" si="84"/>
        <v>2.9265076865696652E-6</v>
      </c>
      <c r="L230">
        <f t="shared" ca="1" si="104"/>
        <v>-448208908834.4823</v>
      </c>
      <c r="M230">
        <f t="shared" ca="1" si="105"/>
        <v>-448208908877.3382</v>
      </c>
      <c r="N230">
        <f t="shared" ca="1" si="85"/>
        <v>448208908910.72156</v>
      </c>
      <c r="O230">
        <f t="shared" ca="1" si="86"/>
        <v>-448208908801.099</v>
      </c>
      <c r="Q230">
        <f t="shared" si="118"/>
        <v>191</v>
      </c>
      <c r="R230" s="23">
        <f t="shared" si="114"/>
        <v>277.485954306113</v>
      </c>
      <c r="S230" t="e">
        <f t="shared" ca="1" si="107"/>
        <v>#DIV/0!</v>
      </c>
      <c r="T230" s="23" t="e">
        <f t="shared" ca="1" si="108"/>
        <v>#DIV/0!</v>
      </c>
      <c r="U230" t="e">
        <f t="shared" ca="1" si="113"/>
        <v>#DIV/0!</v>
      </c>
      <c r="V230" t="e">
        <f t="shared" ca="1" si="109"/>
        <v>#DIV/0!</v>
      </c>
      <c r="W230" t="e">
        <f t="shared" ca="1" si="110"/>
        <v>#DIV/0!</v>
      </c>
      <c r="X230" t="e">
        <f t="shared" ca="1" si="87"/>
        <v>#DIV/0!</v>
      </c>
      <c r="Y230" t="e">
        <f t="shared" ca="1" si="88"/>
        <v>#DIV/0!</v>
      </c>
      <c r="Z230" t="e">
        <f t="shared" ca="1" si="89"/>
        <v>#DIV/0!</v>
      </c>
      <c r="AA230" t="e">
        <f t="shared" ca="1" si="90"/>
        <v>#DIV/0!</v>
      </c>
      <c r="AB230" s="6" t="e">
        <f t="shared" ca="1" si="91"/>
        <v>#DIV/0!</v>
      </c>
      <c r="AC230" t="e">
        <f t="shared" ca="1" si="92"/>
        <v>#DIV/0!</v>
      </c>
      <c r="AD230" t="e">
        <f t="shared" ca="1" si="111"/>
        <v>#DIV/0!</v>
      </c>
      <c r="AE230" t="e">
        <f t="shared" ca="1" si="93"/>
        <v>#DIV/0!</v>
      </c>
      <c r="AF230" t="e">
        <f t="shared" ca="1" si="94"/>
        <v>#DIV/0!</v>
      </c>
      <c r="AG230" t="e">
        <f t="shared" ca="1" si="79"/>
        <v>#DIV/0!</v>
      </c>
      <c r="AI230" t="e">
        <f t="shared" ca="1" si="95"/>
        <v>#DIV/0!</v>
      </c>
      <c r="AK230" t="e">
        <f t="shared" ca="1" si="96"/>
        <v>#DIV/0!</v>
      </c>
      <c r="AM230" t="e">
        <f t="shared" ca="1" si="97"/>
        <v>#DIV/0!</v>
      </c>
      <c r="AN230" s="6">
        <f t="shared" si="98"/>
        <v>1.9495613999999998E-5</v>
      </c>
      <c r="AO230" s="6" t="e">
        <f t="shared" ca="1" si="99"/>
        <v>#DIV/0!</v>
      </c>
      <c r="AP230" s="6" t="e">
        <f t="shared" ca="1" si="100"/>
        <v>#DIV/0!</v>
      </c>
    </row>
    <row r="231" spans="1:42" x14ac:dyDescent="0.25">
      <c r="A231">
        <f t="shared" si="117"/>
        <v>192</v>
      </c>
      <c r="B231">
        <f t="shared" ref="B231:B239" si="119">$B$33*A231/$B$36</f>
        <v>7.9734347367879783</v>
      </c>
      <c r="C231">
        <f t="shared" ca="1" si="102"/>
        <v>6238734232.336566</v>
      </c>
      <c r="D231">
        <f t="shared" si="80"/>
        <v>10000000</v>
      </c>
      <c r="E231">
        <f t="shared" ca="1" si="81"/>
        <v>10000000.000740891</v>
      </c>
      <c r="F231">
        <f t="shared" ca="1" si="103"/>
        <v>3673068358.4766045</v>
      </c>
      <c r="G231">
        <f t="shared" ref="G231:G239" ca="1" si="120">$B$24*EXP(-$B$25/F231)</f>
        <v>949.99696688765573</v>
      </c>
      <c r="H231">
        <f t="shared" ca="1" si="82"/>
        <v>9499969669.5804024</v>
      </c>
      <c r="I231">
        <f t="shared" ca="1" si="83"/>
        <v>791842534.45924079</v>
      </c>
      <c r="J231">
        <f t="shared" ca="1" si="112"/>
        <v>2466350393753.4063</v>
      </c>
      <c r="K231">
        <f t="shared" ca="1" si="84"/>
        <v>2.9110822940955736E-6</v>
      </c>
      <c r="L231">
        <f t="shared" ca="1" si="104"/>
        <v>-450583901251.87811</v>
      </c>
      <c r="M231">
        <f t="shared" ca="1" si="105"/>
        <v>-450583901294.73401</v>
      </c>
      <c r="N231">
        <f t="shared" ca="1" si="85"/>
        <v>450583901328.11737</v>
      </c>
      <c r="O231">
        <f t="shared" ca="1" si="86"/>
        <v>-450583901218.49469</v>
      </c>
      <c r="Q231">
        <f t="shared" si="118"/>
        <v>192</v>
      </c>
      <c r="R231" s="23">
        <f t="shared" si="114"/>
        <v>278.9387603496005</v>
      </c>
      <c r="S231" t="e">
        <f t="shared" ca="1" si="107"/>
        <v>#DIV/0!</v>
      </c>
      <c r="T231" s="23" t="e">
        <f t="shared" ca="1" si="108"/>
        <v>#DIV/0!</v>
      </c>
      <c r="U231" t="e">
        <f t="shared" ca="1" si="113"/>
        <v>#DIV/0!</v>
      </c>
      <c r="V231" t="e">
        <f t="shared" ca="1" si="109"/>
        <v>#DIV/0!</v>
      </c>
      <c r="W231" t="e">
        <f t="shared" ca="1" si="110"/>
        <v>#DIV/0!</v>
      </c>
      <c r="X231" t="e">
        <f t="shared" ca="1" si="87"/>
        <v>#DIV/0!</v>
      </c>
      <c r="Y231" t="e">
        <f t="shared" ca="1" si="88"/>
        <v>#DIV/0!</v>
      </c>
      <c r="Z231" t="e">
        <f t="shared" ca="1" si="89"/>
        <v>#DIV/0!</v>
      </c>
      <c r="AA231" t="e">
        <f t="shared" ca="1" si="90"/>
        <v>#DIV/0!</v>
      </c>
      <c r="AB231" s="6" t="e">
        <f t="shared" ca="1" si="91"/>
        <v>#DIV/0!</v>
      </c>
      <c r="AC231" t="e">
        <f t="shared" ca="1" si="92"/>
        <v>#DIV/0!</v>
      </c>
      <c r="AD231" t="e">
        <f t="shared" ca="1" si="111"/>
        <v>#DIV/0!</v>
      </c>
      <c r="AE231" t="e">
        <f t="shared" ca="1" si="93"/>
        <v>#DIV/0!</v>
      </c>
      <c r="AF231" t="e">
        <f t="shared" ca="1" si="94"/>
        <v>#DIV/0!</v>
      </c>
      <c r="AG231" t="e">
        <f t="shared" ref="AG231:AG239" ca="1" si="121">8.314*AF231*V231/T231</f>
        <v>#DIV/0!</v>
      </c>
      <c r="AI231" t="e">
        <f t="shared" ca="1" si="95"/>
        <v>#DIV/0!</v>
      </c>
      <c r="AK231" t="e">
        <f t="shared" ca="1" si="96"/>
        <v>#DIV/0!</v>
      </c>
      <c r="AM231" t="e">
        <f t="shared" ca="1" si="97"/>
        <v>#DIV/0!</v>
      </c>
      <c r="AN231" s="6">
        <f t="shared" si="98"/>
        <v>1.9495613999999998E-5</v>
      </c>
      <c r="AO231" s="6" t="e">
        <f t="shared" ca="1" si="99"/>
        <v>#DIV/0!</v>
      </c>
      <c r="AP231" s="6" t="e">
        <f t="shared" ca="1" si="100"/>
        <v>#DIV/0!</v>
      </c>
    </row>
    <row r="232" spans="1:42" x14ac:dyDescent="0.25">
      <c r="A232">
        <f t="shared" si="117"/>
        <v>193</v>
      </c>
      <c r="B232">
        <f t="shared" si="119"/>
        <v>8.0149630427087502</v>
      </c>
      <c r="C232">
        <f t="shared" ca="1" si="102"/>
        <v>6271618111.3486691</v>
      </c>
      <c r="D232">
        <f t="shared" ref="D232:D239" si="122">$B$26*1000</f>
        <v>10000000</v>
      </c>
      <c r="E232">
        <f t="shared" ref="E232:E239" ca="1" si="123">D232*(L232/O232)</f>
        <v>10000000.000737006</v>
      </c>
      <c r="F232">
        <f t="shared" ca="1" si="103"/>
        <v>3673068454.2042823</v>
      </c>
      <c r="G232">
        <f t="shared" ca="1" si="120"/>
        <v>949.99696688773474</v>
      </c>
      <c r="H232">
        <f t="shared" ref="H232:H239" ca="1" si="124">G232*E232</f>
        <v>9499969669.5775013</v>
      </c>
      <c r="I232">
        <f t="shared" ref="I232:I238" ca="1" si="125">H232*$B$32/($B$9*1000)</f>
        <v>791842534.45899892</v>
      </c>
      <c r="J232">
        <f t="shared" ca="1" si="112"/>
        <v>2479350333229.6719</v>
      </c>
      <c r="K232">
        <f t="shared" ref="K232:K239" ca="1" si="126">-$H$22*1000*1000*$B$9/J232</f>
        <v>2.895818661067814E-6</v>
      </c>
      <c r="L232">
        <f t="shared" ca="1" si="104"/>
        <v>-452958893669.27332</v>
      </c>
      <c r="M232">
        <f t="shared" ca="1" si="105"/>
        <v>-452958893712.12921</v>
      </c>
      <c r="N232">
        <f t="shared" ref="N232:N239" ca="1" si="127">$B$11*1000+$B$9*C232*1000</f>
        <v>452958893745.51257</v>
      </c>
      <c r="O232">
        <f t="shared" ref="O232:O239" ca="1" si="128">L232+M232+N232</f>
        <v>-452958893635.89001</v>
      </c>
      <c r="Q232">
        <f t="shared" si="118"/>
        <v>193</v>
      </c>
      <c r="R232" s="23">
        <f t="shared" si="114"/>
        <v>280.39156639308794</v>
      </c>
      <c r="S232" t="e">
        <f t="shared" ca="1" si="107"/>
        <v>#DIV/0!</v>
      </c>
      <c r="T232" s="23" t="e">
        <f t="shared" ca="1" si="108"/>
        <v>#DIV/0!</v>
      </c>
      <c r="U232" t="e">
        <f t="shared" ca="1" si="113"/>
        <v>#DIV/0!</v>
      </c>
      <c r="V232" t="e">
        <f t="shared" ca="1" si="109"/>
        <v>#DIV/0!</v>
      </c>
      <c r="W232" t="e">
        <f t="shared" ca="1" si="110"/>
        <v>#DIV/0!</v>
      </c>
      <c r="X232" t="e">
        <f t="shared" ref="X232:X238" ca="1" si="129">W232*U232</f>
        <v>#DIV/0!</v>
      </c>
      <c r="Y232" t="e">
        <f t="shared" ref="Y232:Y238" ca="1" si="130">X232*$R$32/($B$9*1000)</f>
        <v>#DIV/0!</v>
      </c>
      <c r="Z232" t="e">
        <f t="shared" ref="Z232:Z239" ca="1" si="131">(AC232*$G$18+AD232*$G$19+AE232*$G$20)/AF232</f>
        <v>#DIV/0!</v>
      </c>
      <c r="AA232" t="e">
        <f t="shared" ref="AA232:AA239" ca="1" si="132">-$H$22*1000*$AC$39/(Z232*AF232)</f>
        <v>#DIV/0!</v>
      </c>
      <c r="AB232" s="6" t="e">
        <f t="shared" ref="AB232:AB239" ca="1" si="133">-32*AP232*AM232*AG232^2/PI()^2/$R$31^5</f>
        <v>#DIV/0!</v>
      </c>
      <c r="AC232" t="e">
        <f t="shared" ref="AC232:AC239" ca="1" si="134">$B$9*(1-S232)*1000</f>
        <v>#DIV/0!</v>
      </c>
      <c r="AD232" t="e">
        <f t="shared" ca="1" si="111"/>
        <v>#DIV/0!</v>
      </c>
      <c r="AE232" t="e">
        <f t="shared" ref="AE232:AE239" ca="1" si="135">$B$11+$AC$39*S232</f>
        <v>#DIV/0!</v>
      </c>
      <c r="AF232" t="e">
        <f t="shared" ref="AF232:AF239" ca="1" si="136">AC232+AD232+AE232</f>
        <v>#DIV/0!</v>
      </c>
      <c r="AG232" t="e">
        <f t="shared" ca="1" si="121"/>
        <v>#DIV/0!</v>
      </c>
      <c r="AI232" t="e">
        <f t="shared" ref="AI232:AI239" ca="1" si="137">AG232/$R$32</f>
        <v>#DIV/0!</v>
      </c>
      <c r="AK232" t="e">
        <f t="shared" ref="AK232:AK239" ca="1" si="138">(AC232*$B$5+AD232*$B$6+AE232*$B$7)/AF232/1000</f>
        <v>#DIV/0!</v>
      </c>
      <c r="AM232" t="e">
        <f t="shared" ref="AM232:AM239" ca="1" si="139">AF232*1000*AK232/AG232</f>
        <v>#DIV/0!</v>
      </c>
      <c r="AN232" s="6">
        <f t="shared" ref="AN232:AN239" si="140">$R$34</f>
        <v>1.9495613999999998E-5</v>
      </c>
      <c r="AO232" s="6" t="e">
        <f t="shared" ref="AO232:AO239" ca="1" si="141">$R$31*AI232*AM232/AN232</f>
        <v>#DIV/0!</v>
      </c>
      <c r="AP232" s="6" t="e">
        <f t="shared" ref="AP232:AP239" ca="1" si="142">0.0014+0.125*AO232^-0.32</f>
        <v>#DIV/0!</v>
      </c>
    </row>
    <row r="233" spans="1:42" x14ac:dyDescent="0.25">
      <c r="A233">
        <f t="shared" si="117"/>
        <v>194</v>
      </c>
      <c r="B233">
        <f t="shared" si="119"/>
        <v>8.0564913486295211</v>
      </c>
      <c r="C233">
        <f t="shared" ref="C233:C239" ca="1" si="143">C232+(B233-B232)*I232</f>
        <v>6304501990.3607607</v>
      </c>
      <c r="D233">
        <f t="shared" si="122"/>
        <v>10000000</v>
      </c>
      <c r="E233">
        <f t="shared" ca="1" si="123"/>
        <v>10000000.000733165</v>
      </c>
      <c r="F233">
        <f t="shared" ref="F233:F239" ca="1" si="144">F232+(C233-C232)*K232</f>
        <v>3673068549.4300327</v>
      </c>
      <c r="G233">
        <f t="shared" ca="1" si="120"/>
        <v>949.99696688781341</v>
      </c>
      <c r="H233">
        <f t="shared" ca="1" si="124"/>
        <v>9499969669.5746384</v>
      </c>
      <c r="I233">
        <f t="shared" ca="1" si="125"/>
        <v>791842534.45876038</v>
      </c>
      <c r="J233">
        <f t="shared" ca="1" si="112"/>
        <v>2492350272705.9531</v>
      </c>
      <c r="K233">
        <f t="shared" ca="1" si="126"/>
        <v>2.8807142563055992E-6</v>
      </c>
      <c r="L233">
        <f t="shared" ref="L233:L239" ca="1" si="145">$B$9*1000*(1-C233)</f>
        <v>-455333886086.66766</v>
      </c>
      <c r="M233">
        <f t="shared" ref="M233:M239" ca="1" si="146">$B$10*1000-$B$9*C233*1000</f>
        <v>-455333886129.52356</v>
      </c>
      <c r="N233">
        <f t="shared" ca="1" si="127"/>
        <v>455333886162.90692</v>
      </c>
      <c r="O233">
        <f t="shared" ca="1" si="128"/>
        <v>-455333886053.28424</v>
      </c>
      <c r="Q233">
        <f t="shared" si="118"/>
        <v>194</v>
      </c>
      <c r="R233" s="23">
        <f t="shared" si="114"/>
        <v>281.84437243657544</v>
      </c>
      <c r="S233" t="e">
        <f t="shared" ref="S233:S238" ca="1" si="147">S232+(R233-R232)*Y232</f>
        <v>#DIV/0!</v>
      </c>
      <c r="T233" s="23" t="e">
        <f t="shared" ref="T233:T239" ca="1" si="148">T232+(R233-R232)*AB232</f>
        <v>#DIV/0!</v>
      </c>
      <c r="U233" t="e">
        <f t="shared" ca="1" si="113"/>
        <v>#DIV/0!</v>
      </c>
      <c r="V233" t="e">
        <f t="shared" ref="V233:V238" ca="1" si="149">V232+(S233-S232)*AA232</f>
        <v>#DIV/0!</v>
      </c>
      <c r="W233" t="e">
        <f t="shared" ref="W233:W238" ca="1" si="150">$R$24*EXP(-$R$25/V233)</f>
        <v>#DIV/0!</v>
      </c>
      <c r="X233" t="e">
        <f t="shared" ca="1" si="129"/>
        <v>#DIV/0!</v>
      </c>
      <c r="Y233" t="e">
        <f t="shared" ca="1" si="130"/>
        <v>#DIV/0!</v>
      </c>
      <c r="Z233" t="e">
        <f t="shared" ca="1" si="131"/>
        <v>#DIV/0!</v>
      </c>
      <c r="AA233" t="e">
        <f t="shared" ca="1" si="132"/>
        <v>#DIV/0!</v>
      </c>
      <c r="AB233" s="6" t="e">
        <f t="shared" ca="1" si="133"/>
        <v>#DIV/0!</v>
      </c>
      <c r="AC233" t="e">
        <f t="shared" ca="1" si="134"/>
        <v>#DIV/0!</v>
      </c>
      <c r="AD233" t="e">
        <f t="shared" ref="AD233:AD239" ca="1" si="151">$AD$39-$AC$39*S233</f>
        <v>#DIV/0!</v>
      </c>
      <c r="AE233" t="e">
        <f t="shared" ca="1" si="135"/>
        <v>#DIV/0!</v>
      </c>
      <c r="AF233" t="e">
        <f t="shared" ca="1" si="136"/>
        <v>#DIV/0!</v>
      </c>
      <c r="AG233" t="e">
        <f t="shared" ca="1" si="121"/>
        <v>#DIV/0!</v>
      </c>
      <c r="AI233" t="e">
        <f t="shared" ca="1" si="137"/>
        <v>#DIV/0!</v>
      </c>
      <c r="AK233" t="e">
        <f t="shared" ca="1" si="138"/>
        <v>#DIV/0!</v>
      </c>
      <c r="AM233" t="e">
        <f t="shared" ca="1" si="139"/>
        <v>#DIV/0!</v>
      </c>
      <c r="AN233" s="6">
        <f t="shared" si="140"/>
        <v>1.9495613999999998E-5</v>
      </c>
      <c r="AO233" s="6" t="e">
        <f t="shared" ca="1" si="141"/>
        <v>#DIV/0!</v>
      </c>
      <c r="AP233" s="6" t="e">
        <f t="shared" ca="1" si="142"/>
        <v>#DIV/0!</v>
      </c>
    </row>
    <row r="234" spans="1:42" x14ac:dyDescent="0.25">
      <c r="A234">
        <f t="shared" si="117"/>
        <v>195</v>
      </c>
      <c r="B234">
        <f t="shared" si="119"/>
        <v>8.098019654550292</v>
      </c>
      <c r="C234">
        <f t="shared" ca="1" si="143"/>
        <v>6337385869.3728428</v>
      </c>
      <c r="D234">
        <f t="shared" si="122"/>
        <v>10000000</v>
      </c>
      <c r="E234">
        <f t="shared" ca="1" si="123"/>
        <v>10000000.00072936</v>
      </c>
      <c r="F234">
        <f t="shared" ca="1" si="144"/>
        <v>3673068644.1590919</v>
      </c>
      <c r="G234">
        <f t="shared" ca="1" si="120"/>
        <v>949.99696688789152</v>
      </c>
      <c r="H234">
        <f t="shared" ca="1" si="124"/>
        <v>9499969669.571804</v>
      </c>
      <c r="I234">
        <f t="shared" ca="1" si="125"/>
        <v>791842534.45852411</v>
      </c>
      <c r="J234">
        <f t="shared" ref="J234:J239" ca="1" si="152">(L234*$G$18+M234*$G$19+N234*$G$20)</f>
        <v>2505350212182.2344</v>
      </c>
      <c r="K234">
        <f t="shared" ca="1" si="126"/>
        <v>2.8657666011640792E-6</v>
      </c>
      <c r="L234">
        <f t="shared" ca="1" si="145"/>
        <v>-457708878504.06134</v>
      </c>
      <c r="M234">
        <f t="shared" ca="1" si="146"/>
        <v>-457708878546.91724</v>
      </c>
      <c r="N234">
        <f t="shared" ca="1" si="127"/>
        <v>457708878580.3006</v>
      </c>
      <c r="O234">
        <f t="shared" ca="1" si="128"/>
        <v>-457708878470.67792</v>
      </c>
      <c r="Q234">
        <f t="shared" si="118"/>
        <v>195</v>
      </c>
      <c r="R234" s="23">
        <f t="shared" si="114"/>
        <v>283.297178480063</v>
      </c>
      <c r="S234" t="e">
        <f t="shared" ca="1" si="147"/>
        <v>#DIV/0!</v>
      </c>
      <c r="T234" s="23" t="e">
        <f t="shared" ca="1" si="148"/>
        <v>#DIV/0!</v>
      </c>
      <c r="U234" t="e">
        <f t="shared" ca="1" si="113"/>
        <v>#DIV/0!</v>
      </c>
      <c r="V234" t="e">
        <f t="shared" ca="1" si="149"/>
        <v>#DIV/0!</v>
      </c>
      <c r="W234" t="e">
        <f t="shared" ca="1" si="150"/>
        <v>#DIV/0!</v>
      </c>
      <c r="X234" t="e">
        <f t="shared" ca="1" si="129"/>
        <v>#DIV/0!</v>
      </c>
      <c r="Y234" t="e">
        <f t="shared" ca="1" si="130"/>
        <v>#DIV/0!</v>
      </c>
      <c r="Z234" t="e">
        <f t="shared" ca="1" si="131"/>
        <v>#DIV/0!</v>
      </c>
      <c r="AA234" t="e">
        <f t="shared" ca="1" si="132"/>
        <v>#DIV/0!</v>
      </c>
      <c r="AB234" s="6" t="e">
        <f t="shared" ca="1" si="133"/>
        <v>#DIV/0!</v>
      </c>
      <c r="AC234" t="e">
        <f t="shared" ca="1" si="134"/>
        <v>#DIV/0!</v>
      </c>
      <c r="AD234" t="e">
        <f t="shared" ca="1" si="151"/>
        <v>#DIV/0!</v>
      </c>
      <c r="AE234" t="e">
        <f t="shared" ca="1" si="135"/>
        <v>#DIV/0!</v>
      </c>
      <c r="AF234" t="e">
        <f t="shared" ca="1" si="136"/>
        <v>#DIV/0!</v>
      </c>
      <c r="AG234" t="e">
        <f t="shared" ca="1" si="121"/>
        <v>#DIV/0!</v>
      </c>
      <c r="AI234" t="e">
        <f t="shared" ca="1" si="137"/>
        <v>#DIV/0!</v>
      </c>
      <c r="AK234" t="e">
        <f t="shared" ca="1" si="138"/>
        <v>#DIV/0!</v>
      </c>
      <c r="AM234" t="e">
        <f t="shared" ca="1" si="139"/>
        <v>#DIV/0!</v>
      </c>
      <c r="AN234" s="6">
        <f t="shared" si="140"/>
        <v>1.9495613999999998E-5</v>
      </c>
      <c r="AO234" s="6" t="e">
        <f t="shared" ca="1" si="141"/>
        <v>#DIV/0!</v>
      </c>
      <c r="AP234" s="6" t="e">
        <f t="shared" ca="1" si="142"/>
        <v>#DIV/0!</v>
      </c>
    </row>
    <row r="235" spans="1:42" x14ac:dyDescent="0.25">
      <c r="A235">
        <f t="shared" si="117"/>
        <v>196</v>
      </c>
      <c r="B235">
        <f t="shared" si="119"/>
        <v>8.139547960471063</v>
      </c>
      <c r="C235">
        <f t="shared" ca="1" si="143"/>
        <v>6370269748.3849154</v>
      </c>
      <c r="D235">
        <f t="shared" si="122"/>
        <v>10000000</v>
      </c>
      <c r="E235">
        <f t="shared" ca="1" si="123"/>
        <v>10000000.000725592</v>
      </c>
      <c r="F235">
        <f t="shared" ca="1" si="144"/>
        <v>3673068738.3966141</v>
      </c>
      <c r="G235">
        <f t="shared" ca="1" si="120"/>
        <v>949.99696688796939</v>
      </c>
      <c r="H235">
        <f t="shared" ca="1" si="124"/>
        <v>9499969669.5690041</v>
      </c>
      <c r="I235">
        <f t="shared" ca="1" si="125"/>
        <v>791842534.45829082</v>
      </c>
      <c r="J235">
        <f t="shared" ca="1" si="152"/>
        <v>2518350151658.5156</v>
      </c>
      <c r="K235">
        <f t="shared" ca="1" si="126"/>
        <v>2.8509732681782965E-6</v>
      </c>
      <c r="L235">
        <f t="shared" ca="1" si="145"/>
        <v>-460083870921.45435</v>
      </c>
      <c r="M235">
        <f t="shared" ca="1" si="146"/>
        <v>-460083870964.31024</v>
      </c>
      <c r="N235">
        <f t="shared" ca="1" si="127"/>
        <v>460083870997.6936</v>
      </c>
      <c r="O235">
        <f t="shared" ca="1" si="128"/>
        <v>-460083870888.07104</v>
      </c>
      <c r="Q235">
        <f t="shared" si="118"/>
        <v>196</v>
      </c>
      <c r="R235" s="23">
        <f t="shared" si="114"/>
        <v>284.74998452355049</v>
      </c>
      <c r="S235" t="e">
        <f t="shared" ca="1" si="147"/>
        <v>#DIV/0!</v>
      </c>
      <c r="T235" s="23" t="e">
        <f t="shared" ca="1" si="148"/>
        <v>#DIV/0!</v>
      </c>
      <c r="U235" t="e">
        <f ca="1">T235*(AC235/AF235)</f>
        <v>#DIV/0!</v>
      </c>
      <c r="V235" t="e">
        <f t="shared" ca="1" si="149"/>
        <v>#DIV/0!</v>
      </c>
      <c r="W235" t="e">
        <f t="shared" ca="1" si="150"/>
        <v>#DIV/0!</v>
      </c>
      <c r="X235" t="e">
        <f t="shared" ca="1" si="129"/>
        <v>#DIV/0!</v>
      </c>
      <c r="Y235" t="e">
        <f t="shared" ca="1" si="130"/>
        <v>#DIV/0!</v>
      </c>
      <c r="Z235" t="e">
        <f t="shared" ca="1" si="131"/>
        <v>#DIV/0!</v>
      </c>
      <c r="AA235" t="e">
        <f t="shared" ca="1" si="132"/>
        <v>#DIV/0!</v>
      </c>
      <c r="AB235" s="6" t="e">
        <f t="shared" ca="1" si="133"/>
        <v>#DIV/0!</v>
      </c>
      <c r="AC235" t="e">
        <f t="shared" ca="1" si="134"/>
        <v>#DIV/0!</v>
      </c>
      <c r="AD235" t="e">
        <f t="shared" ca="1" si="151"/>
        <v>#DIV/0!</v>
      </c>
      <c r="AE235" t="e">
        <f t="shared" ca="1" si="135"/>
        <v>#DIV/0!</v>
      </c>
      <c r="AF235" t="e">
        <f t="shared" ca="1" si="136"/>
        <v>#DIV/0!</v>
      </c>
      <c r="AG235" t="e">
        <f t="shared" ca="1" si="121"/>
        <v>#DIV/0!</v>
      </c>
      <c r="AI235" t="e">
        <f t="shared" ca="1" si="137"/>
        <v>#DIV/0!</v>
      </c>
      <c r="AK235" t="e">
        <f t="shared" ca="1" si="138"/>
        <v>#DIV/0!</v>
      </c>
      <c r="AM235" t="e">
        <f t="shared" ca="1" si="139"/>
        <v>#DIV/0!</v>
      </c>
      <c r="AN235" s="6">
        <f t="shared" si="140"/>
        <v>1.9495613999999998E-5</v>
      </c>
      <c r="AO235" s="6" t="e">
        <f t="shared" ca="1" si="141"/>
        <v>#DIV/0!</v>
      </c>
      <c r="AP235" s="6" t="e">
        <f t="shared" ca="1" si="142"/>
        <v>#DIV/0!</v>
      </c>
    </row>
    <row r="236" spans="1:42" x14ac:dyDescent="0.25">
      <c r="A236">
        <f t="shared" si="117"/>
        <v>197</v>
      </c>
      <c r="B236">
        <f t="shared" si="119"/>
        <v>8.1810762663918339</v>
      </c>
      <c r="C236">
        <f t="shared" ca="1" si="143"/>
        <v>6403153627.3969774</v>
      </c>
      <c r="D236">
        <f t="shared" si="122"/>
        <v>10000000</v>
      </c>
      <c r="E236">
        <f t="shared" ca="1" si="123"/>
        <v>10000000.000721864</v>
      </c>
      <c r="F236">
        <f t="shared" ca="1" si="144"/>
        <v>3673068832.1476741</v>
      </c>
      <c r="G236">
        <f t="shared" ca="1" si="120"/>
        <v>949.99696688804681</v>
      </c>
      <c r="H236">
        <f t="shared" ca="1" si="124"/>
        <v>9499969669.5662365</v>
      </c>
      <c r="I236">
        <f t="shared" ca="1" si="125"/>
        <v>791842534.45806003</v>
      </c>
      <c r="J236">
        <f t="shared" ca="1" si="152"/>
        <v>2531350091134.7813</v>
      </c>
      <c r="K236">
        <f t="shared" ca="1" si="126"/>
        <v>2.8363318797490278E-6</v>
      </c>
      <c r="L236">
        <f t="shared" ca="1" si="145"/>
        <v>-462458863338.84656</v>
      </c>
      <c r="M236">
        <f t="shared" ca="1" si="146"/>
        <v>-462458863381.70245</v>
      </c>
      <c r="N236">
        <f t="shared" ca="1" si="127"/>
        <v>462458863415.08582</v>
      </c>
      <c r="O236">
        <f t="shared" ca="1" si="128"/>
        <v>-462458863305.46326</v>
      </c>
      <c r="Q236">
        <f t="shared" si="118"/>
        <v>197</v>
      </c>
      <c r="R236" s="23">
        <f t="shared" si="114"/>
        <v>286.20279056703799</v>
      </c>
      <c r="S236" t="e">
        <f t="shared" ca="1" si="147"/>
        <v>#DIV/0!</v>
      </c>
      <c r="T236" s="23" t="e">
        <f t="shared" ca="1" si="148"/>
        <v>#DIV/0!</v>
      </c>
      <c r="U236" t="e">
        <f ca="1">T236*(AC236/AF236)</f>
        <v>#DIV/0!</v>
      </c>
      <c r="V236" t="e">
        <f t="shared" ca="1" si="149"/>
        <v>#DIV/0!</v>
      </c>
      <c r="W236" t="e">
        <f t="shared" ca="1" si="150"/>
        <v>#DIV/0!</v>
      </c>
      <c r="X236" t="e">
        <f t="shared" ca="1" si="129"/>
        <v>#DIV/0!</v>
      </c>
      <c r="Y236" t="e">
        <f t="shared" ca="1" si="130"/>
        <v>#DIV/0!</v>
      </c>
      <c r="Z236" t="e">
        <f t="shared" ca="1" si="131"/>
        <v>#DIV/0!</v>
      </c>
      <c r="AA236" t="e">
        <f t="shared" ca="1" si="132"/>
        <v>#DIV/0!</v>
      </c>
      <c r="AB236" s="6" t="e">
        <f t="shared" ca="1" si="133"/>
        <v>#DIV/0!</v>
      </c>
      <c r="AC236" t="e">
        <f t="shared" ca="1" si="134"/>
        <v>#DIV/0!</v>
      </c>
      <c r="AD236" t="e">
        <f t="shared" ca="1" si="151"/>
        <v>#DIV/0!</v>
      </c>
      <c r="AE236" t="e">
        <f t="shared" ca="1" si="135"/>
        <v>#DIV/0!</v>
      </c>
      <c r="AF236" t="e">
        <f t="shared" ca="1" si="136"/>
        <v>#DIV/0!</v>
      </c>
      <c r="AG236" t="e">
        <f t="shared" ca="1" si="121"/>
        <v>#DIV/0!</v>
      </c>
      <c r="AI236" t="e">
        <f t="shared" ca="1" si="137"/>
        <v>#DIV/0!</v>
      </c>
      <c r="AK236" t="e">
        <f t="shared" ca="1" si="138"/>
        <v>#DIV/0!</v>
      </c>
      <c r="AM236" t="e">
        <f t="shared" ca="1" si="139"/>
        <v>#DIV/0!</v>
      </c>
      <c r="AN236" s="6">
        <f t="shared" si="140"/>
        <v>1.9495613999999998E-5</v>
      </c>
      <c r="AO236" s="6" t="e">
        <f t="shared" ca="1" si="141"/>
        <v>#DIV/0!</v>
      </c>
      <c r="AP236" s="6" t="e">
        <f t="shared" ca="1" si="142"/>
        <v>#DIV/0!</v>
      </c>
    </row>
    <row r="237" spans="1:42" x14ac:dyDescent="0.25">
      <c r="A237">
        <f t="shared" si="117"/>
        <v>198</v>
      </c>
      <c r="B237">
        <f t="shared" si="119"/>
        <v>8.2226045723126031</v>
      </c>
      <c r="C237">
        <f t="shared" ca="1" si="143"/>
        <v>6436037506.409029</v>
      </c>
      <c r="D237">
        <f t="shared" si="122"/>
        <v>10000000</v>
      </c>
      <c r="E237">
        <f t="shared" ca="1" si="123"/>
        <v>10000000.000718176</v>
      </c>
      <c r="F237">
        <f t="shared" ca="1" si="144"/>
        <v>3673068925.4172683</v>
      </c>
      <c r="G237">
        <f t="shared" ca="1" si="120"/>
        <v>949.99696688812389</v>
      </c>
      <c r="H237">
        <f t="shared" ca="1" si="124"/>
        <v>9499969669.5635052</v>
      </c>
      <c r="I237">
        <f t="shared" ca="1" si="125"/>
        <v>791842534.45783246</v>
      </c>
      <c r="J237">
        <f t="shared" ca="1" si="152"/>
        <v>2544350030611.0313</v>
      </c>
      <c r="K237">
        <f t="shared" ca="1" si="126"/>
        <v>2.8218401068688473E-6</v>
      </c>
      <c r="L237">
        <f t="shared" ca="1" si="145"/>
        <v>-464833855756.23804</v>
      </c>
      <c r="M237">
        <f t="shared" ca="1" si="146"/>
        <v>-464833855799.09393</v>
      </c>
      <c r="N237">
        <f t="shared" ca="1" si="127"/>
        <v>464833855832.47729</v>
      </c>
      <c r="O237">
        <f t="shared" ca="1" si="128"/>
        <v>-464833855722.85474</v>
      </c>
      <c r="Q237">
        <f t="shared" si="118"/>
        <v>198</v>
      </c>
      <c r="R237" s="23">
        <f t="shared" si="114"/>
        <v>287.65559661052549</v>
      </c>
      <c r="S237" t="e">
        <f t="shared" ca="1" si="147"/>
        <v>#DIV/0!</v>
      </c>
      <c r="T237" s="23" t="e">
        <f t="shared" ca="1" si="148"/>
        <v>#DIV/0!</v>
      </c>
      <c r="U237" t="e">
        <f ca="1">T237*(AC237/AF237)</f>
        <v>#DIV/0!</v>
      </c>
      <c r="V237" t="e">
        <f t="shared" ca="1" si="149"/>
        <v>#DIV/0!</v>
      </c>
      <c r="W237" t="e">
        <f t="shared" ca="1" si="150"/>
        <v>#DIV/0!</v>
      </c>
      <c r="X237" t="e">
        <f t="shared" ca="1" si="129"/>
        <v>#DIV/0!</v>
      </c>
      <c r="Y237" t="e">
        <f t="shared" ca="1" si="130"/>
        <v>#DIV/0!</v>
      </c>
      <c r="Z237" t="e">
        <f t="shared" ca="1" si="131"/>
        <v>#DIV/0!</v>
      </c>
      <c r="AA237" t="e">
        <f t="shared" ca="1" si="132"/>
        <v>#DIV/0!</v>
      </c>
      <c r="AB237" s="6" t="e">
        <f t="shared" ca="1" si="133"/>
        <v>#DIV/0!</v>
      </c>
      <c r="AC237" t="e">
        <f t="shared" ca="1" si="134"/>
        <v>#DIV/0!</v>
      </c>
      <c r="AD237" t="e">
        <f t="shared" ca="1" si="151"/>
        <v>#DIV/0!</v>
      </c>
      <c r="AE237" t="e">
        <f t="shared" ca="1" si="135"/>
        <v>#DIV/0!</v>
      </c>
      <c r="AF237" t="e">
        <f t="shared" ca="1" si="136"/>
        <v>#DIV/0!</v>
      </c>
      <c r="AG237" t="e">
        <f t="shared" ca="1" si="121"/>
        <v>#DIV/0!</v>
      </c>
      <c r="AI237" t="e">
        <f t="shared" ca="1" si="137"/>
        <v>#DIV/0!</v>
      </c>
      <c r="AK237" t="e">
        <f t="shared" ca="1" si="138"/>
        <v>#DIV/0!</v>
      </c>
      <c r="AM237" t="e">
        <f t="shared" ca="1" si="139"/>
        <v>#DIV/0!</v>
      </c>
      <c r="AN237" s="6">
        <f t="shared" si="140"/>
        <v>1.9495613999999998E-5</v>
      </c>
      <c r="AO237" s="6" t="e">
        <f t="shared" ca="1" si="141"/>
        <v>#DIV/0!</v>
      </c>
      <c r="AP237" s="6" t="e">
        <f t="shared" ca="1" si="142"/>
        <v>#DIV/0!</v>
      </c>
    </row>
    <row r="238" spans="1:42" x14ac:dyDescent="0.25">
      <c r="A238">
        <f t="shared" si="117"/>
        <v>199</v>
      </c>
      <c r="B238">
        <f t="shared" si="119"/>
        <v>8.2641328782333741</v>
      </c>
      <c r="C238">
        <f t="shared" ca="1" si="143"/>
        <v>6468921385.421072</v>
      </c>
      <c r="D238">
        <f t="shared" si="122"/>
        <v>10000000</v>
      </c>
      <c r="E238">
        <f t="shared" ca="1" si="123"/>
        <v>10000000.000714526</v>
      </c>
      <c r="F238">
        <f t="shared" ca="1" si="144"/>
        <v>3673069018.2103171</v>
      </c>
      <c r="G238">
        <f t="shared" ca="1" si="120"/>
        <v>949.99696688820052</v>
      </c>
      <c r="H238">
        <f t="shared" ca="1" si="124"/>
        <v>9499969669.5608025</v>
      </c>
      <c r="I238">
        <f t="shared" ca="1" si="125"/>
        <v>791842534.45760715</v>
      </c>
      <c r="J238">
        <f t="shared" ca="1" si="152"/>
        <v>2557349970087.3125</v>
      </c>
      <c r="K238">
        <f t="shared" ca="1" si="126"/>
        <v>2.807495667887042E-6</v>
      </c>
      <c r="L238">
        <f t="shared" ca="1" si="145"/>
        <v>-467208848173.62891</v>
      </c>
      <c r="M238">
        <f t="shared" ca="1" si="146"/>
        <v>-467208848216.4848</v>
      </c>
      <c r="N238">
        <f t="shared" ca="1" si="127"/>
        <v>467208848249.86816</v>
      </c>
      <c r="O238">
        <f t="shared" ca="1" si="128"/>
        <v>-467208848140.24561</v>
      </c>
      <c r="Q238">
        <f t="shared" si="118"/>
        <v>199</v>
      </c>
      <c r="R238" s="23">
        <f t="shared" si="114"/>
        <v>289.10840265401299</v>
      </c>
      <c r="S238" t="e">
        <f t="shared" ca="1" si="147"/>
        <v>#DIV/0!</v>
      </c>
      <c r="T238" s="23" t="e">
        <f t="shared" ca="1" si="148"/>
        <v>#DIV/0!</v>
      </c>
      <c r="U238" t="e">
        <f ca="1">T238*(AC238/AF238)</f>
        <v>#DIV/0!</v>
      </c>
      <c r="V238" t="e">
        <f t="shared" ca="1" si="149"/>
        <v>#DIV/0!</v>
      </c>
      <c r="W238" t="e">
        <f t="shared" ca="1" si="150"/>
        <v>#DIV/0!</v>
      </c>
      <c r="X238" t="e">
        <f t="shared" ca="1" si="129"/>
        <v>#DIV/0!</v>
      </c>
      <c r="Y238" t="e">
        <f t="shared" ca="1" si="130"/>
        <v>#DIV/0!</v>
      </c>
      <c r="Z238" t="e">
        <f t="shared" ca="1" si="131"/>
        <v>#DIV/0!</v>
      </c>
      <c r="AA238" t="e">
        <f t="shared" ca="1" si="132"/>
        <v>#DIV/0!</v>
      </c>
      <c r="AB238" s="6" t="e">
        <f t="shared" ca="1" si="133"/>
        <v>#DIV/0!</v>
      </c>
      <c r="AC238" t="e">
        <f t="shared" ca="1" si="134"/>
        <v>#DIV/0!</v>
      </c>
      <c r="AD238" t="e">
        <f t="shared" ca="1" si="151"/>
        <v>#DIV/0!</v>
      </c>
      <c r="AE238" t="e">
        <f t="shared" ca="1" si="135"/>
        <v>#DIV/0!</v>
      </c>
      <c r="AF238" t="e">
        <f t="shared" ca="1" si="136"/>
        <v>#DIV/0!</v>
      </c>
      <c r="AG238" t="e">
        <f t="shared" ca="1" si="121"/>
        <v>#DIV/0!</v>
      </c>
      <c r="AI238" t="e">
        <f t="shared" ca="1" si="137"/>
        <v>#DIV/0!</v>
      </c>
      <c r="AK238" t="e">
        <f t="shared" ca="1" si="138"/>
        <v>#DIV/0!</v>
      </c>
      <c r="AM238" t="e">
        <f t="shared" ca="1" si="139"/>
        <v>#DIV/0!</v>
      </c>
      <c r="AN238" s="6">
        <f t="shared" si="140"/>
        <v>1.9495613999999998E-5</v>
      </c>
      <c r="AO238" s="6" t="e">
        <f t="shared" ca="1" si="141"/>
        <v>#DIV/0!</v>
      </c>
      <c r="AP238" s="6" t="e">
        <f t="shared" ca="1" si="142"/>
        <v>#DIV/0!</v>
      </c>
    </row>
    <row r="239" spans="1:42" x14ac:dyDescent="0.25">
      <c r="A239">
        <f>A238+1</f>
        <v>200</v>
      </c>
      <c r="B239">
        <f t="shared" si="119"/>
        <v>8.305661184154145</v>
      </c>
      <c r="C239">
        <f t="shared" ca="1" si="143"/>
        <v>6501805264.4331064</v>
      </c>
      <c r="D239">
        <f t="shared" si="122"/>
        <v>10000000</v>
      </c>
      <c r="E239">
        <f t="shared" ca="1" si="123"/>
        <v>10000000.000710916</v>
      </c>
      <c r="F239">
        <f t="shared" ca="1" si="144"/>
        <v>3673069110.5316648</v>
      </c>
      <c r="G239">
        <f t="shared" ca="1" si="120"/>
        <v>949.9969668882768</v>
      </c>
      <c r="H239">
        <f t="shared" ca="1" si="124"/>
        <v>9499969669.558136</v>
      </c>
      <c r="I239">
        <f ca="1">H239*$B$32/($B$9*1000)</f>
        <v>791842534.45738482</v>
      </c>
      <c r="J239">
        <f t="shared" ca="1" si="152"/>
        <v>2570349909563.5625</v>
      </c>
      <c r="K239">
        <f t="shared" ca="1" si="126"/>
        <v>2.7932963273122163E-6</v>
      </c>
      <c r="L239">
        <f t="shared" ca="1" si="145"/>
        <v>-469583840591.0191</v>
      </c>
      <c r="M239">
        <f t="shared" ca="1" si="146"/>
        <v>-469583840633.875</v>
      </c>
      <c r="N239">
        <f t="shared" ca="1" si="127"/>
        <v>469583840667.25836</v>
      </c>
      <c r="O239">
        <f t="shared" ca="1" si="128"/>
        <v>-469583840557.63568</v>
      </c>
      <c r="Q239">
        <f>Q238+1</f>
        <v>200</v>
      </c>
      <c r="R239" s="23">
        <f t="shared" si="114"/>
        <v>290.56120869750049</v>
      </c>
      <c r="S239" t="e">
        <f ca="1">S238+(R239-R238)*Y238</f>
        <v>#DIV/0!</v>
      </c>
      <c r="T239" s="23" t="e">
        <f t="shared" ca="1" si="148"/>
        <v>#DIV/0!</v>
      </c>
      <c r="U239" t="e">
        <f ca="1">T239*(AC239/AF239)</f>
        <v>#DIV/0!</v>
      </c>
      <c r="V239" t="e">
        <f ca="1">V238+(S239-S238)*AA238</f>
        <v>#DIV/0!</v>
      </c>
      <c r="W239" t="e">
        <f ca="1">$R$24*EXP(-$R$25/V239)</f>
        <v>#DIV/0!</v>
      </c>
      <c r="X239" t="e">
        <f ca="1">W239*U239</f>
        <v>#DIV/0!</v>
      </c>
      <c r="Y239" t="e">
        <f ca="1">X239*$R$32/($B$9*1000)</f>
        <v>#DIV/0!</v>
      </c>
      <c r="Z239" t="e">
        <f t="shared" ca="1" si="131"/>
        <v>#DIV/0!</v>
      </c>
      <c r="AA239" t="e">
        <f t="shared" ca="1" si="132"/>
        <v>#DIV/0!</v>
      </c>
      <c r="AB239" s="6" t="e">
        <f t="shared" ca="1" si="133"/>
        <v>#DIV/0!</v>
      </c>
      <c r="AC239" t="e">
        <f t="shared" ca="1" si="134"/>
        <v>#DIV/0!</v>
      </c>
      <c r="AD239" t="e">
        <f t="shared" ca="1" si="151"/>
        <v>#DIV/0!</v>
      </c>
      <c r="AE239" t="e">
        <f t="shared" ca="1" si="135"/>
        <v>#DIV/0!</v>
      </c>
      <c r="AF239" t="e">
        <f t="shared" ca="1" si="136"/>
        <v>#DIV/0!</v>
      </c>
      <c r="AG239" t="e">
        <f t="shared" ca="1" si="121"/>
        <v>#DIV/0!</v>
      </c>
      <c r="AI239" t="e">
        <f t="shared" ca="1" si="137"/>
        <v>#DIV/0!</v>
      </c>
      <c r="AK239" t="e">
        <f t="shared" ca="1" si="138"/>
        <v>#DIV/0!</v>
      </c>
      <c r="AM239" t="e">
        <f t="shared" ca="1" si="139"/>
        <v>#DIV/0!</v>
      </c>
      <c r="AN239" s="6">
        <f t="shared" si="140"/>
        <v>1.9495613999999998E-5</v>
      </c>
      <c r="AO239" s="6" t="e">
        <f t="shared" ca="1" si="141"/>
        <v>#DIV/0!</v>
      </c>
      <c r="AP239" s="6" t="e">
        <f t="shared" ca="1" si="142"/>
        <v>#DIV/0!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8" r:id="rId3" name="Button 232">
              <controlPr defaultSize="0" autoFill="0" autoPict="0" macro="[0]!VolumeSeek_Adi_yes_P">
                <anchor moveWithCells="1" sizeWithCells="1">
                  <from>
                    <xdr:col>20</xdr:col>
                    <xdr:colOff>333375</xdr:colOff>
                    <xdr:row>22</xdr:row>
                    <xdr:rowOff>123825</xdr:rowOff>
                  </from>
                  <to>
                    <xdr:col>21</xdr:col>
                    <xdr:colOff>457200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V100"/>
  <sheetViews>
    <sheetView topLeftCell="H1" zoomScale="85" zoomScaleNormal="85" workbookViewId="0">
      <pane ySplit="2" topLeftCell="A3" activePane="bottomLeft" state="frozen"/>
      <selection pane="bottomLeft" activeCell="M24" sqref="M24"/>
    </sheetView>
  </sheetViews>
  <sheetFormatPr defaultColWidth="11" defaultRowHeight="15.75" x14ac:dyDescent="0.25"/>
  <cols>
    <col min="3" max="3" width="13.875" bestFit="1" customWidth="1"/>
    <col min="4" max="4" width="11.375" bestFit="1" customWidth="1"/>
    <col min="5" max="5" width="13.875" bestFit="1" customWidth="1"/>
    <col min="6" max="6" width="11.375" bestFit="1" customWidth="1"/>
    <col min="7" max="7" width="12.625" bestFit="1" customWidth="1"/>
    <col min="11" max="11" width="12.875" bestFit="1" customWidth="1"/>
  </cols>
  <sheetData>
    <row r="1" spans="1:16" x14ac:dyDescent="0.25">
      <c r="E1" t="s">
        <v>62</v>
      </c>
      <c r="I1" t="s">
        <v>14</v>
      </c>
      <c r="M1" t="s">
        <v>151</v>
      </c>
      <c r="O1" t="s">
        <v>223</v>
      </c>
    </row>
    <row r="2" spans="1:16" x14ac:dyDescent="0.25">
      <c r="A2" t="s">
        <v>147</v>
      </c>
      <c r="B2" t="s">
        <v>148</v>
      </c>
      <c r="C2" t="s">
        <v>149</v>
      </c>
      <c r="D2" t="s">
        <v>150</v>
      </c>
      <c r="E2" t="s">
        <v>144</v>
      </c>
      <c r="F2" t="s">
        <v>145</v>
      </c>
      <c r="G2" t="s">
        <v>141</v>
      </c>
      <c r="H2" t="s">
        <v>146</v>
      </c>
      <c r="I2" t="s">
        <v>144</v>
      </c>
      <c r="J2" t="s">
        <v>145</v>
      </c>
      <c r="K2" t="s">
        <v>141</v>
      </c>
      <c r="L2" t="s">
        <v>146</v>
      </c>
      <c r="M2" t="s">
        <v>141</v>
      </c>
      <c r="N2" t="s">
        <v>146</v>
      </c>
      <c r="O2" t="s">
        <v>145</v>
      </c>
      <c r="P2" t="s">
        <v>146</v>
      </c>
    </row>
    <row r="3" spans="1:16" x14ac:dyDescent="0.25">
      <c r="A3" s="1">
        <v>0</v>
      </c>
      <c r="B3" s="1">
        <v>0.4</v>
      </c>
      <c r="C3" s="1">
        <v>350</v>
      </c>
      <c r="D3" s="1">
        <v>100</v>
      </c>
      <c r="E3" s="1">
        <v>50</v>
      </c>
      <c r="F3" s="1">
        <v>164462449.49409199</v>
      </c>
      <c r="G3" s="1">
        <v>50</v>
      </c>
      <c r="H3" s="1">
        <v>10485810</v>
      </c>
      <c r="I3" s="1">
        <f t="shared" ref="I3:J44" si="0">$C3</f>
        <v>350</v>
      </c>
      <c r="J3" s="1">
        <f t="shared" si="0"/>
        <v>350</v>
      </c>
      <c r="K3" s="1">
        <v>350.00005727400077</v>
      </c>
      <c r="L3" s="1" t="e">
        <v>#DIV/0!</v>
      </c>
      <c r="M3" s="1">
        <v>350.00005727400077</v>
      </c>
      <c r="N3" s="1" t="e">
        <v>#DIV/0!</v>
      </c>
      <c r="O3" s="1">
        <v>59.605280425693117</v>
      </c>
      <c r="P3" s="1" t="e">
        <v>#DIV/0!</v>
      </c>
    </row>
    <row r="4" spans="1:16" x14ac:dyDescent="0.25">
      <c r="A4" s="1">
        <v>0</v>
      </c>
      <c r="B4" s="1">
        <v>0.4</v>
      </c>
      <c r="C4" s="1">
        <f>C3+25</f>
        <v>375</v>
      </c>
      <c r="D4" s="1">
        <v>100</v>
      </c>
      <c r="E4" s="1">
        <v>50</v>
      </c>
      <c r="F4" s="1">
        <v>17618131.18782936</v>
      </c>
      <c r="G4" s="1">
        <v>50</v>
      </c>
      <c r="H4" s="1">
        <v>1310770</v>
      </c>
      <c r="I4" s="1">
        <f t="shared" si="0"/>
        <v>375</v>
      </c>
      <c r="J4" s="1">
        <f t="shared" si="0"/>
        <v>375</v>
      </c>
      <c r="K4" s="1">
        <v>375.00053465399219</v>
      </c>
      <c r="L4" s="1" t="e">
        <v>#DIV/0!</v>
      </c>
      <c r="M4" s="1">
        <v>375.00053465399219</v>
      </c>
      <c r="N4" s="1" t="e">
        <v>#DIV/0!</v>
      </c>
      <c r="O4" s="1">
        <v>59.605280185047874</v>
      </c>
      <c r="P4" s="1" t="e">
        <v>#DIV/0!</v>
      </c>
    </row>
    <row r="5" spans="1:16" x14ac:dyDescent="0.25">
      <c r="A5" s="1">
        <v>0</v>
      </c>
      <c r="B5" s="1">
        <v>0.4</v>
      </c>
      <c r="C5" s="1">
        <f t="shared" ref="C5:C16" si="1">C4+25</f>
        <v>400</v>
      </c>
      <c r="D5" s="1">
        <v>100</v>
      </c>
      <c r="E5" s="1">
        <v>50</v>
      </c>
      <c r="F5" s="1">
        <v>2495262.6954646115</v>
      </c>
      <c r="G5" s="1">
        <v>50</v>
      </c>
      <c r="H5" s="1">
        <v>327730</v>
      </c>
      <c r="I5" s="1">
        <f t="shared" si="0"/>
        <v>400</v>
      </c>
      <c r="J5" s="1">
        <f t="shared" si="0"/>
        <v>400</v>
      </c>
      <c r="K5" s="1">
        <v>400.00377542630554</v>
      </c>
      <c r="L5" s="1" t="e">
        <v>#DIV/0!</v>
      </c>
      <c r="M5" s="1">
        <v>400.00377542630554</v>
      </c>
      <c r="N5" s="1" t="e">
        <v>#DIV/0!</v>
      </c>
      <c r="O5" s="1">
        <v>59.605280481566851</v>
      </c>
      <c r="P5" s="1" t="e">
        <v>#DIV/0!</v>
      </c>
    </row>
    <row r="6" spans="1:16" x14ac:dyDescent="0.25">
      <c r="A6" s="1">
        <v>0</v>
      </c>
      <c r="B6" s="1">
        <v>0.4</v>
      </c>
      <c r="C6" s="1">
        <f t="shared" si="1"/>
        <v>425</v>
      </c>
      <c r="D6" s="1">
        <v>100</v>
      </c>
      <c r="E6" s="1">
        <v>50</v>
      </c>
      <c r="F6" s="1">
        <v>444771.20728469273</v>
      </c>
      <c r="G6" s="1">
        <v>50</v>
      </c>
      <c r="H6" s="1">
        <v>41010</v>
      </c>
      <c r="I6" s="1">
        <f t="shared" si="0"/>
        <v>425</v>
      </c>
      <c r="J6" s="1">
        <f t="shared" si="0"/>
        <v>425</v>
      </c>
      <c r="K6" s="1">
        <v>425.02119240435002</v>
      </c>
      <c r="L6" s="1" t="e">
        <v>#DIV/0!</v>
      </c>
      <c r="M6" s="1">
        <v>425.02119240435002</v>
      </c>
      <c r="N6" s="1" t="e">
        <v>#DIV/0!</v>
      </c>
      <c r="O6" s="1">
        <v>59.605280480892752</v>
      </c>
      <c r="P6" s="1" t="e">
        <v>#DIV/0!</v>
      </c>
    </row>
    <row r="7" spans="1:16" x14ac:dyDescent="0.25">
      <c r="A7" s="1">
        <v>0</v>
      </c>
      <c r="B7" s="1">
        <v>0.4</v>
      </c>
      <c r="C7" s="1">
        <f t="shared" si="1"/>
        <v>450</v>
      </c>
      <c r="D7" s="1">
        <v>100</v>
      </c>
      <c r="E7" s="1">
        <v>50</v>
      </c>
      <c r="F7" s="1">
        <v>96023.385175508243</v>
      </c>
      <c r="G7" s="1">
        <v>50</v>
      </c>
      <c r="H7" s="1">
        <v>85451.879617241109</v>
      </c>
      <c r="I7" s="1">
        <f t="shared" si="0"/>
        <v>450</v>
      </c>
      <c r="J7" s="1">
        <f t="shared" si="0"/>
        <v>450</v>
      </c>
      <c r="K7" s="1">
        <v>450.09836944087658</v>
      </c>
      <c r="L7" s="1" t="e">
        <v>#DIV/0!</v>
      </c>
      <c r="M7" s="1">
        <v>450.09836944087658</v>
      </c>
      <c r="N7" s="1" t="e">
        <v>#DIV/0!</v>
      </c>
      <c r="O7" s="1">
        <v>59.605280488803679</v>
      </c>
      <c r="P7" s="1" t="e">
        <v>#DIV/0!</v>
      </c>
    </row>
    <row r="8" spans="1:16" x14ac:dyDescent="0.25">
      <c r="A8" s="1">
        <v>0</v>
      </c>
      <c r="B8" s="1">
        <v>0.4</v>
      </c>
      <c r="C8" s="1">
        <f t="shared" si="1"/>
        <v>475</v>
      </c>
      <c r="D8" s="1">
        <v>100</v>
      </c>
      <c r="E8" s="1">
        <v>50</v>
      </c>
      <c r="F8" s="1">
        <v>24361.124062626146</v>
      </c>
      <c r="G8" s="1">
        <v>50</v>
      </c>
      <c r="H8" s="1">
        <v>21464.417565989152</v>
      </c>
      <c r="I8" s="1">
        <f t="shared" si="0"/>
        <v>475</v>
      </c>
      <c r="J8" s="1">
        <f t="shared" si="0"/>
        <v>475</v>
      </c>
      <c r="K8" s="1">
        <v>475.39051542973345</v>
      </c>
      <c r="L8" s="1" t="e">
        <v>#DIV/0!</v>
      </c>
      <c r="M8" s="1">
        <v>475.39051542973345</v>
      </c>
      <c r="N8" s="1" t="e">
        <v>#DIV/0!</v>
      </c>
      <c r="O8" s="1">
        <v>59.605280482741861</v>
      </c>
      <c r="P8" s="1" t="e">
        <v>#DIV/0!</v>
      </c>
    </row>
    <row r="9" spans="1:16" x14ac:dyDescent="0.25">
      <c r="A9" s="1">
        <v>0</v>
      </c>
      <c r="B9" s="1">
        <v>0.4</v>
      </c>
      <c r="C9" s="1">
        <f t="shared" si="1"/>
        <v>500</v>
      </c>
      <c r="D9" s="1">
        <v>100</v>
      </c>
      <c r="E9" s="1">
        <v>50</v>
      </c>
      <c r="F9" s="1">
        <v>7089.0102370435197</v>
      </c>
      <c r="G9" s="1">
        <v>50</v>
      </c>
      <c r="H9" s="1">
        <v>1330</v>
      </c>
      <c r="I9" s="1">
        <f t="shared" si="0"/>
        <v>500</v>
      </c>
      <c r="J9" s="1">
        <f t="shared" si="0"/>
        <v>500</v>
      </c>
      <c r="K9" s="1">
        <v>501.37091822084716</v>
      </c>
      <c r="L9" s="1" t="e">
        <v>#DIV/0!</v>
      </c>
      <c r="M9" s="1">
        <v>501.37091822084716</v>
      </c>
      <c r="N9" s="1" t="e">
        <v>#DIV/0!</v>
      </c>
      <c r="O9" s="1">
        <v>59.605280463390564</v>
      </c>
      <c r="P9" s="1" t="e">
        <v>#DIV/0!</v>
      </c>
    </row>
    <row r="10" spans="1:16" x14ac:dyDescent="0.25">
      <c r="A10" s="1">
        <v>0</v>
      </c>
      <c r="B10" s="1">
        <v>0.4</v>
      </c>
      <c r="C10" s="1">
        <f t="shared" si="1"/>
        <v>525</v>
      </c>
      <c r="D10" s="1">
        <v>100</v>
      </c>
      <c r="E10" s="1">
        <v>50</v>
      </c>
      <c r="F10" s="1">
        <v>2320.2359224640713</v>
      </c>
      <c r="G10" s="1">
        <v>50</v>
      </c>
      <c r="H10" s="1">
        <v>1634.6689533311549</v>
      </c>
      <c r="I10" s="1">
        <f t="shared" si="0"/>
        <v>525</v>
      </c>
      <c r="J10" s="1">
        <f t="shared" si="0"/>
        <v>525</v>
      </c>
      <c r="K10" s="1">
        <v>529.4440272080077</v>
      </c>
      <c r="L10" s="1" t="e">
        <v>#DIV/0!</v>
      </c>
      <c r="M10" s="1">
        <v>529.4440272080077</v>
      </c>
      <c r="N10" s="1" t="e">
        <v>#DIV/0!</v>
      </c>
      <c r="O10" s="1">
        <v>59.605280265473205</v>
      </c>
      <c r="P10" s="1" t="e">
        <v>#DIV/0!</v>
      </c>
    </row>
    <row r="11" spans="1:16" x14ac:dyDescent="0.25">
      <c r="A11" s="1">
        <v>0</v>
      </c>
      <c r="B11" s="1">
        <v>0.4</v>
      </c>
      <c r="C11" s="1">
        <f t="shared" si="1"/>
        <v>550</v>
      </c>
      <c r="D11" s="1">
        <v>100</v>
      </c>
      <c r="E11" s="1">
        <v>50</v>
      </c>
      <c r="F11" s="1">
        <v>840.57109387453841</v>
      </c>
      <c r="G11" s="1">
        <v>50</v>
      </c>
      <c r="H11" s="1">
        <v>409.03031837519865</v>
      </c>
      <c r="I11" s="1">
        <f t="shared" si="0"/>
        <v>550</v>
      </c>
      <c r="J11" s="1">
        <f t="shared" si="0"/>
        <v>550</v>
      </c>
      <c r="K11" s="1">
        <v>564.49339463886031</v>
      </c>
      <c r="L11" s="1" t="e">
        <v>#DIV/0!</v>
      </c>
      <c r="M11" s="1">
        <v>564.49339463886031</v>
      </c>
      <c r="N11" s="1" t="e">
        <v>#DIV/0!</v>
      </c>
      <c r="O11" s="1">
        <v>59.605280134861076</v>
      </c>
      <c r="P11" s="1" t="e">
        <v>#DIV/0!</v>
      </c>
    </row>
    <row r="12" spans="1:16" x14ac:dyDescent="0.25">
      <c r="A12" s="1">
        <v>0</v>
      </c>
      <c r="B12" s="1">
        <v>0.4</v>
      </c>
      <c r="C12" s="1">
        <f t="shared" si="1"/>
        <v>575</v>
      </c>
      <c r="D12" s="1">
        <v>100</v>
      </c>
      <c r="E12" s="1">
        <v>50</v>
      </c>
      <c r="F12" s="1">
        <v>332.62961295954022</v>
      </c>
      <c r="G12" s="1">
        <v>50</v>
      </c>
      <c r="H12" s="1">
        <v>51.079774176026227</v>
      </c>
      <c r="I12" s="1">
        <f t="shared" si="0"/>
        <v>575</v>
      </c>
      <c r="J12" s="1">
        <f t="shared" si="0"/>
        <v>575</v>
      </c>
      <c r="K12" s="1">
        <v>650.30889272834668</v>
      </c>
      <c r="L12" s="1">
        <v>768.89038596530054</v>
      </c>
      <c r="M12" s="1">
        <v>650.30889272834668</v>
      </c>
      <c r="N12" s="1">
        <v>768.89038596530054</v>
      </c>
      <c r="O12" s="1">
        <v>59.605279213304527</v>
      </c>
      <c r="P12" s="1">
        <v>59596.530259333042</v>
      </c>
    </row>
    <row r="13" spans="1:16" x14ac:dyDescent="0.25">
      <c r="A13" s="1">
        <v>0</v>
      </c>
      <c r="B13" s="1">
        <v>0.4</v>
      </c>
      <c r="C13" s="1">
        <f t="shared" si="1"/>
        <v>600</v>
      </c>
      <c r="D13" s="1">
        <v>100</v>
      </c>
      <c r="E13" s="1">
        <v>50</v>
      </c>
      <c r="F13" s="1">
        <v>142.19964383187829</v>
      </c>
      <c r="G13" s="1">
        <v>50</v>
      </c>
      <c r="H13" s="1">
        <v>50.454226499586298</v>
      </c>
      <c r="I13" s="1">
        <f t="shared" si="0"/>
        <v>600</v>
      </c>
      <c r="J13" s="1">
        <f t="shared" si="0"/>
        <v>600</v>
      </c>
      <c r="K13" s="1">
        <v>-128043303.20823207</v>
      </c>
      <c r="L13" s="1" t="e">
        <v>#DIV/0!</v>
      </c>
      <c r="M13" s="1">
        <v>1217.8461504911752</v>
      </c>
      <c r="N13" s="1" t="e">
        <v>#DIV/0!</v>
      </c>
      <c r="O13" s="1">
        <v>59.605276458224182</v>
      </c>
      <c r="P13" s="1" t="e">
        <v>#DIV/0!</v>
      </c>
    </row>
    <row r="14" spans="1:16" x14ac:dyDescent="0.25">
      <c r="A14" s="1">
        <v>0</v>
      </c>
      <c r="B14" s="1">
        <v>0.4</v>
      </c>
      <c r="C14" s="1">
        <f t="shared" si="1"/>
        <v>625</v>
      </c>
      <c r="D14" s="1">
        <v>100</v>
      </c>
      <c r="E14" s="1">
        <v>50</v>
      </c>
      <c r="F14" s="1">
        <v>65.067048585361974</v>
      </c>
      <c r="G14" s="1">
        <v>50</v>
      </c>
      <c r="H14" s="1">
        <v>51.25</v>
      </c>
      <c r="I14" s="1">
        <f t="shared" si="0"/>
        <v>625</v>
      </c>
      <c r="J14" s="1">
        <f t="shared" si="0"/>
        <v>625</v>
      </c>
      <c r="K14" s="1">
        <v>16957690.385649551</v>
      </c>
      <c r="L14" s="1">
        <v>53833719.989243679</v>
      </c>
      <c r="M14" s="1">
        <v>16957690.385649551</v>
      </c>
      <c r="N14" s="1">
        <v>53833719.989243679</v>
      </c>
      <c r="O14" s="1">
        <v>59.605269646384436</v>
      </c>
      <c r="P14" s="1">
        <v>10603.582781621935</v>
      </c>
    </row>
    <row r="15" spans="1:16" x14ac:dyDescent="0.25">
      <c r="A15" s="1">
        <v>0</v>
      </c>
      <c r="B15" s="1">
        <v>0.4</v>
      </c>
      <c r="C15" s="1">
        <f t="shared" si="1"/>
        <v>650</v>
      </c>
      <c r="D15" s="1">
        <v>100</v>
      </c>
      <c r="E15" s="1">
        <v>50</v>
      </c>
      <c r="F15" s="1">
        <v>50</v>
      </c>
      <c r="G15" s="1">
        <v>50</v>
      </c>
      <c r="H15" s="1">
        <v>49.505915805813366</v>
      </c>
      <c r="I15" s="1">
        <f t="shared" si="0"/>
        <v>650</v>
      </c>
      <c r="J15" s="1">
        <f t="shared" si="0"/>
        <v>650</v>
      </c>
      <c r="K15" s="1">
        <v>14221340.916835116</v>
      </c>
      <c r="L15" s="1">
        <v>40221838.24858617</v>
      </c>
      <c r="M15" s="1">
        <v>14221340.916835116</v>
      </c>
      <c r="N15" s="1">
        <v>40221838.24858617</v>
      </c>
      <c r="O15" s="1">
        <v>49.933951729426759</v>
      </c>
      <c r="P15" s="1">
        <v>45152.781290719373</v>
      </c>
    </row>
    <row r="16" spans="1:16" x14ac:dyDescent="0.25">
      <c r="A16" s="1">
        <v>0</v>
      </c>
      <c r="B16" s="1">
        <v>0.4</v>
      </c>
      <c r="C16" s="1">
        <f t="shared" si="1"/>
        <v>675</v>
      </c>
      <c r="D16" s="1">
        <v>100</v>
      </c>
      <c r="E16" s="1">
        <v>50</v>
      </c>
      <c r="F16" s="1">
        <v>16.20836617287366</v>
      </c>
      <c r="G16" s="1">
        <v>50</v>
      </c>
      <c r="H16" s="1">
        <v>50</v>
      </c>
      <c r="I16" s="1">
        <f t="shared" si="0"/>
        <v>675</v>
      </c>
      <c r="J16" s="1">
        <f t="shared" si="0"/>
        <v>675</v>
      </c>
      <c r="K16" s="1">
        <v>16214121.658135265</v>
      </c>
      <c r="L16" s="1" t="e">
        <v>#DIV/0!</v>
      </c>
      <c r="M16" s="1">
        <v>16214121.658135265</v>
      </c>
      <c r="N16" s="1" t="e">
        <v>#DIV/0!</v>
      </c>
      <c r="O16" s="1">
        <v>59.605212744122866</v>
      </c>
      <c r="P16" s="1" t="e">
        <v>#DIV/0!</v>
      </c>
    </row>
    <row r="17" spans="1:22" x14ac:dyDescent="0.25">
      <c r="A17" s="1">
        <v>0</v>
      </c>
      <c r="B17" s="1">
        <v>0.4</v>
      </c>
      <c r="C17" s="1">
        <v>350</v>
      </c>
      <c r="D17" s="1">
        <v>250</v>
      </c>
      <c r="E17" s="1">
        <v>50</v>
      </c>
      <c r="F17" s="1">
        <v>65784980.88605307</v>
      </c>
      <c r="G17" s="1">
        <v>50</v>
      </c>
      <c r="H17" s="1">
        <v>5242930</v>
      </c>
      <c r="I17" s="1">
        <f t="shared" si="0"/>
        <v>350</v>
      </c>
      <c r="J17" s="1">
        <f t="shared" si="0"/>
        <v>350</v>
      </c>
      <c r="K17" s="1">
        <v>350.00014318558311</v>
      </c>
      <c r="L17" s="1" t="e">
        <v>#DIV/0!</v>
      </c>
      <c r="M17" s="1">
        <v>350.00014318558311</v>
      </c>
      <c r="N17" s="1" t="e">
        <v>#DIV/0!</v>
      </c>
      <c r="O17" s="1">
        <v>149.01320046262398</v>
      </c>
      <c r="P17" s="1" t="e">
        <v>#DIV/0!</v>
      </c>
    </row>
    <row r="18" spans="1:22" x14ac:dyDescent="0.25">
      <c r="A18" s="1">
        <v>0</v>
      </c>
      <c r="B18" s="1">
        <v>0.4</v>
      </c>
      <c r="C18" s="1">
        <f>C17+25</f>
        <v>375</v>
      </c>
      <c r="D18" s="1">
        <v>250</v>
      </c>
      <c r="E18" s="1">
        <v>50</v>
      </c>
      <c r="F18" s="1">
        <v>7047252.3322143136</v>
      </c>
      <c r="G18" s="1">
        <v>50</v>
      </c>
      <c r="H18" s="1">
        <v>655410</v>
      </c>
      <c r="I18" s="1">
        <f t="shared" si="0"/>
        <v>375</v>
      </c>
      <c r="J18" s="1">
        <f t="shared" si="0"/>
        <v>375</v>
      </c>
      <c r="K18" s="1">
        <v>375.00133667905527</v>
      </c>
      <c r="L18" s="1" t="e">
        <v>#DIV/0!</v>
      </c>
      <c r="M18" s="1">
        <v>375.00133667905527</v>
      </c>
      <c r="N18" s="1" t="e">
        <v>#DIV/0!</v>
      </c>
      <c r="O18" s="1">
        <v>149.01320120003743</v>
      </c>
      <c r="P18" s="1" t="e">
        <v>#DIV/0!</v>
      </c>
    </row>
    <row r="19" spans="1:22" x14ac:dyDescent="0.25">
      <c r="A19" s="1">
        <v>0</v>
      </c>
      <c r="B19" s="1">
        <v>0.4</v>
      </c>
      <c r="C19" s="1">
        <f t="shared" ref="C19:C30" si="2">C18+25</f>
        <v>400</v>
      </c>
      <c r="D19" s="1">
        <v>250</v>
      </c>
      <c r="E19" s="1">
        <v>50</v>
      </c>
      <c r="F19" s="1">
        <v>998105.07680831908</v>
      </c>
      <c r="G19" s="1">
        <v>50</v>
      </c>
      <c r="H19" s="1">
        <v>81970</v>
      </c>
      <c r="I19" s="1">
        <f t="shared" si="0"/>
        <v>400</v>
      </c>
      <c r="J19" s="1">
        <f t="shared" si="0"/>
        <v>400</v>
      </c>
      <c r="K19" s="1">
        <v>400.00944049550463</v>
      </c>
      <c r="L19" s="1" t="e">
        <v>#DIV/0!</v>
      </c>
      <c r="M19" s="1">
        <v>400.00944049550463</v>
      </c>
      <c r="N19" s="1" t="e">
        <v>#DIV/0!</v>
      </c>
      <c r="O19" s="1">
        <v>149.0132012541161</v>
      </c>
      <c r="P19" s="1" t="e">
        <v>#DIV/0!</v>
      </c>
    </row>
    <row r="20" spans="1:22" x14ac:dyDescent="0.25">
      <c r="A20" s="1">
        <v>0</v>
      </c>
      <c r="B20" s="1">
        <v>0.4</v>
      </c>
      <c r="C20" s="1">
        <f t="shared" si="2"/>
        <v>425</v>
      </c>
      <c r="D20" s="1">
        <v>250</v>
      </c>
      <c r="E20" s="1">
        <v>50</v>
      </c>
      <c r="F20" s="1">
        <v>177908.48243094436</v>
      </c>
      <c r="G20" s="1">
        <v>50</v>
      </c>
      <c r="H20" s="1">
        <v>20530</v>
      </c>
      <c r="I20" s="1">
        <f t="shared" si="0"/>
        <v>425</v>
      </c>
      <c r="J20" s="1">
        <f t="shared" si="0"/>
        <v>425</v>
      </c>
      <c r="K20" s="1">
        <v>425.05303487160501</v>
      </c>
      <c r="L20" s="1" t="e">
        <v>#DIV/0!</v>
      </c>
      <c r="M20" s="1">
        <v>425.05303487160501</v>
      </c>
      <c r="N20" s="1" t="e">
        <v>#DIV/0!</v>
      </c>
      <c r="O20" s="1">
        <v>149.01320130106524</v>
      </c>
      <c r="P20" s="1" t="e">
        <v>#DIV/0!</v>
      </c>
    </row>
    <row r="21" spans="1:22" x14ac:dyDescent="0.25">
      <c r="A21" s="1">
        <v>0</v>
      </c>
      <c r="B21" s="1">
        <v>0.4</v>
      </c>
      <c r="C21" s="1">
        <f t="shared" si="2"/>
        <v>450</v>
      </c>
      <c r="D21" s="1">
        <v>250</v>
      </c>
      <c r="E21" s="1">
        <v>50</v>
      </c>
      <c r="F21" s="1">
        <v>38409.354178500369</v>
      </c>
      <c r="G21" s="1">
        <v>50</v>
      </c>
      <c r="H21" s="1">
        <v>32598.209708326172</v>
      </c>
      <c r="I21" s="1">
        <f t="shared" si="0"/>
        <v>450</v>
      </c>
      <c r="J21" s="1">
        <f t="shared" si="0"/>
        <v>450</v>
      </c>
      <c r="K21" s="1">
        <v>450.24696269822721</v>
      </c>
      <c r="L21" s="1" t="e">
        <v>#DIV/0!</v>
      </c>
      <c r="M21" s="1">
        <v>450.24696269822721</v>
      </c>
      <c r="N21" s="1" t="e">
        <v>#DIV/0!</v>
      </c>
      <c r="O21" s="1">
        <v>149.01320112040364</v>
      </c>
      <c r="P21" s="1" t="e">
        <v>#DIV/0!</v>
      </c>
    </row>
    <row r="22" spans="1:22" x14ac:dyDescent="0.25">
      <c r="A22" s="1">
        <v>0</v>
      </c>
      <c r="B22" s="1">
        <v>0.4</v>
      </c>
      <c r="C22" s="1">
        <f t="shared" si="2"/>
        <v>475</v>
      </c>
      <c r="D22" s="1">
        <v>250</v>
      </c>
      <c r="E22" s="1">
        <v>50</v>
      </c>
      <c r="F22" s="1">
        <v>9744.4496340059832</v>
      </c>
      <c r="G22" s="1">
        <v>50</v>
      </c>
      <c r="H22" s="1">
        <v>8040.1516277980563</v>
      </c>
      <c r="I22" s="1">
        <f t="shared" si="0"/>
        <v>475</v>
      </c>
      <c r="J22" s="1">
        <f t="shared" si="0"/>
        <v>475</v>
      </c>
      <c r="K22" s="1">
        <v>475.9912296350135</v>
      </c>
      <c r="L22" s="1" t="e">
        <v>#DIV/0!</v>
      </c>
      <c r="M22" s="1">
        <v>475.9912296350135</v>
      </c>
      <c r="N22" s="1" t="e">
        <v>#DIV/0!</v>
      </c>
      <c r="O22" s="1">
        <v>149.01320117878072</v>
      </c>
      <c r="P22" s="1" t="e">
        <v>#DIV/0!</v>
      </c>
    </row>
    <row r="23" spans="1:22" x14ac:dyDescent="0.25">
      <c r="A23" s="1">
        <v>0</v>
      </c>
      <c r="B23" s="1">
        <v>0.4</v>
      </c>
      <c r="C23" s="1">
        <f t="shared" si="2"/>
        <v>500</v>
      </c>
      <c r="D23" s="1">
        <v>250</v>
      </c>
      <c r="E23" s="1">
        <v>50</v>
      </c>
      <c r="F23" s="1">
        <v>2835.6041476368973</v>
      </c>
      <c r="G23" s="1">
        <v>50</v>
      </c>
      <c r="H23" s="1">
        <v>2093.4632121183554</v>
      </c>
      <c r="I23" s="1">
        <f t="shared" si="0"/>
        <v>500</v>
      </c>
      <c r="J23" s="1">
        <f t="shared" si="0"/>
        <v>500</v>
      </c>
      <c r="K23" s="1">
        <v>503.60277725969689</v>
      </c>
      <c r="L23" s="1" t="e">
        <v>#DIV/0!</v>
      </c>
      <c r="M23" s="1">
        <v>503.60277725969689</v>
      </c>
      <c r="N23" s="1" t="e">
        <v>#DIV/0!</v>
      </c>
      <c r="O23" s="1">
        <v>149.01320050736706</v>
      </c>
      <c r="P23" s="1" t="e">
        <v>#DIV/0!</v>
      </c>
    </row>
    <row r="24" spans="1:22" x14ac:dyDescent="0.25">
      <c r="A24" s="1">
        <v>0</v>
      </c>
      <c r="B24" s="1">
        <v>0.4</v>
      </c>
      <c r="C24" s="1">
        <f t="shared" si="2"/>
        <v>525</v>
      </c>
      <c r="D24" s="1">
        <v>250</v>
      </c>
      <c r="E24" s="1">
        <v>50</v>
      </c>
      <c r="F24" s="1">
        <v>928.09435908291437</v>
      </c>
      <c r="G24" s="1">
        <v>50</v>
      </c>
      <c r="H24" s="1">
        <v>453.91505887937819</v>
      </c>
      <c r="I24" s="1">
        <f t="shared" si="0"/>
        <v>525</v>
      </c>
      <c r="J24" s="1">
        <f t="shared" si="0"/>
        <v>525</v>
      </c>
      <c r="K24" s="1">
        <v>538.11258137525783</v>
      </c>
      <c r="L24" s="1" t="e">
        <v>#DIV/0!</v>
      </c>
      <c r="M24" s="1">
        <v>538.11258137525783</v>
      </c>
      <c r="N24" s="1" t="e">
        <v>#DIV/0!</v>
      </c>
      <c r="O24" s="1">
        <v>149.01320116268036</v>
      </c>
      <c r="P24" s="1" t="e">
        <v>#DIV/0!</v>
      </c>
    </row>
    <row r="25" spans="1:22" x14ac:dyDescent="0.25">
      <c r="A25" s="1">
        <v>0</v>
      </c>
      <c r="B25" s="1">
        <v>0.4</v>
      </c>
      <c r="C25" s="1">
        <f t="shared" si="2"/>
        <v>550</v>
      </c>
      <c r="D25" s="1">
        <v>250</v>
      </c>
      <c r="E25" s="1">
        <v>50</v>
      </c>
      <c r="F25" s="1">
        <v>336.22843729238855</v>
      </c>
      <c r="G25" s="1">
        <v>50</v>
      </c>
      <c r="H25" s="1">
        <v>47.089915864514523</v>
      </c>
      <c r="I25" s="1">
        <f t="shared" si="0"/>
        <v>550</v>
      </c>
      <c r="J25" s="1">
        <f t="shared" si="0"/>
        <v>550</v>
      </c>
      <c r="K25" s="1">
        <v>652.44669371116629</v>
      </c>
      <c r="L25" s="1">
        <v>743.89651023690305</v>
      </c>
      <c r="M25" s="1">
        <v>652.44669371116629</v>
      </c>
      <c r="N25" s="1">
        <v>743.89651023690305</v>
      </c>
      <c r="O25" s="1">
        <v>149.01320077913905</v>
      </c>
      <c r="P25" s="1">
        <v>149002.68224027439</v>
      </c>
    </row>
    <row r="26" spans="1:22" x14ac:dyDescent="0.25">
      <c r="A26" s="1">
        <v>0</v>
      </c>
      <c r="B26" s="1">
        <v>0.4</v>
      </c>
      <c r="C26" s="1">
        <f t="shared" si="2"/>
        <v>575</v>
      </c>
      <c r="D26" s="1">
        <v>250</v>
      </c>
      <c r="E26" s="1">
        <v>50</v>
      </c>
      <c r="F26" s="1">
        <v>133.05184422782014</v>
      </c>
      <c r="G26" s="1">
        <v>50</v>
      </c>
      <c r="H26" s="1">
        <v>50.3125</v>
      </c>
      <c r="I26" s="1">
        <f t="shared" si="0"/>
        <v>575</v>
      </c>
      <c r="J26" s="1">
        <f t="shared" si="0"/>
        <v>575</v>
      </c>
      <c r="K26" s="1">
        <v>33779230.306467175</v>
      </c>
      <c r="L26" s="1" t="e">
        <v>#DIV/0!</v>
      </c>
      <c r="M26" s="1">
        <v>33779230.306467175</v>
      </c>
      <c r="N26" s="1" t="e">
        <v>#DIV/0!</v>
      </c>
      <c r="O26" s="1">
        <v>149.01319967762927</v>
      </c>
      <c r="P26" s="1" t="e">
        <v>#DIV/0!</v>
      </c>
    </row>
    <row r="27" spans="1:22" x14ac:dyDescent="0.25">
      <c r="A27" s="1">
        <v>0</v>
      </c>
      <c r="B27" s="1">
        <v>0.4</v>
      </c>
      <c r="C27" s="1">
        <f t="shared" si="2"/>
        <v>600</v>
      </c>
      <c r="D27" s="1">
        <v>250</v>
      </c>
      <c r="E27" s="1">
        <v>50</v>
      </c>
      <c r="F27" s="1">
        <v>56.879855950281822</v>
      </c>
      <c r="G27" s="1">
        <v>50</v>
      </c>
      <c r="H27" s="1">
        <v>45</v>
      </c>
      <c r="I27" s="1">
        <f t="shared" si="0"/>
        <v>600</v>
      </c>
      <c r="J27" s="1">
        <f t="shared" si="0"/>
        <v>600</v>
      </c>
      <c r="K27" s="1">
        <v>19543289.834387787</v>
      </c>
      <c r="L27" s="1" t="e">
        <v>#DIV/0!</v>
      </c>
      <c r="M27" s="1">
        <v>19543289.834387787</v>
      </c>
      <c r="N27" s="1" t="e">
        <v>#DIV/0!</v>
      </c>
      <c r="O27" s="1">
        <v>149.01319634904959</v>
      </c>
      <c r="P27" s="1" t="e">
        <v>#DIV/0!</v>
      </c>
    </row>
    <row r="28" spans="1:22" x14ac:dyDescent="0.25">
      <c r="A28" s="1">
        <v>0</v>
      </c>
      <c r="B28" s="1">
        <v>0.4</v>
      </c>
      <c r="C28" s="1">
        <f t="shared" si="2"/>
        <v>625</v>
      </c>
      <c r="D28" s="1">
        <v>250</v>
      </c>
      <c r="E28" s="1">
        <v>50</v>
      </c>
      <c r="F28" s="1">
        <v>26.026817513585431</v>
      </c>
      <c r="G28" s="1">
        <v>50</v>
      </c>
      <c r="H28" s="1">
        <v>40</v>
      </c>
      <c r="I28" s="1">
        <f t="shared" si="0"/>
        <v>625</v>
      </c>
      <c r="J28" s="1">
        <f t="shared" si="0"/>
        <v>625</v>
      </c>
      <c r="K28" s="1">
        <v>17770316.493296862</v>
      </c>
      <c r="L28" s="1" t="e">
        <v>#DIV/0!</v>
      </c>
      <c r="M28" s="1">
        <v>17770316.493296862</v>
      </c>
      <c r="N28" s="1" t="e">
        <v>#DIV/0!</v>
      </c>
      <c r="O28" s="1">
        <v>149.01318846137818</v>
      </c>
      <c r="P28" s="1" t="e">
        <v>#DIV/0!</v>
      </c>
    </row>
    <row r="29" spans="1:22" x14ac:dyDescent="0.25">
      <c r="A29" s="1">
        <v>0</v>
      </c>
      <c r="B29" s="1">
        <v>0.4</v>
      </c>
      <c r="C29" s="1">
        <f t="shared" si="2"/>
        <v>650</v>
      </c>
      <c r="D29" s="1">
        <v>250</v>
      </c>
      <c r="E29" s="1">
        <v>50</v>
      </c>
      <c r="F29" s="1">
        <v>12.647420417069284</v>
      </c>
      <c r="G29" s="1">
        <v>50</v>
      </c>
      <c r="H29" s="1">
        <v>53.897530161727239</v>
      </c>
      <c r="I29" s="1">
        <f t="shared" si="0"/>
        <v>650</v>
      </c>
      <c r="J29" s="1">
        <f t="shared" si="0"/>
        <v>650</v>
      </c>
      <c r="K29" s="1">
        <v>1009007147524.2692</v>
      </c>
      <c r="L29" s="1" t="e">
        <v>#DIV/0!</v>
      </c>
      <c r="M29" s="1">
        <v>1009007147524.2692</v>
      </c>
      <c r="N29" s="1" t="e">
        <v>#DIV/0!</v>
      </c>
      <c r="O29" s="1">
        <v>149.0131653489141</v>
      </c>
      <c r="P29" s="1" t="e">
        <v>#DIV/0!</v>
      </c>
    </row>
    <row r="30" spans="1:22" x14ac:dyDescent="0.25">
      <c r="A30" s="1">
        <v>0</v>
      </c>
      <c r="B30" s="1">
        <v>0.4</v>
      </c>
      <c r="C30" s="1">
        <f t="shared" si="2"/>
        <v>675</v>
      </c>
      <c r="D30" s="1">
        <v>250</v>
      </c>
      <c r="E30" s="1">
        <v>50</v>
      </c>
      <c r="F30" s="1">
        <v>0</v>
      </c>
      <c r="G30" s="1">
        <v>50</v>
      </c>
      <c r="H30" s="1">
        <v>50</v>
      </c>
      <c r="I30" s="1">
        <f t="shared" si="0"/>
        <v>675</v>
      </c>
      <c r="J30" s="1">
        <f t="shared" si="0"/>
        <v>675</v>
      </c>
      <c r="K30" s="1">
        <v>18312021.304686289</v>
      </c>
      <c r="L30" s="1" t="e">
        <v>#DIV/0!</v>
      </c>
      <c r="M30" s="1">
        <v>18312021.304686289</v>
      </c>
      <c r="N30" s="1" t="e">
        <v>#DIV/0!</v>
      </c>
      <c r="O30" s="1" t="e">
        <v>#DIV/0!</v>
      </c>
      <c r="P30" s="1" t="e">
        <v>#DIV/0!</v>
      </c>
      <c r="R30">
        <v>0</v>
      </c>
      <c r="V30">
        <v>0</v>
      </c>
    </row>
    <row r="31" spans="1:22" hidden="1" x14ac:dyDescent="0.25">
      <c r="A31" s="1">
        <v>0</v>
      </c>
      <c r="B31" s="1">
        <v>0.4</v>
      </c>
      <c r="C31" s="1">
        <v>350</v>
      </c>
      <c r="D31" s="1">
        <v>500</v>
      </c>
      <c r="E31" s="1">
        <v>50</v>
      </c>
      <c r="F31" s="1">
        <v>50</v>
      </c>
      <c r="G31" s="1">
        <v>50</v>
      </c>
      <c r="H31" s="1">
        <v>2621490</v>
      </c>
      <c r="I31" s="1">
        <f t="shared" si="0"/>
        <v>350</v>
      </c>
      <c r="J31" s="1">
        <f t="shared" si="0"/>
        <v>350</v>
      </c>
      <c r="K31" s="1">
        <v>350.00028637310379</v>
      </c>
      <c r="L31" s="1" t="e">
        <v>#NUM!</v>
      </c>
      <c r="M31" s="1">
        <v>350.00028637310379</v>
      </c>
      <c r="N31" s="1" t="e">
        <v>#NUM!</v>
      </c>
      <c r="O31" s="1">
        <v>355.46139816882948</v>
      </c>
      <c r="P31" s="1" t="e">
        <v>#NUM!</v>
      </c>
    </row>
    <row r="32" spans="1:22" x14ac:dyDescent="0.25">
      <c r="A32" s="1">
        <v>0</v>
      </c>
      <c r="B32" s="1">
        <v>0.4</v>
      </c>
      <c r="C32" s="1">
        <f>C31+25</f>
        <v>375</v>
      </c>
      <c r="D32" s="1">
        <v>500</v>
      </c>
      <c r="E32" s="1">
        <v>50</v>
      </c>
      <c r="F32" s="1">
        <v>3523626.1661069174</v>
      </c>
      <c r="G32" s="1">
        <v>50</v>
      </c>
      <c r="H32" s="1">
        <v>327730</v>
      </c>
      <c r="I32" s="1">
        <f t="shared" si="0"/>
        <v>375</v>
      </c>
      <c r="J32" s="1">
        <f t="shared" si="0"/>
        <v>375</v>
      </c>
      <c r="K32" s="1">
        <v>375.00267350504333</v>
      </c>
      <c r="L32" s="1" t="e">
        <v>#NUM!</v>
      </c>
      <c r="M32" s="1">
        <v>375.00267350504333</v>
      </c>
      <c r="N32" s="1" t="e">
        <v>#NUM!</v>
      </c>
      <c r="O32" s="1">
        <v>298.02640240007952</v>
      </c>
      <c r="P32" s="1" t="e">
        <v>#NUM!</v>
      </c>
    </row>
    <row r="33" spans="1:16" x14ac:dyDescent="0.25">
      <c r="A33" s="1">
        <v>0</v>
      </c>
      <c r="B33" s="1">
        <v>0.4</v>
      </c>
      <c r="C33" s="1">
        <f t="shared" ref="C33:C44" si="3">C32+25</f>
        <v>400</v>
      </c>
      <c r="D33" s="1">
        <v>500</v>
      </c>
      <c r="E33" s="1">
        <v>50</v>
      </c>
      <c r="F33" s="1">
        <v>499052.53840320319</v>
      </c>
      <c r="G33" s="1">
        <v>50</v>
      </c>
      <c r="H33" s="1">
        <v>41010</v>
      </c>
      <c r="I33" s="1">
        <f t="shared" si="0"/>
        <v>400</v>
      </c>
      <c r="J33" s="1">
        <f t="shared" si="0"/>
        <v>400</v>
      </c>
      <c r="K33" s="1">
        <v>400.01888742798883</v>
      </c>
      <c r="L33" s="1" t="e">
        <v>#DIV/0!</v>
      </c>
      <c r="M33" s="1">
        <v>400.01888742798883</v>
      </c>
      <c r="N33" s="1" t="e">
        <v>#DIV/0!</v>
      </c>
      <c r="O33" s="1">
        <v>298.02640250838283</v>
      </c>
      <c r="P33" s="1" t="e">
        <v>#DIV/0!</v>
      </c>
    </row>
    <row r="34" spans="1:16" x14ac:dyDescent="0.25">
      <c r="A34" s="1">
        <v>0</v>
      </c>
      <c r="B34" s="1">
        <v>0.4</v>
      </c>
      <c r="C34" s="1">
        <f t="shared" si="3"/>
        <v>425</v>
      </c>
      <c r="D34" s="1">
        <v>500</v>
      </c>
      <c r="E34" s="1">
        <v>50</v>
      </c>
      <c r="F34" s="1">
        <v>88954.241213625093</v>
      </c>
      <c r="G34" s="1">
        <v>50</v>
      </c>
      <c r="H34" s="1">
        <v>10290</v>
      </c>
      <c r="I34" s="1">
        <f t="shared" si="0"/>
        <v>425</v>
      </c>
      <c r="J34" s="1">
        <f t="shared" si="0"/>
        <v>425</v>
      </c>
      <c r="K34" s="1">
        <v>425.10624990450867</v>
      </c>
      <c r="L34" s="1" t="e">
        <v>#DIV/0!</v>
      </c>
      <c r="M34" s="1">
        <v>425.10624990450867</v>
      </c>
      <c r="N34" s="1" t="e">
        <v>#DIV/0!</v>
      </c>
      <c r="O34" s="1">
        <v>298.02640260374613</v>
      </c>
      <c r="P34" s="1" t="e">
        <v>#DIV/0!</v>
      </c>
    </row>
    <row r="35" spans="1:16" x14ac:dyDescent="0.25">
      <c r="A35" s="1">
        <v>0</v>
      </c>
      <c r="B35" s="1">
        <v>0.4</v>
      </c>
      <c r="C35" s="1">
        <f t="shared" si="3"/>
        <v>450</v>
      </c>
      <c r="D35" s="1">
        <v>500</v>
      </c>
      <c r="E35" s="1">
        <v>50</v>
      </c>
      <c r="F35" s="1">
        <v>19204.677091243037</v>
      </c>
      <c r="G35" s="1">
        <v>50</v>
      </c>
      <c r="H35" s="1">
        <v>2610</v>
      </c>
      <c r="I35" s="1">
        <f t="shared" si="0"/>
        <v>450</v>
      </c>
      <c r="J35" s="1">
        <f t="shared" si="0"/>
        <v>450</v>
      </c>
      <c r="K35" s="1">
        <v>450.49743952583981</v>
      </c>
      <c r="L35" s="1" t="e">
        <v>#DIV/0!</v>
      </c>
      <c r="M35" s="1">
        <v>450.49743952583981</v>
      </c>
      <c r="N35" s="1" t="e">
        <v>#DIV/0!</v>
      </c>
      <c r="O35" s="1">
        <v>298.02640223401079</v>
      </c>
      <c r="P35" s="1" t="e">
        <v>#DIV/0!</v>
      </c>
    </row>
    <row r="36" spans="1:16" x14ac:dyDescent="0.25">
      <c r="A36" s="1">
        <v>0</v>
      </c>
      <c r="B36" s="1">
        <v>0.4</v>
      </c>
      <c r="C36" s="1">
        <f t="shared" si="3"/>
        <v>475</v>
      </c>
      <c r="D36" s="1">
        <v>500</v>
      </c>
      <c r="E36" s="1">
        <v>50</v>
      </c>
      <c r="F36" s="1">
        <v>4872.2248191304307</v>
      </c>
      <c r="G36" s="1">
        <v>50</v>
      </c>
      <c r="H36" s="1">
        <v>3742.2763111128706</v>
      </c>
      <c r="I36" s="1">
        <f t="shared" si="0"/>
        <v>475</v>
      </c>
      <c r="J36" s="1">
        <f t="shared" si="0"/>
        <v>475</v>
      </c>
      <c r="K36" s="1">
        <v>477.03496740008683</v>
      </c>
      <c r="L36" s="1" t="e">
        <v>#DIV/0!</v>
      </c>
      <c r="M36" s="1">
        <v>477.03496740008683</v>
      </c>
      <c r="N36" s="1" t="e">
        <v>#DIV/0!</v>
      </c>
      <c r="O36" s="1">
        <v>298.02640233017843</v>
      </c>
      <c r="P36" s="1" t="e">
        <v>#DIV/0!</v>
      </c>
    </row>
    <row r="37" spans="1:16" x14ac:dyDescent="0.25">
      <c r="A37" s="1">
        <v>0</v>
      </c>
      <c r="B37" s="1">
        <v>0.4</v>
      </c>
      <c r="C37" s="1">
        <f t="shared" si="3"/>
        <v>500</v>
      </c>
      <c r="D37" s="1">
        <v>500</v>
      </c>
      <c r="E37" s="1">
        <v>50</v>
      </c>
      <c r="F37" s="1">
        <v>1417.8020642963845</v>
      </c>
      <c r="G37" s="1">
        <v>50</v>
      </c>
      <c r="H37" s="1">
        <v>811.16164665645408</v>
      </c>
      <c r="I37" s="1">
        <f t="shared" si="0"/>
        <v>500</v>
      </c>
      <c r="J37" s="1">
        <f t="shared" si="0"/>
        <v>500</v>
      </c>
      <c r="K37" s="1">
        <v>507.9085990324881</v>
      </c>
      <c r="L37" s="1" t="e">
        <v>#DIV/0!</v>
      </c>
      <c r="M37" s="1">
        <v>507.9085990324881</v>
      </c>
      <c r="N37" s="1" t="e">
        <v>#DIV/0!</v>
      </c>
      <c r="O37" s="1">
        <v>298.02640152463044</v>
      </c>
      <c r="P37" s="1" t="e">
        <v>#DIV/0!</v>
      </c>
    </row>
    <row r="38" spans="1:16" x14ac:dyDescent="0.25">
      <c r="A38" s="1">
        <v>0</v>
      </c>
      <c r="B38" s="1">
        <v>0.4</v>
      </c>
      <c r="C38" s="1">
        <f t="shared" si="3"/>
        <v>525</v>
      </c>
      <c r="D38" s="1">
        <v>500</v>
      </c>
      <c r="E38" s="1">
        <v>50</v>
      </c>
      <c r="F38" s="1">
        <v>464.04718719169239</v>
      </c>
      <c r="G38" s="1">
        <v>50</v>
      </c>
      <c r="H38" s="1">
        <v>58.986584951657484</v>
      </c>
      <c r="I38" s="1">
        <f t="shared" si="0"/>
        <v>525</v>
      </c>
      <c r="J38" s="1">
        <f t="shared" si="0"/>
        <v>525</v>
      </c>
      <c r="K38" s="1">
        <v>566.27757762463295</v>
      </c>
      <c r="L38" s="1">
        <v>718.90557039985413</v>
      </c>
      <c r="M38" s="1">
        <v>566.27757762463295</v>
      </c>
      <c r="N38" s="1">
        <v>718.90557039985413</v>
      </c>
      <c r="O38" s="1">
        <v>298.02640121757941</v>
      </c>
      <c r="P38" s="1">
        <v>298009.10855017923</v>
      </c>
    </row>
    <row r="39" spans="1:16" x14ac:dyDescent="0.25">
      <c r="A39" s="1">
        <v>0</v>
      </c>
      <c r="B39" s="1">
        <v>0.4</v>
      </c>
      <c r="C39" s="1">
        <f t="shared" si="3"/>
        <v>550</v>
      </c>
      <c r="D39" s="1">
        <v>500</v>
      </c>
      <c r="E39" s="1">
        <v>50</v>
      </c>
      <c r="F39" s="1">
        <v>168.1142181842294</v>
      </c>
      <c r="G39" s="1">
        <v>50</v>
      </c>
      <c r="H39" s="1">
        <v>51.25</v>
      </c>
      <c r="I39" s="1">
        <f t="shared" si="0"/>
        <v>550</v>
      </c>
      <c r="J39" s="1">
        <f t="shared" si="0"/>
        <v>550</v>
      </c>
      <c r="K39" s="1">
        <v>113089052882.44548</v>
      </c>
      <c r="L39" s="1">
        <v>9250041.5169433039</v>
      </c>
      <c r="M39" s="1">
        <v>113089052882.44548</v>
      </c>
      <c r="N39" s="1">
        <v>9250041.5169433039</v>
      </c>
      <c r="O39" s="1">
        <v>298.02640209867002</v>
      </c>
      <c r="P39" s="1">
        <v>131520.92848001496</v>
      </c>
    </row>
    <row r="40" spans="1:16" x14ac:dyDescent="0.25">
      <c r="A40" s="1">
        <v>0</v>
      </c>
      <c r="B40" s="1">
        <v>0.4</v>
      </c>
      <c r="C40" s="1">
        <f t="shared" si="3"/>
        <v>575</v>
      </c>
      <c r="D40" s="1">
        <v>500</v>
      </c>
      <c r="E40" s="1">
        <v>50</v>
      </c>
      <c r="F40" s="1">
        <v>66.525922003229184</v>
      </c>
      <c r="G40" s="1">
        <v>50</v>
      </c>
      <c r="H40" s="1">
        <v>47.5</v>
      </c>
      <c r="I40" s="1">
        <f t="shared" si="0"/>
        <v>575</v>
      </c>
      <c r="J40" s="1">
        <f t="shared" si="0"/>
        <v>575</v>
      </c>
      <c r="K40" s="1">
        <v>9867355.9452746175</v>
      </c>
      <c r="L40" s="1">
        <v>10451423.468215134</v>
      </c>
      <c r="M40" s="1">
        <v>9867355.9452746175</v>
      </c>
      <c r="N40" s="1">
        <v>10451423.468215134</v>
      </c>
      <c r="O40" s="1">
        <v>298.02640061545071</v>
      </c>
      <c r="P40" s="1">
        <v>195765.2731977271</v>
      </c>
    </row>
    <row r="41" spans="1:16" x14ac:dyDescent="0.25">
      <c r="A41" s="1">
        <v>0</v>
      </c>
      <c r="B41" s="1">
        <v>0.4</v>
      </c>
      <c r="C41" s="1">
        <f t="shared" si="3"/>
        <v>600</v>
      </c>
      <c r="D41" s="1">
        <v>500</v>
      </c>
      <c r="E41" s="1">
        <v>50</v>
      </c>
      <c r="F41" s="1">
        <v>28.439927710849197</v>
      </c>
      <c r="G41" s="1">
        <v>50</v>
      </c>
      <c r="H41" s="1">
        <v>50.3125</v>
      </c>
      <c r="I41" s="1">
        <f t="shared" si="0"/>
        <v>600</v>
      </c>
      <c r="J41" s="1">
        <f t="shared" si="0"/>
        <v>600</v>
      </c>
      <c r="K41" s="1">
        <v>15070058.743583707</v>
      </c>
      <c r="L41" s="1" t="e">
        <v>#DIV/0!</v>
      </c>
      <c r="M41" s="1">
        <v>15070058.743583707</v>
      </c>
      <c r="N41" s="1" t="e">
        <v>#DIV/0!</v>
      </c>
      <c r="O41" s="1">
        <v>298.02639683202159</v>
      </c>
      <c r="P41" s="1" t="e">
        <v>#DIV/0!</v>
      </c>
    </row>
    <row r="42" spans="1:16" x14ac:dyDescent="0.25">
      <c r="A42" s="1">
        <v>0</v>
      </c>
      <c r="B42" s="1">
        <v>0.4</v>
      </c>
      <c r="C42" s="1">
        <f t="shared" si="3"/>
        <v>625</v>
      </c>
      <c r="D42" s="1">
        <v>500</v>
      </c>
      <c r="E42" s="1">
        <v>50</v>
      </c>
      <c r="F42" s="1">
        <v>13.013408850654995</v>
      </c>
      <c r="G42" s="1">
        <v>50</v>
      </c>
      <c r="H42" s="1">
        <v>51.25</v>
      </c>
      <c r="I42" s="1">
        <f t="shared" si="0"/>
        <v>625</v>
      </c>
      <c r="J42" s="1">
        <f t="shared" si="0"/>
        <v>625</v>
      </c>
      <c r="K42" s="1">
        <v>7165275.8652171642</v>
      </c>
      <c r="L42" s="1" t="e">
        <v>#NUM!</v>
      </c>
      <c r="M42" s="1">
        <v>7165275.8652171642</v>
      </c>
      <c r="N42" s="1" t="e">
        <v>#NUM!</v>
      </c>
      <c r="O42" s="1">
        <v>298.02638603359162</v>
      </c>
      <c r="P42" s="1" t="e">
        <v>#NUM!</v>
      </c>
    </row>
    <row r="43" spans="1:16" x14ac:dyDescent="0.25">
      <c r="A43" s="1">
        <v>0</v>
      </c>
      <c r="B43" s="1">
        <v>0.4</v>
      </c>
      <c r="C43" s="1">
        <f t="shared" si="3"/>
        <v>650</v>
      </c>
      <c r="D43" s="1">
        <v>500</v>
      </c>
      <c r="E43" s="1">
        <v>50</v>
      </c>
      <c r="F43" s="1">
        <v>0</v>
      </c>
      <c r="G43" s="1">
        <v>50</v>
      </c>
      <c r="H43" s="1">
        <v>45</v>
      </c>
      <c r="I43" s="1">
        <f t="shared" si="0"/>
        <v>650</v>
      </c>
      <c r="J43" s="1">
        <f t="shared" si="0"/>
        <v>650</v>
      </c>
      <c r="K43" s="1">
        <v>8681911558.3218651</v>
      </c>
      <c r="L43" s="1" t="e">
        <v>#DIV/0!</v>
      </c>
      <c r="M43" s="1">
        <v>8681911558.3218651</v>
      </c>
      <c r="N43" s="1" t="e">
        <v>#DIV/0!</v>
      </c>
      <c r="O43" s="1" t="e">
        <v>#DIV/0!</v>
      </c>
      <c r="P43" s="1" t="e">
        <v>#DIV/0!</v>
      </c>
    </row>
    <row r="44" spans="1:16" hidden="1" x14ac:dyDescent="0.25">
      <c r="A44" s="1">
        <v>0</v>
      </c>
      <c r="B44" s="1">
        <v>0.4</v>
      </c>
      <c r="C44" s="1">
        <f t="shared" si="3"/>
        <v>675</v>
      </c>
      <c r="D44" s="1">
        <v>500</v>
      </c>
      <c r="E44" s="1">
        <v>50</v>
      </c>
      <c r="F44" s="1">
        <v>50</v>
      </c>
      <c r="G44" s="1">
        <v>50</v>
      </c>
      <c r="H44" s="1">
        <v>50</v>
      </c>
      <c r="I44" s="1">
        <f t="shared" si="0"/>
        <v>675</v>
      </c>
      <c r="J44" s="1">
        <f t="shared" si="0"/>
        <v>675</v>
      </c>
      <c r="K44" s="1">
        <v>31818461.029827792</v>
      </c>
      <c r="L44" s="1">
        <v>23530530.986645807</v>
      </c>
      <c r="M44" s="1">
        <v>31818461.029827792</v>
      </c>
      <c r="N44" s="1">
        <v>23530530.986645807</v>
      </c>
      <c r="O44" s="1" t="e">
        <v>#DIV/0!</v>
      </c>
      <c r="P44" s="1">
        <v>302394.86806751374</v>
      </c>
    </row>
    <row r="45" spans="1:16" x14ac:dyDescent="0.25">
      <c r="A45" s="1">
        <v>0</v>
      </c>
      <c r="B45" s="1">
        <v>0.4</v>
      </c>
      <c r="C45" s="1">
        <v>350</v>
      </c>
      <c r="D45" s="1">
        <v>1000</v>
      </c>
      <c r="E45" s="1">
        <v>50</v>
      </c>
      <c r="F45" s="1">
        <v>50</v>
      </c>
      <c r="G45" s="1">
        <v>50</v>
      </c>
      <c r="H45" s="1">
        <v>1310770</v>
      </c>
      <c r="I45" s="1"/>
      <c r="J45" s="1"/>
      <c r="K45" s="1">
        <v>350.00057275395807</v>
      </c>
      <c r="L45" s="1" t="e">
        <v>#DIV/0!</v>
      </c>
      <c r="M45" s="1">
        <v>350.00057275395807</v>
      </c>
      <c r="N45" s="1" t="e">
        <v>#DIV/0!</v>
      </c>
      <c r="O45" s="1">
        <v>710.92266495967033</v>
      </c>
      <c r="P45" s="1" t="e">
        <v>#DIV/0!</v>
      </c>
    </row>
    <row r="46" spans="1:16" x14ac:dyDescent="0.25">
      <c r="A46" s="1">
        <v>0</v>
      </c>
      <c r="B46" s="1">
        <v>0.4</v>
      </c>
      <c r="C46" s="1">
        <f>C45+25</f>
        <v>375</v>
      </c>
      <c r="D46" s="1">
        <v>1000</v>
      </c>
      <c r="E46" s="1">
        <v>50</v>
      </c>
      <c r="F46" s="1">
        <v>1761813.0830484289</v>
      </c>
      <c r="G46" s="1">
        <v>50</v>
      </c>
      <c r="H46" s="1">
        <v>163890</v>
      </c>
      <c r="I46" s="1"/>
      <c r="J46" s="1"/>
      <c r="K46" s="1">
        <v>375.00534759794368</v>
      </c>
      <c r="L46" s="1" t="e">
        <v>#DIV/0!</v>
      </c>
      <c r="M46" s="1">
        <v>375.00534759794368</v>
      </c>
      <c r="N46" s="1" t="e">
        <v>#DIV/0!</v>
      </c>
      <c r="O46" s="1">
        <v>596.05280480057468</v>
      </c>
      <c r="P46" s="1" t="e">
        <v>#DIV/0!</v>
      </c>
    </row>
    <row r="47" spans="1:16" x14ac:dyDescent="0.25">
      <c r="A47" s="1">
        <v>0</v>
      </c>
      <c r="B47" s="1">
        <v>0.4</v>
      </c>
      <c r="C47" s="1">
        <f t="shared" ref="C47:C58" si="4">C46+25</f>
        <v>400</v>
      </c>
      <c r="D47" s="1">
        <v>1000</v>
      </c>
      <c r="E47" s="1">
        <v>50</v>
      </c>
      <c r="F47" s="1">
        <v>249526.26920103701</v>
      </c>
      <c r="G47" s="1">
        <v>50</v>
      </c>
      <c r="H47" s="1">
        <v>20530</v>
      </c>
      <c r="I47" s="1"/>
      <c r="J47" s="1"/>
      <c r="K47" s="1">
        <v>400.03780063776679</v>
      </c>
      <c r="L47" s="1" t="e">
        <v>#DIV/0!</v>
      </c>
      <c r="M47" s="1">
        <v>400.03780063776679</v>
      </c>
      <c r="N47" s="1" t="e">
        <v>#DIV/0!</v>
      </c>
      <c r="O47" s="1">
        <v>596.05280501710672</v>
      </c>
      <c r="P47" s="1" t="e">
        <v>#DIV/0!</v>
      </c>
    </row>
    <row r="48" spans="1:16" x14ac:dyDescent="0.25">
      <c r="A48" s="1">
        <v>0</v>
      </c>
      <c r="B48" s="1">
        <v>0.4</v>
      </c>
      <c r="C48" s="1">
        <f t="shared" si="4"/>
        <v>425</v>
      </c>
      <c r="D48" s="1">
        <v>1000</v>
      </c>
      <c r="E48" s="1">
        <v>50</v>
      </c>
      <c r="F48" s="1">
        <v>44477.12060498324</v>
      </c>
      <c r="G48" s="1">
        <v>50</v>
      </c>
      <c r="H48" s="1">
        <v>5170</v>
      </c>
      <c r="I48" s="1"/>
      <c r="J48" s="1"/>
      <c r="K48" s="1">
        <v>425.21322518672832</v>
      </c>
      <c r="L48" s="1" t="e">
        <v>#DIV/0!</v>
      </c>
      <c r="M48" s="1">
        <v>425.21322518672832</v>
      </c>
      <c r="N48" s="1" t="e">
        <v>#DIV/0!</v>
      </c>
      <c r="O48" s="1">
        <v>596.05280521359873</v>
      </c>
      <c r="P48" s="1" t="e">
        <v>#DIV/0!</v>
      </c>
    </row>
    <row r="49" spans="1:16" x14ac:dyDescent="0.25">
      <c r="A49" s="1">
        <v>0</v>
      </c>
      <c r="B49" s="1">
        <v>0.4</v>
      </c>
      <c r="C49" s="1">
        <f t="shared" si="4"/>
        <v>450</v>
      </c>
      <c r="D49" s="1">
        <v>1000</v>
      </c>
      <c r="E49" s="1">
        <v>50</v>
      </c>
      <c r="F49" s="1">
        <v>9602.3385475646137</v>
      </c>
      <c r="G49" s="1">
        <v>50</v>
      </c>
      <c r="H49" s="1">
        <v>1330</v>
      </c>
      <c r="I49" s="1"/>
      <c r="J49" s="1"/>
      <c r="K49" s="1">
        <v>451.0093282147198</v>
      </c>
      <c r="L49" s="1" t="e">
        <v>#DIV/0!</v>
      </c>
      <c r="M49" s="1">
        <v>451.0093282147198</v>
      </c>
      <c r="N49" s="1" t="e">
        <v>#DIV/0!</v>
      </c>
      <c r="O49" s="1">
        <v>596.05280443947822</v>
      </c>
      <c r="P49" s="1" t="e">
        <v>#DIV/0!</v>
      </c>
    </row>
    <row r="50" spans="1:16" x14ac:dyDescent="0.25">
      <c r="A50" s="1">
        <v>0</v>
      </c>
      <c r="B50" s="1">
        <v>0.4</v>
      </c>
      <c r="C50" s="1">
        <f t="shared" si="4"/>
        <v>475</v>
      </c>
      <c r="D50" s="1">
        <v>1000</v>
      </c>
      <c r="E50" s="1">
        <v>50</v>
      </c>
      <c r="F50" s="1">
        <v>2436.1124114505778</v>
      </c>
      <c r="G50" s="1">
        <v>50</v>
      </c>
      <c r="H50" s="1">
        <v>370</v>
      </c>
      <c r="I50" s="1"/>
      <c r="J50" s="1"/>
      <c r="K50" s="1">
        <v>479.30325416440542</v>
      </c>
      <c r="L50" s="1" t="e">
        <v>#DIV/0!</v>
      </c>
      <c r="M50" s="1">
        <v>479.30325416440542</v>
      </c>
      <c r="N50" s="1" t="e">
        <v>#DIV/0!</v>
      </c>
      <c r="O50" s="1">
        <v>596.05280455298077</v>
      </c>
      <c r="P50" s="1" t="e">
        <v>#DIV/0!</v>
      </c>
    </row>
    <row r="51" spans="1:16" x14ac:dyDescent="0.25">
      <c r="A51" s="1">
        <v>0</v>
      </c>
      <c r="B51" s="1">
        <v>0.4</v>
      </c>
      <c r="C51" s="1">
        <f t="shared" si="4"/>
        <v>500</v>
      </c>
      <c r="D51" s="1">
        <v>1000</v>
      </c>
      <c r="E51" s="1">
        <v>50</v>
      </c>
      <c r="F51" s="1">
        <v>708.901023905432</v>
      </c>
      <c r="G51" s="1">
        <v>50</v>
      </c>
      <c r="H51" s="1">
        <v>81.366577693933664</v>
      </c>
      <c r="I51" s="1"/>
      <c r="J51" s="1"/>
      <c r="K51" s="1">
        <v>520.17650958119577</v>
      </c>
      <c r="L51" s="1">
        <v>693.91762888183268</v>
      </c>
      <c r="M51" s="1">
        <v>520.17650958119577</v>
      </c>
      <c r="N51" s="1">
        <v>693.91762888183268</v>
      </c>
      <c r="O51" s="1">
        <v>596.05280476599489</v>
      </c>
      <c r="P51" s="1">
        <v>596019.82228584541</v>
      </c>
    </row>
    <row r="52" spans="1:16" x14ac:dyDescent="0.25">
      <c r="A52" s="1">
        <v>0</v>
      </c>
      <c r="B52" s="1">
        <v>0.4</v>
      </c>
      <c r="C52" s="1">
        <f t="shared" si="4"/>
        <v>525</v>
      </c>
      <c r="D52" s="1">
        <v>1000</v>
      </c>
      <c r="E52" s="1">
        <v>50</v>
      </c>
      <c r="F52" s="1">
        <v>232.02359021467734</v>
      </c>
      <c r="G52" s="1">
        <v>50</v>
      </c>
      <c r="H52" s="1">
        <v>50</v>
      </c>
      <c r="I52" s="1"/>
      <c r="J52" s="1"/>
      <c r="K52" s="1">
        <v>54254621.507305227</v>
      </c>
      <c r="L52" s="1" t="e">
        <v>#DIV/0!</v>
      </c>
      <c r="M52" s="1">
        <v>54254621.507305227</v>
      </c>
      <c r="N52" s="1" t="e">
        <v>#DIV/0!</v>
      </c>
      <c r="O52" s="1">
        <v>596.05280466323427</v>
      </c>
      <c r="P52" s="1" t="e">
        <v>#DIV/0!</v>
      </c>
    </row>
    <row r="53" spans="1:16" x14ac:dyDescent="0.25">
      <c r="A53" s="1">
        <v>0</v>
      </c>
      <c r="B53" s="1">
        <v>0.4</v>
      </c>
      <c r="C53" s="1">
        <f t="shared" si="4"/>
        <v>550</v>
      </c>
      <c r="D53" s="1">
        <v>1000</v>
      </c>
      <c r="E53" s="1">
        <v>50</v>
      </c>
      <c r="F53" s="1">
        <v>84.057109195861614</v>
      </c>
      <c r="G53" s="1">
        <v>50</v>
      </c>
      <c r="H53" s="1">
        <v>47.5</v>
      </c>
      <c r="I53" s="1"/>
      <c r="J53" s="1"/>
      <c r="K53" s="1">
        <v>391.56948320195625</v>
      </c>
      <c r="L53" s="1">
        <v>-44314372.797274515</v>
      </c>
      <c r="M53" s="1">
        <v>1008.7697186228588</v>
      </c>
      <c r="N53" s="1">
        <v>1207.097452064243</v>
      </c>
      <c r="O53" s="1">
        <v>596.05280442402398</v>
      </c>
      <c r="P53" s="1">
        <v>-2893381792395.4175</v>
      </c>
    </row>
    <row r="54" spans="1:16" x14ac:dyDescent="0.25">
      <c r="A54" s="1">
        <v>0</v>
      </c>
      <c r="B54" s="1">
        <v>0.4</v>
      </c>
      <c r="C54" s="1">
        <f t="shared" si="4"/>
        <v>575</v>
      </c>
      <c r="D54" s="1">
        <v>1000</v>
      </c>
      <c r="E54" s="1">
        <v>50</v>
      </c>
      <c r="F54" s="1">
        <v>33.262960575831002</v>
      </c>
      <c r="G54" s="1">
        <v>50</v>
      </c>
      <c r="H54" s="1">
        <v>51.25</v>
      </c>
      <c r="I54" s="1"/>
      <c r="J54" s="1"/>
      <c r="K54" s="1">
        <v>11753454704.262701</v>
      </c>
      <c r="L54" s="1" t="e">
        <v>#DIV/0!</v>
      </c>
      <c r="M54" s="1">
        <v>11753454704.262701</v>
      </c>
      <c r="N54" s="1" t="e">
        <v>#DIV/0!</v>
      </c>
      <c r="O54" s="1">
        <v>596.05280445346762</v>
      </c>
      <c r="P54" s="1" t="e">
        <v>#DIV/0!</v>
      </c>
    </row>
    <row r="55" spans="1:16" x14ac:dyDescent="0.25">
      <c r="A55" s="1">
        <v>0</v>
      </c>
      <c r="B55" s="1">
        <v>0.4</v>
      </c>
      <c r="C55" s="1">
        <f t="shared" si="4"/>
        <v>600</v>
      </c>
      <c r="D55" s="1">
        <v>1000</v>
      </c>
      <c r="E55" s="1">
        <v>50</v>
      </c>
      <c r="F55" s="1">
        <v>14.219963907322194</v>
      </c>
      <c r="G55" s="1">
        <v>50</v>
      </c>
      <c r="H55" s="1">
        <v>53.647406718326309</v>
      </c>
      <c r="I55" s="1"/>
      <c r="J55" s="1"/>
      <c r="K55" s="1">
        <v>11505566.958323365</v>
      </c>
      <c r="L55" s="1">
        <v>12173696.31363434</v>
      </c>
      <c r="M55" s="1">
        <v>11505566.958323365</v>
      </c>
      <c r="N55" s="1">
        <v>12173696.31363434</v>
      </c>
      <c r="O55" s="1">
        <v>596.05279726956098</v>
      </c>
      <c r="P55" s="1">
        <v>527593.83645746764</v>
      </c>
    </row>
    <row r="56" spans="1:16" x14ac:dyDescent="0.25">
      <c r="A56" s="1">
        <v>0</v>
      </c>
      <c r="B56" s="1">
        <v>0.4</v>
      </c>
      <c r="C56" s="1">
        <f t="shared" si="4"/>
        <v>625</v>
      </c>
      <c r="D56" s="1">
        <v>1000</v>
      </c>
      <c r="E56" s="1">
        <v>50</v>
      </c>
      <c r="F56" s="1">
        <v>0</v>
      </c>
      <c r="G56" s="1">
        <v>50</v>
      </c>
      <c r="H56" s="1">
        <v>50</v>
      </c>
      <c r="I56" s="1"/>
      <c r="J56" s="1"/>
      <c r="K56" s="1">
        <v>23064258.930320829</v>
      </c>
      <c r="L56" s="1" t="e">
        <v>#DIV/0!</v>
      </c>
      <c r="M56" s="1">
        <v>23064258.930320829</v>
      </c>
      <c r="N56" s="1" t="e">
        <v>#DIV/0!</v>
      </c>
      <c r="O56" s="1" t="e">
        <v>#DIV/0!</v>
      </c>
      <c r="P56" s="1" t="e">
        <v>#DIV/0!</v>
      </c>
    </row>
    <row r="57" spans="1:16" hidden="1" x14ac:dyDescent="0.25">
      <c r="A57" s="1">
        <v>0</v>
      </c>
      <c r="B57" s="1">
        <v>0.4</v>
      </c>
      <c r="C57" s="1">
        <f t="shared" si="4"/>
        <v>650</v>
      </c>
      <c r="D57" s="1">
        <v>1000</v>
      </c>
      <c r="E57" s="1">
        <v>50</v>
      </c>
      <c r="F57" s="1">
        <v>50</v>
      </c>
      <c r="G57" s="1">
        <v>50</v>
      </c>
      <c r="H57" s="1">
        <v>50</v>
      </c>
      <c r="I57" s="1"/>
      <c r="J57" s="1"/>
      <c r="K57" s="1">
        <v>-10246058.83260214</v>
      </c>
      <c r="L57" s="1">
        <v>16329878.085059861</v>
      </c>
      <c r="M57" s="1">
        <v>1302.0888476248776</v>
      </c>
      <c r="N57" s="1">
        <v>16329878.085059861</v>
      </c>
      <c r="O57" s="1">
        <v>4.4191205438286414E-7</v>
      </c>
      <c r="P57" s="1">
        <v>559887.29175940831</v>
      </c>
    </row>
    <row r="58" spans="1:16" hidden="1" x14ac:dyDescent="0.25">
      <c r="A58" s="1">
        <v>0</v>
      </c>
      <c r="B58" s="1">
        <v>0.4</v>
      </c>
      <c r="C58" s="1">
        <f t="shared" si="4"/>
        <v>675</v>
      </c>
      <c r="D58" s="1">
        <v>1000</v>
      </c>
      <c r="E58" s="1">
        <v>50</v>
      </c>
      <c r="F58" s="1">
        <v>50</v>
      </c>
      <c r="G58" s="1">
        <v>50</v>
      </c>
      <c r="H58" s="1">
        <v>50</v>
      </c>
      <c r="I58" s="1"/>
      <c r="J58" s="1"/>
      <c r="K58" s="1">
        <v>79509113.153615162</v>
      </c>
      <c r="L58" s="1" t="e">
        <v>#DIV/0!</v>
      </c>
      <c r="M58" s="1">
        <v>79509113.153615162</v>
      </c>
      <c r="N58" s="1" t="e">
        <v>#DIV/0!</v>
      </c>
      <c r="O58" s="1">
        <v>5.4607100286692852E-13</v>
      </c>
      <c r="P58" s="1" t="e">
        <v>#DIV/0!</v>
      </c>
    </row>
    <row r="59" spans="1:16" x14ac:dyDescent="0.25">
      <c r="A59" s="1">
        <v>0</v>
      </c>
      <c r="B59" s="1">
        <v>0.4</v>
      </c>
      <c r="C59" s="1">
        <v>350</v>
      </c>
      <c r="D59" s="1">
        <v>2500</v>
      </c>
      <c r="E59" s="1">
        <v>50</v>
      </c>
      <c r="F59" s="1">
        <v>6578497.9557657177</v>
      </c>
      <c r="G59" s="1">
        <v>50</v>
      </c>
      <c r="H59" s="1">
        <v>655410</v>
      </c>
      <c r="I59" s="1"/>
      <c r="J59" s="1"/>
      <c r="K59" s="1">
        <v>350.00143194302825</v>
      </c>
      <c r="L59" s="1" t="e">
        <v>#DIV/0!</v>
      </c>
      <c r="M59" s="1">
        <v>350.00143194302825</v>
      </c>
      <c r="N59" s="1" t="e">
        <v>#DIV/0!</v>
      </c>
      <c r="O59" s="1">
        <v>1490.1320119687871</v>
      </c>
      <c r="P59" s="1" t="e">
        <v>#DIV/0!</v>
      </c>
    </row>
    <row r="60" spans="1:16" x14ac:dyDescent="0.25">
      <c r="A60" s="1">
        <v>0</v>
      </c>
      <c r="B60" s="1">
        <v>0.4</v>
      </c>
      <c r="C60" s="1">
        <f>C59+25</f>
        <v>375</v>
      </c>
      <c r="D60" s="1">
        <v>2500</v>
      </c>
      <c r="E60" s="1">
        <v>50</v>
      </c>
      <c r="F60" s="1">
        <v>704725.24623532861</v>
      </c>
      <c r="G60" s="1">
        <v>50</v>
      </c>
      <c r="H60" s="1">
        <v>81970</v>
      </c>
      <c r="I60" s="1"/>
      <c r="J60" s="1"/>
      <c r="K60" s="1">
        <v>375.0133734062814</v>
      </c>
      <c r="L60" s="1" t="e">
        <v>#DIV/0!</v>
      </c>
      <c r="M60" s="1">
        <v>375.0133734062814</v>
      </c>
      <c r="N60" s="1" t="e">
        <v>#DIV/0!</v>
      </c>
      <c r="O60" s="1">
        <v>1490.1320052855665</v>
      </c>
      <c r="P60" s="1" t="e">
        <v>#DIV/0!</v>
      </c>
    </row>
    <row r="61" spans="1:16" x14ac:dyDescent="0.25">
      <c r="A61" s="1">
        <v>0</v>
      </c>
      <c r="B61" s="1">
        <v>0.4</v>
      </c>
      <c r="C61" s="1">
        <f t="shared" ref="C61:C72" si="5">C60+25</f>
        <v>400</v>
      </c>
      <c r="D61" s="1">
        <v>2500</v>
      </c>
      <c r="E61" s="1">
        <v>50</v>
      </c>
      <c r="F61" s="1">
        <v>99810.507815277597</v>
      </c>
      <c r="G61" s="1">
        <v>50</v>
      </c>
      <c r="H61" s="1">
        <v>10290</v>
      </c>
      <c r="I61" s="1"/>
      <c r="J61" s="1"/>
      <c r="K61" s="1">
        <v>400.09469563824086</v>
      </c>
      <c r="L61" s="1" t="e">
        <v>#DIV/0!</v>
      </c>
      <c r="M61" s="1">
        <v>400.09469563824086</v>
      </c>
      <c r="N61" s="1" t="e">
        <v>#DIV/0!</v>
      </c>
      <c r="O61" s="1">
        <v>1490.1320120514745</v>
      </c>
      <c r="P61" s="1" t="e">
        <v>#DIV/0!</v>
      </c>
    </row>
    <row r="62" spans="1:16" x14ac:dyDescent="0.25">
      <c r="A62" s="1">
        <v>0</v>
      </c>
      <c r="B62" s="1">
        <v>0.4</v>
      </c>
      <c r="C62" s="1">
        <f t="shared" si="5"/>
        <v>425</v>
      </c>
      <c r="D62" s="1">
        <v>2500</v>
      </c>
      <c r="E62" s="1">
        <v>50</v>
      </c>
      <c r="F62" s="1">
        <v>17790.848520634954</v>
      </c>
      <c r="G62" s="1">
        <v>50</v>
      </c>
      <c r="H62" s="1">
        <v>2610</v>
      </c>
      <c r="I62" s="1"/>
      <c r="J62" s="1"/>
      <c r="K62" s="1">
        <v>425.53860005172299</v>
      </c>
      <c r="L62" s="1" t="e">
        <v>#DIV/0!</v>
      </c>
      <c r="M62" s="1">
        <v>425.53860005172299</v>
      </c>
      <c r="N62" s="1" t="e">
        <v>#DIV/0!</v>
      </c>
      <c r="O62" s="1">
        <v>1490.1320073392042</v>
      </c>
      <c r="P62" s="1" t="e">
        <v>#DIV/0!</v>
      </c>
    </row>
    <row r="63" spans="1:16" x14ac:dyDescent="0.25">
      <c r="A63" s="1">
        <v>0</v>
      </c>
      <c r="B63" s="1">
        <v>0.4</v>
      </c>
      <c r="C63" s="1">
        <f t="shared" si="5"/>
        <v>450</v>
      </c>
      <c r="D63" s="1">
        <v>2500</v>
      </c>
      <c r="E63" s="1">
        <v>50</v>
      </c>
      <c r="F63" s="1">
        <v>3840.9354033548152</v>
      </c>
      <c r="G63" s="1">
        <v>50</v>
      </c>
      <c r="H63" s="1">
        <v>2932.8372189092192</v>
      </c>
      <c r="I63" s="1"/>
      <c r="J63" s="1"/>
      <c r="K63" s="1">
        <v>452.64032540599919</v>
      </c>
      <c r="L63" s="1" t="e">
        <v>#DIV/0!</v>
      </c>
      <c r="M63" s="1">
        <v>452.64032540599919</v>
      </c>
      <c r="N63" s="1" t="e">
        <v>#DIV/0!</v>
      </c>
      <c r="O63" s="1">
        <v>1490.1320125838763</v>
      </c>
      <c r="P63" s="1" t="e">
        <v>#DIV/0!</v>
      </c>
    </row>
    <row r="64" spans="1:16" x14ac:dyDescent="0.25">
      <c r="A64" s="1">
        <v>0</v>
      </c>
      <c r="B64" s="1">
        <v>0.4</v>
      </c>
      <c r="C64" s="1">
        <f t="shared" si="5"/>
        <v>475</v>
      </c>
      <c r="D64" s="1">
        <v>2500</v>
      </c>
      <c r="E64" s="1">
        <v>50</v>
      </c>
      <c r="F64" s="1">
        <v>974.44496024688431</v>
      </c>
      <c r="G64" s="1">
        <v>50</v>
      </c>
      <c r="H64" s="1">
        <v>387.70125223607283</v>
      </c>
      <c r="I64" s="1"/>
      <c r="J64" s="1"/>
      <c r="K64" s="1">
        <v>488.2114103992036</v>
      </c>
      <c r="L64" s="1">
        <v>61692326.051012777</v>
      </c>
      <c r="M64" s="1">
        <v>488.2114103992036</v>
      </c>
      <c r="N64" s="1">
        <v>61692326.051012777</v>
      </c>
      <c r="O64" s="1">
        <v>1490.1320130089116</v>
      </c>
      <c r="P64" s="1">
        <v>1451025.8949613629</v>
      </c>
    </row>
    <row r="65" spans="1:16" x14ac:dyDescent="0.25">
      <c r="A65" s="1">
        <v>0</v>
      </c>
      <c r="B65" s="1">
        <v>0.4</v>
      </c>
      <c r="C65" s="1">
        <f t="shared" si="5"/>
        <v>500</v>
      </c>
      <c r="D65" s="1">
        <v>2500</v>
      </c>
      <c r="E65" s="1">
        <v>50</v>
      </c>
      <c r="F65" s="1">
        <v>283.56041059137453</v>
      </c>
      <c r="G65" s="1">
        <v>50</v>
      </c>
      <c r="H65" s="1">
        <v>55</v>
      </c>
      <c r="I65" s="1"/>
      <c r="J65" s="1"/>
      <c r="K65" s="1">
        <v>28380356.044236947</v>
      </c>
      <c r="L65" s="1" t="e">
        <v>#DIV/0!</v>
      </c>
      <c r="M65" s="1">
        <v>28380356.044236947</v>
      </c>
      <c r="N65" s="1" t="e">
        <v>#DIV/0!</v>
      </c>
      <c r="O65" s="1">
        <v>1490.1320106418088</v>
      </c>
      <c r="P65" s="1" t="e">
        <v>#DIV/0!</v>
      </c>
    </row>
    <row r="66" spans="1:16" x14ac:dyDescent="0.25">
      <c r="A66" s="1">
        <v>0</v>
      </c>
      <c r="B66" s="1">
        <v>0.4</v>
      </c>
      <c r="C66" s="1">
        <f t="shared" si="5"/>
        <v>525</v>
      </c>
      <c r="D66" s="1">
        <v>2500</v>
      </c>
      <c r="E66" s="1">
        <v>50</v>
      </c>
      <c r="F66" s="1">
        <v>92.809436380957919</v>
      </c>
      <c r="G66" s="1">
        <v>50</v>
      </c>
      <c r="H66" s="1">
        <v>47.5</v>
      </c>
      <c r="I66" s="1"/>
      <c r="J66" s="1"/>
      <c r="K66" s="1">
        <v>29464553892.897743</v>
      </c>
      <c r="L66" s="1">
        <v>47649495.450797305</v>
      </c>
      <c r="M66" s="1">
        <v>29464553892.897743</v>
      </c>
      <c r="N66" s="1">
        <v>47649495.450797305</v>
      </c>
      <c r="O66" s="1">
        <v>1490.132010700361</v>
      </c>
      <c r="P66" s="1">
        <v>1375616.5781199955</v>
      </c>
    </row>
    <row r="67" spans="1:16" x14ac:dyDescent="0.25">
      <c r="A67" s="1">
        <v>0</v>
      </c>
      <c r="B67" s="1">
        <v>0.4</v>
      </c>
      <c r="C67" s="1">
        <f t="shared" si="5"/>
        <v>550</v>
      </c>
      <c r="D67" s="1">
        <v>2500</v>
      </c>
      <c r="E67" s="1">
        <v>50</v>
      </c>
      <c r="F67" s="1">
        <v>33.622843333300111</v>
      </c>
      <c r="G67" s="1">
        <v>50</v>
      </c>
      <c r="H67" s="1">
        <v>52.5</v>
      </c>
      <c r="I67" s="1"/>
      <c r="J67" s="1"/>
      <c r="K67" s="1">
        <v>79443854.947095543</v>
      </c>
      <c r="L67" s="1">
        <v>-73961696.096080557</v>
      </c>
      <c r="M67" s="1">
        <v>79443854.947095543</v>
      </c>
      <c r="N67" s="1">
        <v>1196.1148917718751</v>
      </c>
      <c r="O67" s="1">
        <v>1490.1320155353817</v>
      </c>
      <c r="P67" s="1">
        <v>-7036170218803.1719</v>
      </c>
    </row>
    <row r="68" spans="1:16" x14ac:dyDescent="0.25">
      <c r="A68" s="1">
        <v>0</v>
      </c>
      <c r="B68" s="1">
        <v>0.4</v>
      </c>
      <c r="C68" s="1">
        <f t="shared" si="5"/>
        <v>575</v>
      </c>
      <c r="D68" s="1">
        <v>2500</v>
      </c>
      <c r="E68" s="1">
        <v>50</v>
      </c>
      <c r="F68" s="1">
        <v>13.305184027986151</v>
      </c>
      <c r="G68" s="1">
        <v>50</v>
      </c>
      <c r="H68" s="1">
        <v>52.5</v>
      </c>
      <c r="I68" s="1"/>
      <c r="J68" s="1"/>
      <c r="K68" s="1">
        <v>34488588.385152027</v>
      </c>
      <c r="L68" s="1">
        <v>163392076.20146853</v>
      </c>
      <c r="M68" s="1">
        <v>34488588.385152027</v>
      </c>
      <c r="N68" s="1">
        <v>163392076.20146853</v>
      </c>
      <c r="O68" s="1">
        <v>1490.1320191594764</v>
      </c>
      <c r="P68" s="1">
        <v>1227497.3852008239</v>
      </c>
    </row>
    <row r="69" spans="1:16" x14ac:dyDescent="0.25">
      <c r="A69" s="1">
        <v>0</v>
      </c>
      <c r="B69" s="1">
        <v>0.4</v>
      </c>
      <c r="C69" s="1">
        <f t="shared" si="5"/>
        <v>600</v>
      </c>
      <c r="D69" s="1">
        <v>2500</v>
      </c>
      <c r="E69" s="1">
        <v>50</v>
      </c>
      <c r="F69" s="1">
        <v>0</v>
      </c>
      <c r="G69" s="1">
        <v>50</v>
      </c>
      <c r="H69" s="1">
        <v>50</v>
      </c>
      <c r="I69" s="1"/>
      <c r="J69" s="1"/>
      <c r="K69" s="1">
        <v>18680034.938510537</v>
      </c>
      <c r="L69" s="1" t="e">
        <v>#DIV/0!</v>
      </c>
      <c r="M69" s="1">
        <v>18680034.938510537</v>
      </c>
      <c r="N69" s="1" t="e">
        <v>#DIV/0!</v>
      </c>
      <c r="O69" s="1" t="e">
        <v>#DIV/0!</v>
      </c>
      <c r="P69" s="1" t="e">
        <v>#DIV/0!</v>
      </c>
    </row>
    <row r="70" spans="1:16" hidden="1" x14ac:dyDescent="0.25">
      <c r="A70" s="1">
        <v>0</v>
      </c>
      <c r="B70" s="1">
        <v>0.4</v>
      </c>
      <c r="C70" s="1">
        <f t="shared" si="5"/>
        <v>625</v>
      </c>
      <c r="D70" s="1">
        <v>2500</v>
      </c>
      <c r="E70" s="1">
        <v>50</v>
      </c>
      <c r="F70" s="1">
        <v>50</v>
      </c>
      <c r="G70" s="1">
        <v>50</v>
      </c>
      <c r="H70" s="1">
        <v>47.5</v>
      </c>
      <c r="I70" s="1"/>
      <c r="J70" s="1"/>
      <c r="K70" s="1">
        <v>602784764.850932</v>
      </c>
      <c r="L70" s="1" t="e">
        <v>#DIV/0!</v>
      </c>
      <c r="M70" s="1">
        <v>602784764.850932</v>
      </c>
      <c r="N70" s="1" t="e">
        <v>#DIV/0!</v>
      </c>
      <c r="O70" s="1">
        <v>3.4068004723425677E-9</v>
      </c>
      <c r="P70" s="1" t="e">
        <v>#DIV/0!</v>
      </c>
    </row>
    <row r="71" spans="1:16" hidden="1" x14ac:dyDescent="0.25">
      <c r="A71" s="1">
        <v>0</v>
      </c>
      <c r="B71" s="1">
        <v>0.4</v>
      </c>
      <c r="C71" s="1">
        <f t="shared" si="5"/>
        <v>650</v>
      </c>
      <c r="D71" s="1">
        <v>2500</v>
      </c>
      <c r="E71" s="1">
        <v>50</v>
      </c>
      <c r="F71" s="1">
        <v>50</v>
      </c>
      <c r="G71" s="1">
        <v>50</v>
      </c>
      <c r="H71" s="1">
        <v>47.515781064505987</v>
      </c>
      <c r="I71" s="1"/>
      <c r="J71" s="1"/>
      <c r="K71" s="1">
        <v>25061474.896885846</v>
      </c>
      <c r="L71" s="1">
        <v>17498451.036316257</v>
      </c>
      <c r="M71" s="1">
        <v>25061474.896885846</v>
      </c>
      <c r="N71" s="1">
        <v>17498451.036316257</v>
      </c>
      <c r="O71" s="1">
        <v>6.8258875423144374E-13</v>
      </c>
      <c r="P71" s="1">
        <v>1578298.9721126708</v>
      </c>
    </row>
    <row r="72" spans="1:16" hidden="1" x14ac:dyDescent="0.25">
      <c r="A72" s="1">
        <v>0</v>
      </c>
      <c r="B72" s="1">
        <v>0.4</v>
      </c>
      <c r="C72" s="1">
        <f t="shared" si="5"/>
        <v>675</v>
      </c>
      <c r="D72" s="1">
        <v>2500</v>
      </c>
      <c r="E72" s="1">
        <v>50</v>
      </c>
      <c r="F72" s="1">
        <v>50</v>
      </c>
      <c r="G72" s="1">
        <v>50</v>
      </c>
      <c r="H72" s="1">
        <v>50</v>
      </c>
      <c r="I72" s="1"/>
      <c r="J72" s="1"/>
      <c r="K72" s="1">
        <v>399051401.91461998</v>
      </c>
      <c r="L72" s="1" t="e">
        <v>#DIV/0!</v>
      </c>
      <c r="M72" s="1">
        <v>399051401.91461998</v>
      </c>
      <c r="N72" s="1" t="e">
        <v>#DIV/0!</v>
      </c>
      <c r="O72" s="1">
        <v>0</v>
      </c>
      <c r="P72" s="1" t="e">
        <v>#DIV/0!</v>
      </c>
    </row>
    <row r="73" spans="1:16" x14ac:dyDescent="0.25">
      <c r="A73" s="1">
        <v>0</v>
      </c>
      <c r="B73" s="1">
        <v>0.4</v>
      </c>
      <c r="C73" s="1">
        <v>350</v>
      </c>
      <c r="D73" s="1">
        <v>5000</v>
      </c>
      <c r="E73" s="1">
        <v>50</v>
      </c>
      <c r="F73" s="1">
        <v>3289248.977874008</v>
      </c>
      <c r="G73" s="1">
        <v>50</v>
      </c>
      <c r="H73" s="1">
        <v>327730</v>
      </c>
      <c r="I73" s="1"/>
      <c r="J73" s="1"/>
      <c r="K73" s="1">
        <v>350.00286407986073</v>
      </c>
      <c r="L73" s="1" t="e">
        <v>#DIV/0!</v>
      </c>
      <c r="M73" s="1">
        <v>350.00286407986073</v>
      </c>
      <c r="N73" s="1" t="e">
        <v>#DIV/0!</v>
      </c>
      <c r="O73" s="1">
        <v>2980.26402393953</v>
      </c>
      <c r="P73" s="1" t="e">
        <v>#DIV/0!</v>
      </c>
    </row>
    <row r="74" spans="1:16" x14ac:dyDescent="0.25">
      <c r="A74" s="1">
        <v>0</v>
      </c>
      <c r="B74" s="1">
        <v>0.4</v>
      </c>
      <c r="C74" s="1">
        <f>C73+25</f>
        <v>375</v>
      </c>
      <c r="D74" s="1">
        <v>5000</v>
      </c>
      <c r="E74" s="1">
        <v>50</v>
      </c>
      <c r="F74" s="1">
        <v>352362.62310659193</v>
      </c>
      <c r="G74" s="1">
        <v>50</v>
      </c>
      <c r="H74" s="1">
        <v>41010</v>
      </c>
      <c r="I74" s="1"/>
      <c r="J74" s="1"/>
      <c r="K74" s="1">
        <v>375.02676153398545</v>
      </c>
      <c r="L74" s="1" t="e">
        <v>#DIV/0!</v>
      </c>
      <c r="M74" s="1">
        <v>375.02676153398545</v>
      </c>
      <c r="N74" s="1" t="e">
        <v>#DIV/0!</v>
      </c>
      <c r="O74" s="1">
        <v>2980.2640105939863</v>
      </c>
      <c r="P74" s="1" t="e">
        <v>#DIV/0!</v>
      </c>
    </row>
    <row r="75" spans="1:16" x14ac:dyDescent="0.25">
      <c r="A75" s="1">
        <v>0</v>
      </c>
      <c r="B75" s="1">
        <v>0.4</v>
      </c>
      <c r="C75" s="1">
        <f t="shared" ref="C75:C86" si="6">C74+25</f>
        <v>400</v>
      </c>
      <c r="D75" s="1">
        <v>5000</v>
      </c>
      <c r="E75" s="1">
        <v>50</v>
      </c>
      <c r="F75" s="1">
        <v>49905.253906082355</v>
      </c>
      <c r="G75" s="1">
        <v>50</v>
      </c>
      <c r="H75" s="1">
        <v>5170.0000000000009</v>
      </c>
      <c r="I75" s="1"/>
      <c r="J75" s="1"/>
      <c r="K75" s="1">
        <v>400.19004266536155</v>
      </c>
      <c r="L75" s="1" t="e">
        <v>#NUM!</v>
      </c>
      <c r="M75" s="1">
        <v>400.19004266536155</v>
      </c>
      <c r="N75" s="1" t="e">
        <v>#NUM!</v>
      </c>
      <c r="O75" s="1">
        <v>2980.2640241256918</v>
      </c>
      <c r="P75" s="1" t="e">
        <v>#NUM!</v>
      </c>
    </row>
    <row r="76" spans="1:16" x14ac:dyDescent="0.25">
      <c r="A76" s="1">
        <v>0</v>
      </c>
      <c r="B76" s="1">
        <v>0.4</v>
      </c>
      <c r="C76" s="1">
        <f t="shared" si="6"/>
        <v>425</v>
      </c>
      <c r="D76" s="1">
        <v>5000</v>
      </c>
      <c r="E76" s="1">
        <v>50</v>
      </c>
      <c r="F76" s="1">
        <v>8895.4242603471939</v>
      </c>
      <c r="G76" s="1">
        <v>50</v>
      </c>
      <c r="H76" s="1">
        <v>1330</v>
      </c>
      <c r="I76" s="1"/>
      <c r="J76" s="1"/>
      <c r="K76" s="1">
        <v>426.09633152191986</v>
      </c>
      <c r="L76" s="1" t="e">
        <v>#DIV/0!</v>
      </c>
      <c r="M76" s="1">
        <v>426.09633152191986</v>
      </c>
      <c r="N76" s="1" t="e">
        <v>#DIV/0!</v>
      </c>
      <c r="O76" s="1">
        <v>2980.2640146761523</v>
      </c>
      <c r="P76" s="1" t="e">
        <v>#DIV/0!</v>
      </c>
    </row>
    <row r="77" spans="1:16" x14ac:dyDescent="0.25">
      <c r="A77" s="1">
        <v>0</v>
      </c>
      <c r="B77" s="1">
        <v>0.4</v>
      </c>
      <c r="C77" s="1">
        <f t="shared" si="6"/>
        <v>450</v>
      </c>
      <c r="D77" s="1">
        <v>5000</v>
      </c>
      <c r="E77" s="1">
        <v>50</v>
      </c>
      <c r="F77" s="1">
        <v>1920.4677009722438</v>
      </c>
      <c r="G77" s="1">
        <v>50</v>
      </c>
      <c r="H77" s="1">
        <v>461.37278513759867</v>
      </c>
      <c r="I77" s="1"/>
      <c r="J77" s="1"/>
      <c r="K77" s="1">
        <v>455.7413566159056</v>
      </c>
      <c r="L77" s="1" t="e">
        <v>#DIV/0!</v>
      </c>
      <c r="M77" s="1">
        <v>455.7413566159056</v>
      </c>
      <c r="N77" s="1" t="e">
        <v>#DIV/0!</v>
      </c>
      <c r="O77" s="1">
        <v>2980.2640254361013</v>
      </c>
      <c r="P77" s="1" t="e">
        <v>#DIV/0!</v>
      </c>
    </row>
    <row r="78" spans="1:16" x14ac:dyDescent="0.25">
      <c r="A78" s="1">
        <v>0</v>
      </c>
      <c r="B78" s="1">
        <v>0.4</v>
      </c>
      <c r="C78" s="1">
        <f t="shared" si="6"/>
        <v>475</v>
      </c>
      <c r="D78" s="1">
        <v>5000</v>
      </c>
      <c r="E78" s="1">
        <v>50</v>
      </c>
      <c r="F78" s="1">
        <v>487.22248848012958</v>
      </c>
      <c r="G78" s="1">
        <v>50</v>
      </c>
      <c r="H78" s="1">
        <v>50.221565762999617</v>
      </c>
      <c r="I78" s="1"/>
      <c r="J78" s="1"/>
      <c r="K78" s="1">
        <v>529.69266894961743</v>
      </c>
      <c r="L78" s="1">
        <v>668.93484878224604</v>
      </c>
      <c r="M78" s="1">
        <v>529.69266894961743</v>
      </c>
      <c r="N78" s="1">
        <v>668.93484878224604</v>
      </c>
      <c r="O78" s="1">
        <v>2980.264013552242</v>
      </c>
      <c r="P78" s="1">
        <v>2980099.1442683265</v>
      </c>
    </row>
    <row r="79" spans="1:16" x14ac:dyDescent="0.25">
      <c r="A79" s="1">
        <v>0</v>
      </c>
      <c r="B79" s="1">
        <v>0.4</v>
      </c>
      <c r="C79" s="1">
        <f t="shared" si="6"/>
        <v>500</v>
      </c>
      <c r="D79" s="1">
        <v>5000</v>
      </c>
      <c r="E79" s="1">
        <v>50</v>
      </c>
      <c r="F79" s="1">
        <v>141.78020590218608</v>
      </c>
      <c r="G79" s="1">
        <v>50</v>
      </c>
      <c r="H79" s="1">
        <v>52.5</v>
      </c>
      <c r="I79" s="1"/>
      <c r="J79" s="1"/>
      <c r="K79" s="1">
        <v>-91665436.368516117</v>
      </c>
      <c r="L79" s="1" t="e">
        <v>#DIV/0!</v>
      </c>
      <c r="M79" s="1">
        <v>1129.3109520151365</v>
      </c>
      <c r="N79" s="1" t="e">
        <v>#DIV/0!</v>
      </c>
      <c r="O79" s="1">
        <v>2980.2640182110235</v>
      </c>
      <c r="P79" s="1" t="e">
        <v>#DIV/0!</v>
      </c>
    </row>
    <row r="80" spans="1:16" x14ac:dyDescent="0.25">
      <c r="A80" s="1">
        <v>0</v>
      </c>
      <c r="B80" s="1">
        <v>0.4</v>
      </c>
      <c r="C80" s="1">
        <f t="shared" si="6"/>
        <v>525</v>
      </c>
      <c r="D80" s="1">
        <v>5000</v>
      </c>
      <c r="E80" s="1">
        <v>50</v>
      </c>
      <c r="F80" s="1">
        <v>46.404717683914086</v>
      </c>
      <c r="G80" s="1">
        <v>50</v>
      </c>
      <c r="H80" s="1">
        <v>52.5</v>
      </c>
      <c r="I80" s="1"/>
      <c r="J80" s="1"/>
      <c r="K80" s="1">
        <v>63011237.654093511</v>
      </c>
      <c r="L80" s="1">
        <v>130531876.59057547</v>
      </c>
      <c r="M80" s="1">
        <v>63011237.654093511</v>
      </c>
      <c r="N80" s="1">
        <v>130531876.59057547</v>
      </c>
      <c r="O80" s="1">
        <v>2980.2640295029273</v>
      </c>
      <c r="P80" s="1">
        <v>2543193.0991589804</v>
      </c>
    </row>
    <row r="81" spans="1:16" x14ac:dyDescent="0.25">
      <c r="A81" s="1">
        <v>0</v>
      </c>
      <c r="B81" s="1">
        <v>0.4</v>
      </c>
      <c r="C81" s="1">
        <f t="shared" si="6"/>
        <v>550</v>
      </c>
      <c r="D81" s="1">
        <v>5000</v>
      </c>
      <c r="E81" s="1">
        <v>50</v>
      </c>
      <c r="F81" s="1">
        <v>16.8114221433414</v>
      </c>
      <c r="G81" s="1">
        <v>50</v>
      </c>
      <c r="H81" s="1">
        <v>50</v>
      </c>
      <c r="I81" s="1"/>
      <c r="J81" s="1"/>
      <c r="K81" s="1">
        <v>638375933.49310124</v>
      </c>
      <c r="L81" s="1" t="e">
        <v>#DIV/0!</v>
      </c>
      <c r="M81" s="1">
        <v>638375933.49310124</v>
      </c>
      <c r="N81" s="1" t="e">
        <v>#DIV/0!</v>
      </c>
      <c r="O81" s="1">
        <v>2980.264011064025</v>
      </c>
      <c r="P81" s="1" t="e">
        <v>#DIV/0!</v>
      </c>
    </row>
    <row r="82" spans="1:16" x14ac:dyDescent="0.25">
      <c r="A82" s="1">
        <v>0</v>
      </c>
      <c r="B82" s="1">
        <v>0.4</v>
      </c>
      <c r="C82" s="1">
        <f t="shared" si="6"/>
        <v>575</v>
      </c>
      <c r="D82" s="1">
        <v>5000</v>
      </c>
      <c r="E82" s="1">
        <v>50</v>
      </c>
      <c r="F82" s="1">
        <v>0</v>
      </c>
      <c r="G82" s="1">
        <v>50</v>
      </c>
      <c r="H82" s="1">
        <v>50</v>
      </c>
      <c r="I82" s="1"/>
      <c r="J82" s="1"/>
      <c r="K82" s="1">
        <v>-279450888.27161247</v>
      </c>
      <c r="L82" s="1" t="e">
        <v>#DIV/0!</v>
      </c>
      <c r="M82" s="1">
        <v>1157.4553003379715</v>
      </c>
      <c r="N82" s="1" t="e">
        <v>#DIV/0!</v>
      </c>
      <c r="O82" s="1" t="e">
        <v>#DIV/0!</v>
      </c>
      <c r="P82" s="1" t="e">
        <v>#DIV/0!</v>
      </c>
    </row>
    <row r="83" spans="1:16" hidden="1" x14ac:dyDescent="0.25">
      <c r="A83" s="1">
        <v>0</v>
      </c>
      <c r="B83" s="1">
        <v>0.4</v>
      </c>
      <c r="C83" s="1">
        <f t="shared" si="6"/>
        <v>600</v>
      </c>
      <c r="D83" s="1">
        <v>5000</v>
      </c>
      <c r="E83" s="1">
        <v>50</v>
      </c>
      <c r="F83" s="1">
        <v>50</v>
      </c>
      <c r="G83" s="1">
        <v>50</v>
      </c>
      <c r="H83" s="1">
        <v>52.499998748301984</v>
      </c>
      <c r="I83" s="1"/>
      <c r="J83" s="1"/>
      <c r="K83" s="1">
        <v>1805073100.3874025</v>
      </c>
      <c r="L83" s="1">
        <v>26280677.97891387</v>
      </c>
      <c r="M83" s="1">
        <v>1805073100.3874025</v>
      </c>
      <c r="N83" s="1">
        <v>26280677.97891387</v>
      </c>
      <c r="O83" s="1">
        <v>1.114790301751378E-7</v>
      </c>
      <c r="P83" s="1">
        <v>3145998.4930610391</v>
      </c>
    </row>
    <row r="84" spans="1:16" hidden="1" x14ac:dyDescent="0.25">
      <c r="A84" s="1">
        <v>0</v>
      </c>
      <c r="B84" s="1">
        <v>0.4</v>
      </c>
      <c r="C84" s="1">
        <f t="shared" si="6"/>
        <v>625</v>
      </c>
      <c r="D84" s="1">
        <v>5000</v>
      </c>
      <c r="E84" s="1">
        <v>50</v>
      </c>
      <c r="F84" s="1">
        <v>50</v>
      </c>
      <c r="G84" s="1">
        <v>50</v>
      </c>
      <c r="H84" s="1">
        <v>52.5</v>
      </c>
      <c r="I84" s="1"/>
      <c r="J84" s="1"/>
      <c r="K84" s="1">
        <v>23518586.945594929</v>
      </c>
      <c r="L84" s="1" t="e">
        <v>#DIV/0!</v>
      </c>
      <c r="M84" s="1">
        <v>23518586.945594929</v>
      </c>
      <c r="N84" s="1" t="e">
        <v>#DIV/0!</v>
      </c>
      <c r="O84" s="1">
        <v>1.3651775086376417E-12</v>
      </c>
      <c r="P84" s="1" t="e">
        <v>#DIV/0!</v>
      </c>
    </row>
    <row r="85" spans="1:16" hidden="1" x14ac:dyDescent="0.25">
      <c r="A85" s="1">
        <v>0</v>
      </c>
      <c r="B85" s="1">
        <v>0.4</v>
      </c>
      <c r="C85" s="1">
        <f t="shared" si="6"/>
        <v>650</v>
      </c>
      <c r="D85" s="1">
        <v>5000</v>
      </c>
      <c r="E85" s="1">
        <v>50</v>
      </c>
      <c r="F85" s="1">
        <v>50</v>
      </c>
      <c r="G85" s="1">
        <v>50</v>
      </c>
      <c r="H85" s="1">
        <v>55.61461375487535</v>
      </c>
      <c r="I85" s="1"/>
      <c r="J85" s="1"/>
      <c r="K85" s="1">
        <v>-1005932445.0854341</v>
      </c>
      <c r="L85" s="1">
        <v>27615454.994856764</v>
      </c>
      <c r="M85" s="1">
        <v>1170.713404039539</v>
      </c>
      <c r="N85" s="1">
        <v>27615454.994856764</v>
      </c>
      <c r="O85" s="1">
        <v>0</v>
      </c>
      <c r="P85" s="1">
        <v>3328889.1083756466</v>
      </c>
    </row>
    <row r="86" spans="1:16" hidden="1" x14ac:dyDescent="0.25">
      <c r="A86" s="1">
        <v>0</v>
      </c>
      <c r="B86" s="1">
        <v>0.4</v>
      </c>
      <c r="C86" s="1">
        <f t="shared" si="6"/>
        <v>675</v>
      </c>
      <c r="D86" s="1">
        <v>5000</v>
      </c>
      <c r="E86" s="1">
        <v>50</v>
      </c>
      <c r="F86" s="1">
        <v>50</v>
      </c>
      <c r="G86" s="1">
        <v>50</v>
      </c>
      <c r="H86" s="1">
        <v>50</v>
      </c>
      <c r="I86" s="1"/>
      <c r="J86" s="1"/>
      <c r="K86" s="1">
        <v>257342609.9894205</v>
      </c>
      <c r="L86" s="1" t="e">
        <v>#DIV/0!</v>
      </c>
      <c r="M86" s="1">
        <v>257342609.9894205</v>
      </c>
      <c r="N86" s="1" t="e">
        <v>#DIV/0!</v>
      </c>
      <c r="O86" s="1">
        <v>-26.102801735197659</v>
      </c>
      <c r="P86" s="1" t="e">
        <v>#DIV/0!</v>
      </c>
    </row>
    <row r="87" spans="1:16" x14ac:dyDescent="0.25">
      <c r="A87" s="1">
        <v>0</v>
      </c>
      <c r="B87" s="1">
        <v>0.4</v>
      </c>
      <c r="C87" s="1">
        <v>350</v>
      </c>
      <c r="D87" s="1">
        <v>10000</v>
      </c>
      <c r="E87" s="1">
        <v>50</v>
      </c>
      <c r="F87" s="1">
        <v>1644624.4889365078</v>
      </c>
      <c r="G87" s="1">
        <v>50</v>
      </c>
      <c r="H87" s="1">
        <v>163889.99999999997</v>
      </c>
      <c r="I87" s="1"/>
      <c r="J87" s="1"/>
      <c r="K87" s="1">
        <v>350.0057289351405</v>
      </c>
      <c r="L87" s="1" t="e">
        <v>#DIV/0!</v>
      </c>
      <c r="M87" s="1">
        <v>350.0057289351405</v>
      </c>
      <c r="N87" s="1" t="e">
        <v>#DIV/0!</v>
      </c>
      <c r="O87" s="1">
        <v>5960.5280478794957</v>
      </c>
      <c r="P87" s="1" t="e">
        <v>#DIV/0!</v>
      </c>
    </row>
    <row r="88" spans="1:16" x14ac:dyDescent="0.25">
      <c r="A88" s="1">
        <v>0</v>
      </c>
      <c r="B88" s="1">
        <v>0.4</v>
      </c>
      <c r="C88" s="1">
        <f>C87+25</f>
        <v>375</v>
      </c>
      <c r="D88" s="1">
        <v>10000</v>
      </c>
      <c r="E88" s="1">
        <v>50</v>
      </c>
      <c r="F88" s="1">
        <v>176181.3115423831</v>
      </c>
      <c r="G88" s="1">
        <v>50</v>
      </c>
      <c r="H88" s="1">
        <v>20530</v>
      </c>
      <c r="I88" s="1"/>
      <c r="J88" s="1"/>
      <c r="K88" s="1">
        <v>375.05358207911115</v>
      </c>
      <c r="L88" s="1" t="e">
        <v>#DIV/0!</v>
      </c>
      <c r="M88" s="1">
        <v>375.05358207911115</v>
      </c>
      <c r="N88" s="1" t="e">
        <v>#DIV/0!</v>
      </c>
      <c r="O88" s="1">
        <v>5960.5280212780654</v>
      </c>
      <c r="P88" s="1" t="e">
        <v>#DIV/0!</v>
      </c>
    </row>
    <row r="89" spans="1:16" x14ac:dyDescent="0.25">
      <c r="A89" s="1">
        <v>0</v>
      </c>
      <c r="B89" s="1">
        <v>0.4</v>
      </c>
      <c r="C89" s="1">
        <f t="shared" ref="C89:C100" si="7">C88+25</f>
        <v>400</v>
      </c>
      <c r="D89" s="1">
        <v>10000</v>
      </c>
      <c r="E89" s="1">
        <v>50</v>
      </c>
      <c r="F89" s="1">
        <v>24952.626951492766</v>
      </c>
      <c r="G89" s="1">
        <v>50</v>
      </c>
      <c r="H89" s="1">
        <v>2610</v>
      </c>
      <c r="I89" s="1"/>
      <c r="J89" s="1"/>
      <c r="K89" s="1">
        <v>400.38272582049302</v>
      </c>
      <c r="L89" s="1" t="e">
        <v>#DIV/0!</v>
      </c>
      <c r="M89" s="1">
        <v>400.38272582049302</v>
      </c>
      <c r="N89" s="1" t="e">
        <v>#DIV/0!</v>
      </c>
      <c r="O89" s="1">
        <v>5960.5280483416391</v>
      </c>
      <c r="P89" s="1" t="e">
        <v>#DIV/0!</v>
      </c>
    </row>
    <row r="90" spans="1:16" x14ac:dyDescent="0.25">
      <c r="A90" s="1">
        <v>0</v>
      </c>
      <c r="B90" s="1">
        <v>0.4</v>
      </c>
      <c r="C90" s="1">
        <f t="shared" si="7"/>
        <v>425</v>
      </c>
      <c r="D90" s="1">
        <v>10000</v>
      </c>
      <c r="E90" s="1">
        <v>50</v>
      </c>
      <c r="F90" s="1">
        <v>4447.712130092712</v>
      </c>
      <c r="G90" s="1">
        <v>50</v>
      </c>
      <c r="H90" s="1">
        <v>3431.1604754681207</v>
      </c>
      <c r="I90" s="1"/>
      <c r="J90" s="1"/>
      <c r="K90" s="1">
        <v>427.27473696891894</v>
      </c>
      <c r="L90" s="1" t="e">
        <v>#DIV/0!</v>
      </c>
      <c r="M90" s="1">
        <v>427.27473696891894</v>
      </c>
      <c r="N90" s="1" t="e">
        <v>#DIV/0!</v>
      </c>
      <c r="O90" s="1">
        <v>5960.5280293789547</v>
      </c>
      <c r="P90" s="1" t="e">
        <v>#DIV/0!</v>
      </c>
    </row>
    <row r="91" spans="1:16" x14ac:dyDescent="0.25">
      <c r="A91" s="1">
        <v>0</v>
      </c>
      <c r="B91" s="1">
        <v>0.4</v>
      </c>
      <c r="C91" s="1">
        <f t="shared" si="7"/>
        <v>450</v>
      </c>
      <c r="D91" s="1">
        <v>10000</v>
      </c>
      <c r="E91" s="1">
        <v>50</v>
      </c>
      <c r="F91" s="1">
        <v>960.23384978855711</v>
      </c>
      <c r="G91" s="1">
        <v>50</v>
      </c>
      <c r="H91" s="1">
        <v>361.81439679914797</v>
      </c>
      <c r="I91" s="1"/>
      <c r="J91" s="1"/>
      <c r="K91" s="1">
        <v>464.19513400213674</v>
      </c>
      <c r="L91" s="1">
        <v>90730080.246531203</v>
      </c>
      <c r="M91" s="1">
        <v>464.19513400213674</v>
      </c>
      <c r="N91" s="1">
        <v>90730080.246531203</v>
      </c>
      <c r="O91" s="1">
        <v>5960.5280519303869</v>
      </c>
      <c r="P91" s="1">
        <v>5984173.0342457537</v>
      </c>
    </row>
    <row r="92" spans="1:16" x14ac:dyDescent="0.25">
      <c r="A92" s="1">
        <v>0</v>
      </c>
      <c r="B92" s="1">
        <v>0.4</v>
      </c>
      <c r="C92" s="1">
        <f t="shared" si="7"/>
        <v>475</v>
      </c>
      <c r="D92" s="1">
        <v>10000</v>
      </c>
      <c r="E92" s="1">
        <v>50</v>
      </c>
      <c r="F92" s="1">
        <v>243.61124118676275</v>
      </c>
      <c r="G92" s="1">
        <v>50</v>
      </c>
      <c r="H92" s="1">
        <v>50</v>
      </c>
      <c r="I92" s="1"/>
      <c r="J92" s="1"/>
      <c r="K92" s="1">
        <v>-3074824087.2328472</v>
      </c>
      <c r="L92" s="1" t="e">
        <v>#DIV/0!</v>
      </c>
      <c r="M92" s="1">
        <v>1016.5424642122575</v>
      </c>
      <c r="N92" s="1" t="e">
        <v>#DIV/0!</v>
      </c>
      <c r="O92" s="1">
        <v>5960.5280453433761</v>
      </c>
      <c r="P92" s="1" t="e">
        <v>#DIV/0!</v>
      </c>
    </row>
    <row r="93" spans="1:16" x14ac:dyDescent="0.25">
      <c r="A93" s="1">
        <v>0</v>
      </c>
      <c r="B93" s="1">
        <v>0.4</v>
      </c>
      <c r="C93" s="1">
        <f t="shared" si="7"/>
        <v>500</v>
      </c>
      <c r="D93" s="1">
        <v>10000</v>
      </c>
      <c r="E93" s="1">
        <v>50</v>
      </c>
      <c r="F93" s="1">
        <v>70.890102349663024</v>
      </c>
      <c r="G93" s="1">
        <v>50</v>
      </c>
      <c r="H93" s="1">
        <v>47.5</v>
      </c>
      <c r="I93" s="1"/>
      <c r="J93" s="1"/>
      <c r="K93" s="1">
        <v>126322711.18940404</v>
      </c>
      <c r="L93" s="1" t="e">
        <v>#DIV/0!</v>
      </c>
      <c r="M93" s="1">
        <v>126322711.18940404</v>
      </c>
      <c r="N93" s="1" t="e">
        <v>#DIV/0!</v>
      </c>
      <c r="O93" s="1">
        <v>5960.5280488074977</v>
      </c>
      <c r="P93" s="1" t="e">
        <v>#DIV/0!</v>
      </c>
    </row>
    <row r="94" spans="1:16" x14ac:dyDescent="0.25">
      <c r="A94" s="1">
        <v>0</v>
      </c>
      <c r="B94" s="1">
        <v>0.4</v>
      </c>
      <c r="C94" s="1">
        <f t="shared" si="7"/>
        <v>525</v>
      </c>
      <c r="D94" s="1">
        <v>10000</v>
      </c>
      <c r="E94" s="1">
        <v>50</v>
      </c>
      <c r="F94" s="1">
        <v>23.202358778510288</v>
      </c>
      <c r="G94" s="1">
        <v>50</v>
      </c>
      <c r="H94" s="1">
        <v>47.5</v>
      </c>
      <c r="I94" s="1"/>
      <c r="J94" s="1"/>
      <c r="K94" s="1">
        <v>483843022139.70764</v>
      </c>
      <c r="L94" s="1" t="e">
        <v>#DIV/0!</v>
      </c>
      <c r="M94" s="1">
        <v>483843022139.70764</v>
      </c>
      <c r="N94" s="1" t="e">
        <v>#DIV/0!</v>
      </c>
      <c r="O94" s="1">
        <v>5960.5280631785436</v>
      </c>
      <c r="P94" s="1" t="e">
        <v>#DIV/0!</v>
      </c>
    </row>
    <row r="95" spans="1:16" x14ac:dyDescent="0.25">
      <c r="A95" s="1">
        <v>0</v>
      </c>
      <c r="B95" s="1">
        <v>0.4</v>
      </c>
      <c r="C95" s="1">
        <f t="shared" si="7"/>
        <v>550</v>
      </c>
      <c r="D95" s="1">
        <v>10000</v>
      </c>
      <c r="E95" s="1">
        <v>50</v>
      </c>
      <c r="F95" s="1">
        <v>0</v>
      </c>
      <c r="G95" s="1">
        <v>50</v>
      </c>
      <c r="H95" s="1">
        <v>50</v>
      </c>
      <c r="I95" s="1"/>
      <c r="J95" s="1"/>
      <c r="K95" s="1">
        <v>32044851.199791826</v>
      </c>
      <c r="L95" s="1" t="e">
        <v>#DIV/0!</v>
      </c>
      <c r="M95" s="1">
        <v>32044851.199791826</v>
      </c>
      <c r="N95" s="1" t="e">
        <v>#DIV/0!</v>
      </c>
      <c r="O95" s="1" t="e">
        <v>#DIV/0!</v>
      </c>
      <c r="P95" s="1" t="e">
        <v>#DIV/0!</v>
      </c>
    </row>
    <row r="96" spans="1:16" hidden="1" x14ac:dyDescent="0.25">
      <c r="A96" s="1">
        <v>0</v>
      </c>
      <c r="B96" s="1">
        <v>0.4</v>
      </c>
      <c r="C96" s="1">
        <f t="shared" si="7"/>
        <v>575</v>
      </c>
      <c r="D96" s="1">
        <v>10000</v>
      </c>
      <c r="E96" s="1">
        <v>50</v>
      </c>
      <c r="F96" s="1">
        <v>50</v>
      </c>
      <c r="G96" s="1">
        <v>50</v>
      </c>
      <c r="H96" s="1">
        <v>50</v>
      </c>
      <c r="I96" s="1"/>
      <c r="J96" s="1"/>
      <c r="K96" s="1">
        <v>1964747940.9385569</v>
      </c>
      <c r="L96" s="1" t="e">
        <v>#DIV/0!</v>
      </c>
      <c r="M96" s="1">
        <v>1964747940.9385569</v>
      </c>
      <c r="N96" s="1" t="e">
        <v>#DIV/0!</v>
      </c>
      <c r="O96" s="1">
        <v>1.6327836967965632E-5</v>
      </c>
      <c r="P96" s="1" t="e">
        <v>#DIV/0!</v>
      </c>
    </row>
    <row r="97" spans="1:16" hidden="1" x14ac:dyDescent="0.25">
      <c r="A97" s="1">
        <v>0</v>
      </c>
      <c r="B97" s="1">
        <v>0.4</v>
      </c>
      <c r="C97" s="1">
        <f t="shared" si="7"/>
        <v>600</v>
      </c>
      <c r="D97" s="1">
        <v>10000</v>
      </c>
      <c r="E97" s="1">
        <v>50</v>
      </c>
      <c r="F97" s="1">
        <v>50</v>
      </c>
      <c r="G97" s="1">
        <v>50</v>
      </c>
      <c r="H97" s="1">
        <v>40</v>
      </c>
      <c r="I97" s="1"/>
      <c r="J97" s="1"/>
      <c r="K97" s="1">
        <v>33458821.701525837</v>
      </c>
      <c r="L97" s="1" t="e">
        <v>#DIV/0!</v>
      </c>
      <c r="M97" s="1">
        <v>33458821.701525837</v>
      </c>
      <c r="N97" s="1" t="e">
        <v>#DIV/0!</v>
      </c>
      <c r="O97" s="1">
        <v>2.7303550173593182E-12</v>
      </c>
      <c r="P97" s="1" t="e">
        <v>#DIV/0!</v>
      </c>
    </row>
    <row r="98" spans="1:16" hidden="1" x14ac:dyDescent="0.25">
      <c r="A98" s="1">
        <v>0</v>
      </c>
      <c r="B98" s="1">
        <v>0.4</v>
      </c>
      <c r="C98" s="1">
        <f t="shared" si="7"/>
        <v>625</v>
      </c>
      <c r="D98" s="1">
        <v>10000</v>
      </c>
      <c r="E98" s="1">
        <v>50</v>
      </c>
      <c r="F98" s="1">
        <v>50</v>
      </c>
      <c r="G98" s="1">
        <v>50</v>
      </c>
      <c r="H98" s="1">
        <v>50.019255479526642</v>
      </c>
      <c r="I98" s="1"/>
      <c r="J98" s="1"/>
      <c r="K98" s="1">
        <v>-477466902.62929446</v>
      </c>
      <c r="L98" s="1">
        <v>35151891.634252816</v>
      </c>
      <c r="M98" s="1">
        <v>1174.2170657685165</v>
      </c>
      <c r="N98" s="1">
        <v>35151891.634252816</v>
      </c>
      <c r="O98" s="1">
        <v>0</v>
      </c>
      <c r="P98" s="1">
        <v>6722181.6343537709</v>
      </c>
    </row>
    <row r="99" spans="1:16" hidden="1" x14ac:dyDescent="0.25">
      <c r="A99" s="1">
        <v>0</v>
      </c>
      <c r="B99" s="1">
        <v>0.4</v>
      </c>
      <c r="C99" s="1">
        <f t="shared" si="7"/>
        <v>650</v>
      </c>
      <c r="D99" s="1">
        <v>10000</v>
      </c>
      <c r="E99" s="1">
        <v>50</v>
      </c>
      <c r="F99" s="1">
        <v>50</v>
      </c>
      <c r="G99" s="1">
        <v>50</v>
      </c>
      <c r="H99" s="1">
        <v>50</v>
      </c>
      <c r="I99" s="1"/>
      <c r="J99" s="1"/>
      <c r="K99" s="1">
        <v>964658599.49026787</v>
      </c>
      <c r="L99" s="1" t="e">
        <v>#DIV/0!</v>
      </c>
      <c r="M99" s="1">
        <v>964658599.49026787</v>
      </c>
      <c r="N99" s="1" t="e">
        <v>#DIV/0!</v>
      </c>
      <c r="O99" s="1">
        <v>-52.722121171628473</v>
      </c>
      <c r="P99" s="1" t="e">
        <v>#DIV/0!</v>
      </c>
    </row>
    <row r="100" spans="1:16" x14ac:dyDescent="0.25">
      <c r="A100" s="1">
        <v>0</v>
      </c>
      <c r="B100" s="1">
        <v>0.4</v>
      </c>
      <c r="C100" s="1">
        <f t="shared" si="7"/>
        <v>675</v>
      </c>
      <c r="D100" s="1">
        <v>10000</v>
      </c>
      <c r="E100" s="1">
        <v>50</v>
      </c>
      <c r="F100" s="1">
        <v>40</v>
      </c>
      <c r="G100" s="1">
        <v>50</v>
      </c>
      <c r="H100" s="1">
        <v>50</v>
      </c>
      <c r="I100" s="1"/>
      <c r="J100" s="1"/>
      <c r="K100" s="1">
        <v>3673069110.5316648</v>
      </c>
      <c r="L100" s="1" t="e">
        <v>#DIV/0!</v>
      </c>
      <c r="M100" s="1">
        <v>3673069110.5316648</v>
      </c>
      <c r="N100" s="1" t="e">
        <v>#DIV/0!</v>
      </c>
      <c r="O100" s="1">
        <v>-1055.4045725058879</v>
      </c>
      <c r="P100" s="1" t="e">
        <v>#DIV/0!</v>
      </c>
    </row>
  </sheetData>
  <autoFilter ref="A2:P198">
    <filterColumn colId="5">
      <filters>
        <filter val="0"/>
        <filter val="-1.40737E+15"/>
        <filter val="-1.75922E+14"/>
        <filter val="100111.5087"/>
        <filter val="1001115.086"/>
        <filter val="10036492.38"/>
        <filter val="1004385.526"/>
        <filter val="1033693.804"/>
        <filter val="12.6855615"/>
        <filter val="12164.9352"/>
        <filter val="-1250.726075"/>
        <filter val="127409.6307"/>
        <filter val="13.05265368"/>
        <filter val="13.3453088"/>
        <filter val="13058283.1"/>
        <filter val="1327706.311"/>
        <filter val="133.4530919"/>
        <filter val="14.26284734"/>
        <filter val="142.2077759"/>
        <filter val="142.6284787"/>
        <filter val="1422.077765"/>
        <filter val="147.1811031"/>
        <filter val="148649.6266"/>
        <filter val="16.25724616"/>
        <filter val="16.86212067"/>
        <filter val="16480.13521"/>
        <filter val="1649584.222"/>
        <filter val="16495841.98"/>
        <filter val="164958425.5"/>
        <filter val="168.6212042"/>
        <filter val="17199194375"/>
        <filter val="1721207522"/>
        <filter val="176712.6219"/>
        <filter val="1767126.224"/>
        <filter val="17671262.07"/>
        <filter val="17844.50081"/>
        <filter val="178445.0053"/>
        <filter val="1801.81747"/>
        <filter val="18113.60619"/>
        <filter val="184.9148789"/>
        <filter val="184443723.1"/>
        <filter val="1926.259301"/>
        <filter val="19262.59308"/>
        <filter val="1965.092101"/>
        <filter val="-2.74878E+12"/>
        <filter val="2160.977992"/>
        <filter val="22"/>
        <filter val="223283.9856"/>
        <filter val="23.27233068"/>
        <filter val="232.7233093"/>
        <filter val="2324741.762"/>
        <filter val="2327.233113"/>
        <filter val="235.7524857"/>
        <filter val="2367.266173"/>
        <filter val="244.3459054"/>
        <filter val="2443.459053"/>
        <filter val="24434.59048"/>
        <filter val="25027.87718"/>
        <filter val="250278.7715"/>
        <filter val="2502787.717"/>
        <filter val="2530.298903"/>
        <filter val="254704.8795"/>
        <filter val="2553587.629"/>
        <filter val="26.10530723"/>
        <filter val="-272926.6467"/>
        <filter val="28.52569462"/>
        <filter val="284.4155505"/>
        <filter val="2844.15555"/>
        <filter val="29679.91871"/>
        <filter val="3.875"/>
        <filter val="-30299.58293"/>
        <filter val="-3056.028666"/>
        <filter val="307.7137494"/>
        <filter val="31.71390666"/>
        <filter val="3299168.444"/>
        <filter val="33.36327247"/>
        <filter val="33.72424053"/>
        <filter val="333.6327318"/>
        <filter val="337.2424093"/>
        <filter val="33858322921"/>
        <filter val="3442415123"/>
        <filter val="350.6467954"/>
        <filter val="353425.2438"/>
        <filter val="3534252.449"/>
        <filter val="3550.529937"/>
        <filter val="3687.407232"/>
        <filter val="368887497.6"/>
        <filter val="37"/>
        <filter val="37074.94899"/>
        <filter val="382591226.2"/>
        <filter val="384.4348548"/>
        <filter val="3852.518603"/>
        <filter val="38525.18616"/>
        <filter val="398.2360331"/>
        <filter val="-4.39805E+13"/>
        <filter val="40"/>
        <filter val="401946.9256"/>
        <filter val="44.48779297"/>
        <filter val="4461.125202"/>
        <filter val="44611.25131"/>
        <filter val="446112.5143"/>
        <filter val="46.54466148"/>
        <filter val="465.4466256"/>
        <filter val="48.8359375"/>
        <filter val="488.6918172"/>
        <filter val="4886.918101"/>
        <filter val="49.32935716"/>
        <filter val="49.33398437"/>
        <filter val="49.5"/>
        <filter val="49.75026192"/>
        <filter val="-5.21327E+11"/>
        <filter val="-5.49756E+12"/>
        <filter val="50.07159823"/>
        <filter val="50.35764424"/>
        <filter val="50.38040427"/>
        <filter val="50.46305694"/>
        <filter val="50.50001968"/>
        <filter val="50.55341863"/>
        <filter val="50.69932947"/>
        <filter val="50.69989691"/>
        <filter val="50055.75436"/>
        <filter val="500557.5429"/>
        <filter val="51.00488287"/>
        <filter val="52.27868998"/>
        <filter val="52.41406383"/>
        <filter val="52684421.17"/>
        <filter val="53.01957822"/>
        <filter val="54.25267699"/>
        <filter val="54.3132567"/>
        <filter val="54.50500568"/>
        <filter val="5405.146818"/>
        <filter val="55.66751214"/>
        <filter val="57.05138987"/>
        <filter val="58.39316351"/>
        <filter val="5805022.268"/>
        <filter val="60.03504687"/>
        <filter val="-6091108.176"/>
        <filter val="649.3923175"/>
        <filter val="65.26327269"/>
        <filter val="6598336.888"/>
        <filter val="65983367.88"/>
        <filter val="66.72654578"/>
        <filter val="687290115.8"/>
        <filter val="6948.787128"/>
        <filter val="7.013888876"/>
        <filter val="-7.10543E-15"/>
        <filter val="-7.7914E+11"/>
        <filter val="706850.4875"/>
        <filter val="7068504.898"/>
        <filter val="71.10388742"/>
        <filter val="711.038874"/>
        <filter val="7110.388733"/>
        <filter val="72761.75249"/>
        <filter val="73.39329147"/>
        <filter val="73672232.45"/>
        <filter val="74116.77859"/>
        <filter val="787.7959124"/>
        <filter val="79.74577881"/>
        <filter val="793.9977213"/>
        <filter val="84.31060219"/>
        <filter val="84.82753486"/>
        <filter val="843.1060239"/>
        <filter val="860603702.4"/>
        <filter val="8922.250403"/>
        <filter val="89222.50263"/>
        <filter val="8932.443426"/>
        <filter val="92221869.27"/>
        <filter val="93.08932409"/>
        <filter val="930.8932351"/>
        <filter val="963.1296496"/>
        <filter val="9631.296544"/>
        <filter val="96312.96518"/>
        <filter val="96915.67952"/>
        <filter val="9739.082228"/>
        <filter val="977.3836168"/>
        <filter val="9773.836197"/>
      </filters>
    </filterColumn>
  </autoFilter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51"/>
  <sheetViews>
    <sheetView topLeftCell="B1" zoomScaleNormal="100" zoomScalePageLayoutView="59" workbookViewId="0">
      <selection activeCell="R8" sqref="R8"/>
    </sheetView>
  </sheetViews>
  <sheetFormatPr defaultColWidth="11" defaultRowHeight="15.75" x14ac:dyDescent="0.25"/>
  <cols>
    <col min="1" max="1" width="17.125" bestFit="1" customWidth="1"/>
    <col min="7" max="7" width="26.875" bestFit="1" customWidth="1"/>
    <col min="8" max="8" width="15.625" bestFit="1" customWidth="1"/>
    <col min="9" max="9" width="11.625" bestFit="1" customWidth="1"/>
    <col min="12" max="12" width="17" bestFit="1" customWidth="1"/>
    <col min="13" max="13" width="17.875" bestFit="1" customWidth="1"/>
    <col min="18" max="18" width="16" bestFit="1" customWidth="1"/>
  </cols>
  <sheetData>
    <row r="1" spans="1:13" x14ac:dyDescent="0.25">
      <c r="A1" s="17" t="s">
        <v>152</v>
      </c>
      <c r="B1" s="17"/>
      <c r="C1" s="17"/>
    </row>
    <row r="2" spans="1:13" x14ac:dyDescent="0.25">
      <c r="A2" t="s">
        <v>153</v>
      </c>
      <c r="B2" t="s">
        <v>154</v>
      </c>
      <c r="H2" t="s">
        <v>155</v>
      </c>
    </row>
    <row r="3" spans="1:13" x14ac:dyDescent="0.25">
      <c r="B3" t="s">
        <v>156</v>
      </c>
      <c r="C3" t="s">
        <v>157</v>
      </c>
      <c r="D3" t="s">
        <v>158</v>
      </c>
      <c r="E3" t="s">
        <v>159</v>
      </c>
      <c r="F3" t="s">
        <v>160</v>
      </c>
      <c r="G3" t="s">
        <v>161</v>
      </c>
      <c r="H3" t="s">
        <v>162</v>
      </c>
    </row>
    <row r="4" spans="1:13" x14ac:dyDescent="0.25">
      <c r="A4" t="s">
        <v>163</v>
      </c>
      <c r="B4" s="17">
        <v>72.22360891551341</v>
      </c>
      <c r="C4">
        <v>0</v>
      </c>
      <c r="D4">
        <f>B4+C4</f>
        <v>72.22360891551341</v>
      </c>
      <c r="E4">
        <f>D4</f>
        <v>72.22360891551341</v>
      </c>
      <c r="F4">
        <f>B4*(1-B11)</f>
        <v>43.334165349308044</v>
      </c>
      <c r="G4">
        <f>F4-H4</f>
        <v>36.020522592627316</v>
      </c>
      <c r="H4">
        <f>H7*$B14</f>
        <v>7.313642756680732</v>
      </c>
    </row>
    <row r="5" spans="1:13" x14ac:dyDescent="0.25">
      <c r="A5" t="s">
        <v>164</v>
      </c>
      <c r="B5" s="4">
        <v>0</v>
      </c>
      <c r="C5" s="17">
        <v>33.406207660915847</v>
      </c>
      <c r="D5">
        <f>B5+C5</f>
        <v>33.406207660915847</v>
      </c>
      <c r="E5">
        <f>D5</f>
        <v>33.406207660915847</v>
      </c>
      <c r="F5">
        <f>C5-B4*B11</f>
        <v>4.5167640947104815</v>
      </c>
      <c r="G5">
        <f>F5-H5</f>
        <v>4.1510819568764452</v>
      </c>
      <c r="H5">
        <f>H7*$B15</f>
        <v>0.36568213783403658</v>
      </c>
    </row>
    <row r="6" spans="1:13" x14ac:dyDescent="0.25">
      <c r="A6" t="s">
        <v>165</v>
      </c>
      <c r="B6">
        <v>0</v>
      </c>
      <c r="C6">
        <v>0</v>
      </c>
      <c r="D6">
        <f>B6+C6</f>
        <v>0</v>
      </c>
      <c r="E6">
        <f>D6</f>
        <v>0</v>
      </c>
      <c r="F6">
        <f>E6+B4*B11</f>
        <v>28.889443566205365</v>
      </c>
      <c r="G6">
        <f>F6-H6</f>
        <v>5.5467731647595997E-4</v>
      </c>
      <c r="H6">
        <f>$B$12*1000/3600</f>
        <v>28.888888888888889</v>
      </c>
    </row>
    <row r="7" spans="1:13" x14ac:dyDescent="0.25">
      <c r="A7" s="9" t="s">
        <v>45</v>
      </c>
      <c r="B7" s="9">
        <f t="shared" ref="B7:G7" si="0">SUM(B4:B6)</f>
        <v>72.22360891551341</v>
      </c>
      <c r="C7" s="9">
        <f t="shared" si="0"/>
        <v>33.406207660915847</v>
      </c>
      <c r="D7" s="9">
        <f t="shared" si="0"/>
        <v>105.62981657642925</v>
      </c>
      <c r="E7" s="9">
        <f t="shared" si="0"/>
        <v>105.62981657642925</v>
      </c>
      <c r="F7" s="9">
        <f t="shared" si="0"/>
        <v>76.740373010223891</v>
      </c>
      <c r="G7" s="9">
        <f t="shared" si="0"/>
        <v>40.172159226820241</v>
      </c>
      <c r="H7" s="9">
        <f>H6/$B16</f>
        <v>36.568213783403657</v>
      </c>
    </row>
    <row r="9" spans="1:13" x14ac:dyDescent="0.25">
      <c r="A9" t="s">
        <v>166</v>
      </c>
    </row>
    <row r="10" spans="1:13" x14ac:dyDescent="0.25">
      <c r="A10" t="s">
        <v>167</v>
      </c>
      <c r="F10" t="s">
        <v>168</v>
      </c>
      <c r="G10" t="s">
        <v>169</v>
      </c>
      <c r="H10" t="s">
        <v>170</v>
      </c>
      <c r="I10" t="s">
        <v>171</v>
      </c>
      <c r="J10" t="s">
        <v>172</v>
      </c>
    </row>
    <row r="11" spans="1:13" x14ac:dyDescent="0.25">
      <c r="A11" t="s">
        <v>173</v>
      </c>
      <c r="B11" s="28">
        <v>0.4</v>
      </c>
      <c r="G11">
        <f>300*(1/24)*1000*1000/120.19/3600</f>
        <v>28.889443566205362</v>
      </c>
      <c r="H11">
        <f>F6</f>
        <v>28.889443566205365</v>
      </c>
      <c r="I11">
        <f>H11-G11</f>
        <v>0</v>
      </c>
    </row>
    <row r="12" spans="1:13" x14ac:dyDescent="0.25">
      <c r="A12" t="s">
        <v>168</v>
      </c>
      <c r="B12" s="1">
        <v>104</v>
      </c>
      <c r="C12" t="s">
        <v>79</v>
      </c>
    </row>
    <row r="13" spans="1:13" x14ac:dyDescent="0.25">
      <c r="A13" t="s">
        <v>174</v>
      </c>
      <c r="D13" t="s">
        <v>175</v>
      </c>
    </row>
    <row r="14" spans="1:13" x14ac:dyDescent="0.25">
      <c r="A14" t="s">
        <v>119</v>
      </c>
      <c r="B14" s="17">
        <v>0.2</v>
      </c>
      <c r="D14" s="17">
        <v>0.9</v>
      </c>
      <c r="G14" t="s">
        <v>176</v>
      </c>
      <c r="H14">
        <f>B4/C5</f>
        <v>2.1619816786331194</v>
      </c>
    </row>
    <row r="15" spans="1:13" x14ac:dyDescent="0.25">
      <c r="A15" t="s">
        <v>121</v>
      </c>
      <c r="B15" s="17">
        <v>0.01</v>
      </c>
      <c r="D15" s="17">
        <v>0.01</v>
      </c>
      <c r="G15" t="s">
        <v>177</v>
      </c>
      <c r="H15">
        <v>600</v>
      </c>
      <c r="I15" t="s">
        <v>15</v>
      </c>
    </row>
    <row r="16" spans="1:13" x14ac:dyDescent="0.25">
      <c r="A16" t="s">
        <v>178</v>
      </c>
      <c r="B16" s="17">
        <f>1-B14-B15</f>
        <v>0.79</v>
      </c>
      <c r="D16" s="17">
        <f>1-D14-D15</f>
        <v>8.9999999999999983E-2</v>
      </c>
      <c r="L16" t="s">
        <v>179</v>
      </c>
      <c r="M16" t="s">
        <v>180</v>
      </c>
    </row>
    <row r="17" spans="1:19" x14ac:dyDescent="0.25">
      <c r="K17" t="s">
        <v>119</v>
      </c>
      <c r="L17">
        <v>160.09</v>
      </c>
      <c r="M17">
        <v>82.9</v>
      </c>
    </row>
    <row r="18" spans="1:19" x14ac:dyDescent="0.25">
      <c r="A18" t="s">
        <v>181</v>
      </c>
      <c r="B18" t="s">
        <v>182</v>
      </c>
      <c r="H18" t="s">
        <v>183</v>
      </c>
      <c r="K18" t="s">
        <v>184</v>
      </c>
      <c r="L18">
        <v>108</v>
      </c>
      <c r="M18">
        <v>20.41</v>
      </c>
    </row>
    <row r="19" spans="1:19" x14ac:dyDescent="0.25">
      <c r="B19" t="s">
        <v>156</v>
      </c>
      <c r="C19" t="s">
        <v>157</v>
      </c>
      <c r="D19" t="s">
        <v>158</v>
      </c>
      <c r="E19" t="s">
        <v>159</v>
      </c>
      <c r="F19" t="s">
        <v>160</v>
      </c>
      <c r="G19" t="s">
        <v>185</v>
      </c>
      <c r="H19" t="s">
        <v>162</v>
      </c>
      <c r="K19" t="s">
        <v>178</v>
      </c>
      <c r="L19">
        <v>273.56</v>
      </c>
      <c r="M19">
        <v>3.9</v>
      </c>
    </row>
    <row r="20" spans="1:19" x14ac:dyDescent="0.25">
      <c r="A20" t="s">
        <v>186</v>
      </c>
      <c r="B20" s="4">
        <v>600</v>
      </c>
      <c r="C20" s="4">
        <v>600</v>
      </c>
      <c r="D20" s="4">
        <v>600</v>
      </c>
      <c r="E20" s="18">
        <v>600</v>
      </c>
      <c r="F20" s="18">
        <v>600</v>
      </c>
      <c r="G20" s="1">
        <v>383</v>
      </c>
      <c r="H20" s="1">
        <v>413</v>
      </c>
    </row>
    <row r="21" spans="1:19" x14ac:dyDescent="0.25">
      <c r="A21" t="s">
        <v>187</v>
      </c>
      <c r="B21" s="4">
        <v>50</v>
      </c>
      <c r="C21" s="4">
        <v>50</v>
      </c>
      <c r="D21" s="4">
        <v>50</v>
      </c>
      <c r="E21" s="4">
        <v>50</v>
      </c>
      <c r="F21" s="4">
        <v>50</v>
      </c>
      <c r="G21" s="4">
        <v>50</v>
      </c>
      <c r="H21" s="4">
        <v>50</v>
      </c>
    </row>
    <row r="22" spans="1:19" x14ac:dyDescent="0.25">
      <c r="A22" t="s">
        <v>188</v>
      </c>
      <c r="B22">
        <f t="shared" ref="B22:H24" si="1">B4*$M17+$L17*B4*(B$20-$H$15)/1000</f>
        <v>5987.3371790960618</v>
      </c>
      <c r="C22">
        <f t="shared" si="1"/>
        <v>0</v>
      </c>
      <c r="D22">
        <f t="shared" si="1"/>
        <v>5987.3371790960618</v>
      </c>
      <c r="E22">
        <f t="shared" si="1"/>
        <v>5987.3371790960618</v>
      </c>
      <c r="F22">
        <f t="shared" si="1"/>
        <v>3592.4023074576371</v>
      </c>
      <c r="G22">
        <f t="shared" si="1"/>
        <v>1734.7652977065502</v>
      </c>
      <c r="H22">
        <f t="shared" si="1"/>
        <v>387.3537046413503</v>
      </c>
    </row>
    <row r="23" spans="1:19" x14ac:dyDescent="0.25">
      <c r="A23" s="19" t="s">
        <v>189</v>
      </c>
      <c r="B23">
        <f t="shared" si="1"/>
        <v>0</v>
      </c>
      <c r="C23">
        <f t="shared" si="1"/>
        <v>681.82069835929246</v>
      </c>
      <c r="D23">
        <f t="shared" si="1"/>
        <v>681.82069835929246</v>
      </c>
      <c r="E23">
        <f t="shared" si="1"/>
        <v>681.82069835929246</v>
      </c>
      <c r="F23">
        <f t="shared" si="1"/>
        <v>92.187155173040921</v>
      </c>
      <c r="G23">
        <f t="shared" si="1"/>
        <v>-12.561174001508107</v>
      </c>
      <c r="H23">
        <f t="shared" si="1"/>
        <v>7.8255977496482387E-2</v>
      </c>
      <c r="L23" s="9" t="s">
        <v>190</v>
      </c>
    </row>
    <row r="24" spans="1:19" x14ac:dyDescent="0.25">
      <c r="A24" s="19" t="s">
        <v>191</v>
      </c>
      <c r="B24">
        <f t="shared" si="1"/>
        <v>0</v>
      </c>
      <c r="C24">
        <f t="shared" si="1"/>
        <v>0</v>
      </c>
      <c r="D24">
        <f t="shared" si="1"/>
        <v>0</v>
      </c>
      <c r="E24">
        <f t="shared" si="1"/>
        <v>0</v>
      </c>
      <c r="F24">
        <f t="shared" si="1"/>
        <v>112.66882990820092</v>
      </c>
      <c r="G24">
        <f t="shared" si="1"/>
        <v>-3.0763801758594254E-2</v>
      </c>
      <c r="H24">
        <f t="shared" si="1"/>
        <v>-1365.1652444444446</v>
      </c>
      <c r="M24" t="s">
        <v>156</v>
      </c>
      <c r="N24" t="s">
        <v>157</v>
      </c>
      <c r="O24" t="s">
        <v>158</v>
      </c>
      <c r="P24" t="s">
        <v>159</v>
      </c>
      <c r="Q24" t="s">
        <v>160</v>
      </c>
      <c r="R24" t="s">
        <v>192</v>
      </c>
      <c r="S24" t="s">
        <v>193</v>
      </c>
    </row>
    <row r="25" spans="1:19" x14ac:dyDescent="0.25">
      <c r="A25" s="19" t="s">
        <v>194</v>
      </c>
      <c r="B25">
        <f>SUM(B22:B24)</f>
        <v>5987.3371790960618</v>
      </c>
      <c r="C25">
        <f t="shared" ref="C25:H25" si="2">SUM(C22:C24)</f>
        <v>681.82069835929246</v>
      </c>
      <c r="D25">
        <f t="shared" si="2"/>
        <v>6669.1578774553545</v>
      </c>
      <c r="E25">
        <f t="shared" si="2"/>
        <v>6669.1578774553545</v>
      </c>
      <c r="F25">
        <f t="shared" si="2"/>
        <v>3797.2582925388792</v>
      </c>
      <c r="G25">
        <f t="shared" si="2"/>
        <v>1722.1733599032834</v>
      </c>
      <c r="H25">
        <f t="shared" si="2"/>
        <v>-977.73328382559782</v>
      </c>
      <c r="L25" t="s">
        <v>163</v>
      </c>
      <c r="M25" s="17">
        <f>B4/SUM(B$4:B$6)</f>
        <v>1</v>
      </c>
      <c r="N25" s="17">
        <f t="shared" ref="N25:P27" si="3">C4/SUM(C$4:C$6)</f>
        <v>0</v>
      </c>
      <c r="O25" s="17">
        <f t="shared" si="3"/>
        <v>0.68374263305906124</v>
      </c>
      <c r="P25" s="17">
        <f t="shared" si="3"/>
        <v>0.68374263305906124</v>
      </c>
      <c r="Q25" s="17">
        <f>F4/SUM(F$4:F$6)</f>
        <v>0.56468536246930623</v>
      </c>
      <c r="R25" s="17">
        <f t="shared" ref="R25:S27" si="4">G4/SUM(G$4:G$6)</f>
        <v>0.89665388383153777</v>
      </c>
      <c r="S25" s="17">
        <f t="shared" si="4"/>
        <v>0.2</v>
      </c>
    </row>
    <row r="26" spans="1:19" x14ac:dyDescent="0.25">
      <c r="L26" t="s">
        <v>164</v>
      </c>
      <c r="M26" s="17">
        <f>B5/SUM(B$4:B$6)</f>
        <v>0</v>
      </c>
      <c r="N26" s="17">
        <f t="shared" si="3"/>
        <v>1</v>
      </c>
      <c r="O26" s="17">
        <f t="shared" si="3"/>
        <v>0.31625736694093881</v>
      </c>
      <c r="P26" s="17">
        <f t="shared" si="3"/>
        <v>0.31625736694093881</v>
      </c>
      <c r="Q26" s="17">
        <f>F5/SUM(F$4:F$6)</f>
        <v>5.8857729217822882E-2</v>
      </c>
      <c r="R26" s="17">
        <f>G5/SUM(G$4:G$6)</f>
        <v>0.10333230866278773</v>
      </c>
      <c r="S26" s="17">
        <f>H5/SUM(H$4:H$6)</f>
        <v>0.01</v>
      </c>
    </row>
    <row r="27" spans="1:19" x14ac:dyDescent="0.25">
      <c r="A27" s="17" t="s">
        <v>195</v>
      </c>
      <c r="B27" s="17"/>
      <c r="C27" s="17"/>
      <c r="D27" s="17"/>
      <c r="E27" s="17"/>
      <c r="F27" s="17"/>
      <c r="G27" s="17"/>
      <c r="L27" t="s">
        <v>165</v>
      </c>
      <c r="M27" s="17">
        <f>B6/SUM(B$4:B$6)</f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>F6/SUM(F$4:F$6)</f>
        <v>0.37645690831287087</v>
      </c>
      <c r="R27" s="17">
        <f t="shared" si="4"/>
        <v>1.3807505674368615E-5</v>
      </c>
      <c r="S27" s="17">
        <f t="shared" si="4"/>
        <v>0.79</v>
      </c>
    </row>
    <row r="28" spans="1:19" x14ac:dyDescent="0.25">
      <c r="A28" t="s">
        <v>196</v>
      </c>
      <c r="L28" s="9" t="s">
        <v>45</v>
      </c>
      <c r="M28" s="9">
        <f>SUM(M25:M27)</f>
        <v>1</v>
      </c>
      <c r="N28" s="9">
        <f t="shared" ref="N28:S28" si="5">SUM(N25:N27)</f>
        <v>1</v>
      </c>
      <c r="O28" s="9">
        <f t="shared" si="5"/>
        <v>1</v>
      </c>
      <c r="P28" s="9">
        <f t="shared" si="5"/>
        <v>1</v>
      </c>
      <c r="Q28" s="9">
        <f t="shared" si="5"/>
        <v>1</v>
      </c>
      <c r="R28" s="9">
        <f t="shared" si="5"/>
        <v>0.99999999999999989</v>
      </c>
      <c r="S28" s="9">
        <f t="shared" si="5"/>
        <v>1</v>
      </c>
    </row>
    <row r="30" spans="1:19" x14ac:dyDescent="0.25">
      <c r="A30" t="s">
        <v>181</v>
      </c>
      <c r="B30" t="s">
        <v>182</v>
      </c>
      <c r="L30" s="9" t="s">
        <v>197</v>
      </c>
    </row>
    <row r="31" spans="1:19" x14ac:dyDescent="0.25">
      <c r="B31" t="s">
        <v>156</v>
      </c>
      <c r="C31" t="s">
        <v>157</v>
      </c>
      <c r="D31" t="s">
        <v>158</v>
      </c>
      <c r="E31" t="s">
        <v>159</v>
      </c>
      <c r="F31" t="s">
        <v>160</v>
      </c>
      <c r="G31" t="s">
        <v>185</v>
      </c>
      <c r="H31" t="s">
        <v>162</v>
      </c>
      <c r="L31" t="s">
        <v>198</v>
      </c>
      <c r="M31" t="s">
        <v>160</v>
      </c>
      <c r="N31" t="s">
        <v>199</v>
      </c>
      <c r="O31" t="s">
        <v>200</v>
      </c>
    </row>
    <row r="32" spans="1:19" x14ac:dyDescent="0.25">
      <c r="A32" t="s">
        <v>186</v>
      </c>
      <c r="B32" s="4">
        <v>600</v>
      </c>
      <c r="C32" s="4">
        <v>600</v>
      </c>
      <c r="D32" s="4">
        <v>600</v>
      </c>
      <c r="E32" s="18">
        <v>600</v>
      </c>
      <c r="F32" s="18">
        <v>750</v>
      </c>
      <c r="G32" s="1">
        <v>383</v>
      </c>
      <c r="H32" s="1">
        <v>413</v>
      </c>
      <c r="M32">
        <f>F4</f>
        <v>43.334165349308044</v>
      </c>
      <c r="N32">
        <f>G4+H4</f>
        <v>43.334165349308051</v>
      </c>
      <c r="O32">
        <f>M32-N32</f>
        <v>0</v>
      </c>
    </row>
    <row r="33" spans="1:15" x14ac:dyDescent="0.25">
      <c r="A33" t="s">
        <v>187</v>
      </c>
      <c r="B33" s="4">
        <v>50</v>
      </c>
      <c r="C33" s="4">
        <v>50</v>
      </c>
      <c r="D33" s="4">
        <v>50</v>
      </c>
      <c r="E33" s="4">
        <v>50</v>
      </c>
      <c r="F33" s="4">
        <v>50</v>
      </c>
      <c r="G33" s="4">
        <v>50</v>
      </c>
      <c r="H33" s="4">
        <v>50</v>
      </c>
      <c r="M33">
        <f>F5</f>
        <v>4.5167640947104815</v>
      </c>
      <c r="N33">
        <f>G5+H5</f>
        <v>4.5167640947104815</v>
      </c>
      <c r="O33">
        <f>M33-N33</f>
        <v>0</v>
      </c>
    </row>
    <row r="34" spans="1:15" x14ac:dyDescent="0.25">
      <c r="A34" t="s">
        <v>188</v>
      </c>
      <c r="B34">
        <f t="shared" ref="B34:H36" si="6">B4*$M17+$L17*B4*(B$20-$H$15)/1000</f>
        <v>5987.3371790960618</v>
      </c>
      <c r="C34">
        <f t="shared" si="6"/>
        <v>0</v>
      </c>
      <c r="D34">
        <f t="shared" si="6"/>
        <v>5987.3371790960618</v>
      </c>
      <c r="E34">
        <f t="shared" si="6"/>
        <v>5987.3371790960618</v>
      </c>
      <c r="F34">
        <f t="shared" si="6"/>
        <v>3592.4023074576371</v>
      </c>
      <c r="G34">
        <f t="shared" si="6"/>
        <v>1734.7652977065502</v>
      </c>
      <c r="H34">
        <f t="shared" si="6"/>
        <v>387.3537046413503</v>
      </c>
      <c r="M34">
        <f>F6</f>
        <v>28.889443566205365</v>
      </c>
      <c r="N34">
        <f>G6+H6</f>
        <v>28.889443566205365</v>
      </c>
      <c r="O34">
        <f>M34-N34</f>
        <v>0</v>
      </c>
    </row>
    <row r="35" spans="1:15" x14ac:dyDescent="0.25">
      <c r="A35" s="19" t="s">
        <v>189</v>
      </c>
      <c r="B35">
        <f t="shared" si="6"/>
        <v>0</v>
      </c>
      <c r="C35">
        <f t="shared" si="6"/>
        <v>681.82069835929246</v>
      </c>
      <c r="D35">
        <f t="shared" si="6"/>
        <v>681.82069835929246</v>
      </c>
      <c r="E35">
        <f t="shared" si="6"/>
        <v>681.82069835929246</v>
      </c>
      <c r="F35">
        <f t="shared" si="6"/>
        <v>92.187155173040921</v>
      </c>
      <c r="G35">
        <f t="shared" si="6"/>
        <v>-12.561174001508107</v>
      </c>
      <c r="H35">
        <f t="shared" si="6"/>
        <v>7.8255977496482387E-2</v>
      </c>
      <c r="M35" s="9">
        <f>F7</f>
        <v>76.740373010223891</v>
      </c>
      <c r="N35" s="9">
        <f>G7+H7</f>
        <v>76.740373010223891</v>
      </c>
      <c r="O35" s="9">
        <f>M35-N35</f>
        <v>0</v>
      </c>
    </row>
    <row r="36" spans="1:15" x14ac:dyDescent="0.25">
      <c r="A36" s="19" t="s">
        <v>191</v>
      </c>
      <c r="B36">
        <f t="shared" si="6"/>
        <v>0</v>
      </c>
      <c r="C36">
        <f t="shared" si="6"/>
        <v>0</v>
      </c>
      <c r="D36">
        <f t="shared" si="6"/>
        <v>0</v>
      </c>
      <c r="E36">
        <f t="shared" si="6"/>
        <v>0</v>
      </c>
      <c r="F36">
        <f t="shared" si="6"/>
        <v>112.66882990820092</v>
      </c>
      <c r="G36">
        <f t="shared" si="6"/>
        <v>-3.0763801758594254E-2</v>
      </c>
      <c r="H36">
        <f t="shared" si="6"/>
        <v>-1365.1652444444446</v>
      </c>
    </row>
    <row r="37" spans="1:15" x14ac:dyDescent="0.25">
      <c r="A37" s="19" t="s">
        <v>194</v>
      </c>
      <c r="B37">
        <f>SUM(B34:B36)</f>
        <v>5987.3371790960618</v>
      </c>
      <c r="C37">
        <f t="shared" ref="C37:H37" si="7">SUM(C34:C36)</f>
        <v>681.82069835929246</v>
      </c>
      <c r="D37">
        <f t="shared" si="7"/>
        <v>6669.1578774553545</v>
      </c>
      <c r="E37">
        <f t="shared" si="7"/>
        <v>6669.1578774553545</v>
      </c>
      <c r="F37">
        <f t="shared" si="7"/>
        <v>3797.2582925388792</v>
      </c>
      <c r="G37">
        <f t="shared" si="7"/>
        <v>1722.1733599032834</v>
      </c>
      <c r="H37">
        <f t="shared" si="7"/>
        <v>-977.73328382559782</v>
      </c>
    </row>
    <row r="38" spans="1:15" x14ac:dyDescent="0.25">
      <c r="L38" s="20" t="s">
        <v>201</v>
      </c>
    </row>
    <row r="39" spans="1:15" x14ac:dyDescent="0.25">
      <c r="L39" s="21" t="b">
        <f>$O$34=0</f>
        <v>1</v>
      </c>
    </row>
    <row r="40" spans="1:15" x14ac:dyDescent="0.25">
      <c r="L40" s="21">
        <f>COUNT($B$4,$C$5,$B$14,$D$16,$D$14,$D$15,$B$15)</f>
        <v>7</v>
      </c>
    </row>
    <row r="41" spans="1:15" x14ac:dyDescent="0.25">
      <c r="L41" s="21" t="b">
        <f>$B$16&gt;=$B$14</f>
        <v>1</v>
      </c>
    </row>
    <row r="42" spans="1:15" x14ac:dyDescent="0.25">
      <c r="L42" s="21" t="b">
        <f>$B$16&gt;=0.7</f>
        <v>1</v>
      </c>
    </row>
    <row r="43" spans="1:15" x14ac:dyDescent="0.25">
      <c r="L43" s="21" t="b">
        <f>$D$14&lt;=1</f>
        <v>1</v>
      </c>
    </row>
    <row r="44" spans="1:15" x14ac:dyDescent="0.25">
      <c r="L44" s="21" t="b">
        <f>$G$4&gt;=0</f>
        <v>1</v>
      </c>
    </row>
    <row r="45" spans="1:15" x14ac:dyDescent="0.25">
      <c r="L45" s="21" t="b">
        <f>$G$6&gt;=0</f>
        <v>1</v>
      </c>
    </row>
    <row r="46" spans="1:15" x14ac:dyDescent="0.25">
      <c r="L46" s="21" t="b">
        <f>$I$11=0</f>
        <v>1</v>
      </c>
    </row>
    <row r="47" spans="1:15" x14ac:dyDescent="0.25">
      <c r="L47" s="21" t="b">
        <f>$O$33=0</f>
        <v>1</v>
      </c>
    </row>
    <row r="48" spans="1:15" x14ac:dyDescent="0.25">
      <c r="L48" s="21" t="b">
        <f>$O$34=0</f>
        <v>1</v>
      </c>
    </row>
    <row r="49" spans="12:12" x14ac:dyDescent="0.25">
      <c r="L49" s="21" t="b">
        <f>$O$34=0</f>
        <v>1</v>
      </c>
    </row>
    <row r="50" spans="12:12" x14ac:dyDescent="0.25">
      <c r="L50" s="21">
        <f>{32767,32767,0.01,0.01,FALSE,FALSE,TRUE,1,1,1,0.001,TRUE}</f>
        <v>32767</v>
      </c>
    </row>
    <row r="51" spans="12:12" x14ac:dyDescent="0.25">
      <c r="L51" s="21">
        <f>{0,0,0,100,0,FALSE,TRUE,0.075,0,0,FALSE,30}</f>
        <v>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59"/>
  <sheetViews>
    <sheetView tabSelected="1" zoomScale="70" zoomScaleNormal="70" workbookViewId="0">
      <selection activeCell="I34" sqref="I34"/>
    </sheetView>
  </sheetViews>
  <sheetFormatPr defaultColWidth="11" defaultRowHeight="15.75" x14ac:dyDescent="0.25"/>
  <cols>
    <col min="1" max="1" width="17.125" bestFit="1" customWidth="1"/>
    <col min="3" max="3" width="13.375" bestFit="1" customWidth="1"/>
    <col min="5" max="5" width="12.625" bestFit="1" customWidth="1"/>
    <col min="6" max="6" width="13.625" bestFit="1" customWidth="1"/>
    <col min="7" max="7" width="26.875" bestFit="1" customWidth="1"/>
    <col min="8" max="8" width="15.625" bestFit="1" customWidth="1"/>
    <col min="9" max="9" width="11.625" bestFit="1" customWidth="1"/>
    <col min="10" max="10" width="23" bestFit="1" customWidth="1"/>
    <col min="14" max="14" width="23.625" customWidth="1"/>
    <col min="15" max="15" width="17" bestFit="1" customWidth="1"/>
    <col min="16" max="16" width="17.875" bestFit="1" customWidth="1"/>
    <col min="17" max="17" width="24.375" bestFit="1" customWidth="1"/>
  </cols>
  <sheetData>
    <row r="1" spans="1:20" x14ac:dyDescent="0.25">
      <c r="A1" s="29"/>
      <c r="B1" s="29"/>
      <c r="C1" s="29"/>
    </row>
    <row r="2" spans="1:20" x14ac:dyDescent="0.25">
      <c r="A2" t="s">
        <v>153</v>
      </c>
      <c r="H2" t="s">
        <v>155</v>
      </c>
    </row>
    <row r="3" spans="1:20" x14ac:dyDescent="0.25">
      <c r="B3" t="s">
        <v>156</v>
      </c>
      <c r="C3" t="s">
        <v>157</v>
      </c>
      <c r="D3" t="s">
        <v>158</v>
      </c>
      <c r="E3" t="s">
        <v>159</v>
      </c>
      <c r="F3" t="s">
        <v>160</v>
      </c>
      <c r="G3" t="s">
        <v>202</v>
      </c>
      <c r="H3" t="s">
        <v>193</v>
      </c>
    </row>
    <row r="4" spans="1:20" x14ac:dyDescent="0.25">
      <c r="A4" t="s">
        <v>229</v>
      </c>
      <c r="B4" s="17">
        <v>32.067282358487944</v>
      </c>
      <c r="C4">
        <v>0</v>
      </c>
      <c r="D4">
        <f>SUM(B4:C4)</f>
        <v>32.067282358487944</v>
      </c>
      <c r="E4">
        <f ca="1">D4+G4</f>
        <v>72.223608915513381</v>
      </c>
      <c r="F4">
        <f ca="1">E4*(1-O30)</f>
        <v>43.33416534930803</v>
      </c>
      <c r="G4">
        <f ca="1">F4-H4</f>
        <v>40.156326557025437</v>
      </c>
      <c r="H4">
        <f>H7*B14</f>
        <v>3.1778387922825901</v>
      </c>
    </row>
    <row r="5" spans="1:20" x14ac:dyDescent="0.25">
      <c r="A5" t="s">
        <v>230</v>
      </c>
      <c r="B5" s="4">
        <v>0</v>
      </c>
      <c r="C5" s="17">
        <f ca="1">D5</f>
        <v>28.921542947945582</v>
      </c>
      <c r="D5">
        <f ca="1">E5-G5</f>
        <v>28.921542947945582</v>
      </c>
      <c r="E5">
        <f ca="1">F5+E4*O30</f>
        <v>29.367724354134754</v>
      </c>
      <c r="F5">
        <f ca="1">H5+G5</f>
        <v>0.47828078792939971</v>
      </c>
      <c r="G5">
        <f ca="1">G7*D15</f>
        <v>0.44618140618917151</v>
      </c>
      <c r="H5">
        <f>H7*B15</f>
        <v>3.2099381740228181E-2</v>
      </c>
    </row>
    <row r="6" spans="1:20" x14ac:dyDescent="0.25">
      <c r="A6" t="s">
        <v>231</v>
      </c>
      <c r="B6">
        <v>0</v>
      </c>
      <c r="C6">
        <v>0</v>
      </c>
      <c r="D6" s="18">
        <f ca="1">E6-G6</f>
        <v>0</v>
      </c>
      <c r="E6">
        <f ca="1">F6-O30*E4</f>
        <v>4.0156326557025501</v>
      </c>
      <c r="F6">
        <f ca="1">H6+G6</f>
        <v>32.905076221907905</v>
      </c>
      <c r="G6">
        <f ca="1">G7*D16</f>
        <v>4.0156326557025439</v>
      </c>
      <c r="H6">
        <f>$B$12*1000/3600</f>
        <v>28.889443566205362</v>
      </c>
    </row>
    <row r="7" spans="1:20" x14ac:dyDescent="0.25">
      <c r="A7" s="9" t="s">
        <v>45</v>
      </c>
      <c r="B7" s="9">
        <f>SUM(B4:B6)</f>
        <v>32.067282358487944</v>
      </c>
      <c r="C7" s="9">
        <f ca="1">SUM(C4:C6)</f>
        <v>28.921542947945582</v>
      </c>
      <c r="D7" s="9">
        <f ca="1">SUM(D4:D6)</f>
        <v>60.988825306433526</v>
      </c>
      <c r="E7" s="9">
        <f ca="1">SUM(E4:E6)</f>
        <v>105.60696592535068</v>
      </c>
      <c r="F7" s="9">
        <f ca="1">SUM(F4:F6)</f>
        <v>76.717522359145335</v>
      </c>
      <c r="G7" s="9">
        <f ca="1">G4/D14</f>
        <v>44.618140618917153</v>
      </c>
      <c r="H7" s="9">
        <f>H6/$B16</f>
        <v>32.099381740228182</v>
      </c>
    </row>
    <row r="10" spans="1:20" x14ac:dyDescent="0.25">
      <c r="F10" t="s">
        <v>168</v>
      </c>
      <c r="G10" t="s">
        <v>169</v>
      </c>
      <c r="H10" t="s">
        <v>170</v>
      </c>
      <c r="I10" t="s">
        <v>171</v>
      </c>
      <c r="J10" t="s">
        <v>172</v>
      </c>
    </row>
    <row r="11" spans="1:20" x14ac:dyDescent="0.25">
      <c r="A11" t="s">
        <v>173</v>
      </c>
      <c r="B11" s="1">
        <v>0.4</v>
      </c>
      <c r="G11">
        <f>300*(1/24)*1000*1000/120.19/3600</f>
        <v>28.889443566205362</v>
      </c>
      <c r="H11">
        <f>H6</f>
        <v>28.889443566205362</v>
      </c>
      <c r="I11">
        <f>H11-G11</f>
        <v>0</v>
      </c>
    </row>
    <row r="12" spans="1:20" x14ac:dyDescent="0.25">
      <c r="A12" t="s">
        <v>168</v>
      </c>
      <c r="B12" s="1">
        <f>300*(1/24)*1000/120.19</f>
        <v>104.00199683833929</v>
      </c>
      <c r="C12" t="s">
        <v>79</v>
      </c>
    </row>
    <row r="13" spans="1:20" x14ac:dyDescent="0.25">
      <c r="A13" t="s">
        <v>174</v>
      </c>
      <c r="D13" t="s">
        <v>175</v>
      </c>
      <c r="H13" t="s">
        <v>203</v>
      </c>
    </row>
    <row r="14" spans="1:20" x14ac:dyDescent="0.25">
      <c r="A14" t="s">
        <v>119</v>
      </c>
      <c r="B14" s="17">
        <v>9.9000000000000005E-2</v>
      </c>
      <c r="D14" s="17">
        <v>0.9</v>
      </c>
    </row>
    <row r="15" spans="1:20" x14ac:dyDescent="0.25">
      <c r="A15" t="s">
        <v>121</v>
      </c>
      <c r="B15" s="17">
        <v>1E-3</v>
      </c>
      <c r="D15" s="17">
        <v>0.01</v>
      </c>
    </row>
    <row r="16" spans="1:20" x14ac:dyDescent="0.25">
      <c r="A16" s="24" t="s">
        <v>178</v>
      </c>
      <c r="B16" s="24">
        <f>1-B15-B14</f>
        <v>0.9</v>
      </c>
      <c r="D16" s="17">
        <v>0.09</v>
      </c>
      <c r="T16" s="9" t="s">
        <v>239</v>
      </c>
    </row>
    <row r="17" spans="1:24" x14ac:dyDescent="0.25">
      <c r="O17" t="s">
        <v>271</v>
      </c>
      <c r="P17" t="s">
        <v>179</v>
      </c>
      <c r="Q17" t="s">
        <v>269</v>
      </c>
      <c r="R17" t="s">
        <v>272</v>
      </c>
      <c r="T17" t="s">
        <v>236</v>
      </c>
      <c r="U17">
        <f ca="1">V26</f>
        <v>0.56485355648535562</v>
      </c>
    </row>
    <row r="18" spans="1:24" x14ac:dyDescent="0.25">
      <c r="O18" t="s">
        <v>270</v>
      </c>
      <c r="P18">
        <v>160.09</v>
      </c>
      <c r="Q18">
        <v>82.9</v>
      </c>
      <c r="T18" t="s">
        <v>237</v>
      </c>
      <c r="U18">
        <f ca="1">W26</f>
        <v>0.9</v>
      </c>
    </row>
    <row r="19" spans="1:24" x14ac:dyDescent="0.25">
      <c r="O19" t="s">
        <v>121</v>
      </c>
      <c r="P19">
        <v>108</v>
      </c>
      <c r="Q19">
        <v>20.41</v>
      </c>
      <c r="T19" t="s">
        <v>238</v>
      </c>
      <c r="U19">
        <f>X26</f>
        <v>9.9000000000000005E-2</v>
      </c>
    </row>
    <row r="20" spans="1:24" x14ac:dyDescent="0.25">
      <c r="O20" t="s">
        <v>178</v>
      </c>
      <c r="P20">
        <v>273.56</v>
      </c>
      <c r="Q20">
        <v>3.9</v>
      </c>
    </row>
    <row r="21" spans="1:24" x14ac:dyDescent="0.25">
      <c r="T21" t="s">
        <v>240</v>
      </c>
      <c r="U21">
        <f ca="1">F7</f>
        <v>76.717522359145335</v>
      </c>
    </row>
    <row r="22" spans="1:24" x14ac:dyDescent="0.25">
      <c r="A22" t="s">
        <v>181</v>
      </c>
      <c r="B22" t="s">
        <v>182</v>
      </c>
      <c r="H22" t="s">
        <v>183</v>
      </c>
      <c r="N22" t="s">
        <v>177</v>
      </c>
      <c r="O22" s="17">
        <v>600</v>
      </c>
      <c r="P22" t="s">
        <v>15</v>
      </c>
      <c r="T22" t="s">
        <v>74</v>
      </c>
      <c r="U22">
        <f ca="1">G7</f>
        <v>44.618140618917153</v>
      </c>
    </row>
    <row r="23" spans="1:24" x14ac:dyDescent="0.25">
      <c r="B23" t="s">
        <v>156</v>
      </c>
      <c r="C23" t="s">
        <v>284</v>
      </c>
      <c r="D23" t="s">
        <v>157</v>
      </c>
      <c r="E23" t="s">
        <v>158</v>
      </c>
      <c r="F23" t="s">
        <v>285</v>
      </c>
      <c r="G23" t="s">
        <v>159</v>
      </c>
      <c r="H23" t="s">
        <v>160</v>
      </c>
      <c r="I23" t="s">
        <v>286</v>
      </c>
      <c r="J23" t="s">
        <v>185</v>
      </c>
      <c r="K23" t="s">
        <v>162</v>
      </c>
      <c r="L23" t="s">
        <v>287</v>
      </c>
      <c r="O23" s="17"/>
      <c r="T23" t="s">
        <v>33</v>
      </c>
      <c r="U23">
        <f>H7</f>
        <v>32.099381740228182</v>
      </c>
    </row>
    <row r="24" spans="1:24" x14ac:dyDescent="0.25">
      <c r="A24" t="s">
        <v>186</v>
      </c>
      <c r="B24" s="4">
        <v>298</v>
      </c>
      <c r="C24">
        <v>540</v>
      </c>
      <c r="D24" s="4">
        <v>298</v>
      </c>
      <c r="E24" s="4">
        <v>550</v>
      </c>
      <c r="F24" s="18">
        <v>550</v>
      </c>
      <c r="G24" s="18">
        <v>550</v>
      </c>
      <c r="H24" s="18">
        <v>550</v>
      </c>
      <c r="I24" s="18">
        <v>413</v>
      </c>
      <c r="J24" s="1">
        <v>550</v>
      </c>
      <c r="K24" s="1">
        <f>150+273</f>
        <v>423</v>
      </c>
      <c r="L24" s="1">
        <v>298</v>
      </c>
      <c r="N24" t="s">
        <v>204</v>
      </c>
      <c r="O24" s="17">
        <v>0</v>
      </c>
      <c r="Q24" s="9" t="s">
        <v>190</v>
      </c>
    </row>
    <row r="25" spans="1:24" x14ac:dyDescent="0.25">
      <c r="A25" t="s">
        <v>187</v>
      </c>
      <c r="B25" s="4">
        <v>100</v>
      </c>
      <c r="C25">
        <v>100</v>
      </c>
      <c r="D25" s="4">
        <v>100</v>
      </c>
      <c r="E25" s="4">
        <v>100</v>
      </c>
      <c r="F25" s="4">
        <v>100</v>
      </c>
      <c r="G25" s="4">
        <v>500</v>
      </c>
      <c r="H25" s="4">
        <v>500</v>
      </c>
      <c r="I25" s="4">
        <v>100</v>
      </c>
      <c r="J25" s="4">
        <v>100</v>
      </c>
      <c r="K25" s="4">
        <v>100</v>
      </c>
      <c r="L25" s="4">
        <v>100</v>
      </c>
      <c r="R25" t="s">
        <v>156</v>
      </c>
      <c r="S25" t="s">
        <v>157</v>
      </c>
      <c r="T25" t="s">
        <v>158</v>
      </c>
      <c r="U25" t="s">
        <v>159</v>
      </c>
      <c r="V25" t="s">
        <v>160</v>
      </c>
      <c r="W25" t="s">
        <v>202</v>
      </c>
      <c r="X25" t="s">
        <v>193</v>
      </c>
    </row>
    <row r="26" spans="1:24" x14ac:dyDescent="0.25">
      <c r="A26" t="s">
        <v>268</v>
      </c>
      <c r="B26" t="s">
        <v>31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31</v>
      </c>
      <c r="K26" t="s">
        <v>31</v>
      </c>
      <c r="L26" t="s">
        <v>31</v>
      </c>
      <c r="N26" s="25" t="s">
        <v>233</v>
      </c>
      <c r="O26" s="25">
        <v>0</v>
      </c>
      <c r="Q26" t="s">
        <v>163</v>
      </c>
      <c r="R26" s="17">
        <f t="shared" ref="R26:X28" si="0">B4/SUM(B$4:B$6)</f>
        <v>1</v>
      </c>
      <c r="S26" s="17">
        <f t="shared" ca="1" si="0"/>
        <v>0</v>
      </c>
      <c r="T26" s="17">
        <f t="shared" ca="1" si="0"/>
        <v>0.52578947368421058</v>
      </c>
      <c r="U26" s="17">
        <f t="shared" ca="1" si="0"/>
        <v>0.68389057750759874</v>
      </c>
      <c r="V26" s="17">
        <f t="shared" ca="1" si="0"/>
        <v>0.56485355648535562</v>
      </c>
      <c r="W26" s="17">
        <f t="shared" ca="1" si="0"/>
        <v>0.9</v>
      </c>
      <c r="X26" s="17">
        <f t="shared" si="0"/>
        <v>9.9000000000000005E-2</v>
      </c>
    </row>
    <row r="27" spans="1:24" x14ac:dyDescent="0.25">
      <c r="A27" t="s">
        <v>188</v>
      </c>
      <c r="B27">
        <f>B4*$Q18+$P18*B4*(B$24-$O$22)/1000</f>
        <v>1108.0150352220096</v>
      </c>
      <c r="C27">
        <f>B4*$Q18+$P18*B4*(C$24-$O$22)/1000</f>
        <v>2350.3586335524305</v>
      </c>
      <c r="D27">
        <f>C4*$Q18+$P18*C4*(D$24-$O$22)/1000</f>
        <v>0</v>
      </c>
      <c r="E27">
        <f>D4*$Q18+$P18*D4*(E$24-$O$22)/1000</f>
        <v>2401.6951458801341</v>
      </c>
      <c r="F27">
        <f ca="1">E4*$Q18+$P18*E4*(F$24-$O$22)/1000</f>
        <v>5409.2233015318334</v>
      </c>
      <c r="G27">
        <f t="shared" ref="G27:H29" ca="1" si="1">E4*$Q18+$P18*E4*(G$24-$O$22)/1000</f>
        <v>5409.2233015318334</v>
      </c>
      <c r="H27">
        <f t="shared" ca="1" si="1"/>
        <v>3245.5339809190996</v>
      </c>
      <c r="I27">
        <f ca="1">F4*$Q18+$P18*F4*(I$24-$O$22)/1000</f>
        <v>2295.114766203511</v>
      </c>
      <c r="J27">
        <f ca="1">G4*$Q18+$P18*G4*(J$24-$O$22)/1000</f>
        <v>3007.5281556516993</v>
      </c>
      <c r="K27">
        <f>H4*$Q18+$P18*H4*(K$24-$O$22)/1000</f>
        <v>173.39581831082276</v>
      </c>
      <c r="L27">
        <f>H4*$Q18+$P18*H4*(L$24-$O$22)/1000</f>
        <v>109.80329177875777</v>
      </c>
      <c r="N27" s="25" t="s">
        <v>234</v>
      </c>
      <c r="O27" s="25">
        <f ca="1">D6</f>
        <v>0</v>
      </c>
      <c r="Q27" t="s">
        <v>164</v>
      </c>
      <c r="R27" s="17">
        <f t="shared" si="0"/>
        <v>0</v>
      </c>
      <c r="S27" s="17">
        <f t="shared" ca="1" si="0"/>
        <v>1</v>
      </c>
      <c r="T27" s="17">
        <f t="shared" ca="1" si="0"/>
        <v>0.47421052631578947</v>
      </c>
      <c r="U27" s="17">
        <f t="shared" ca="1" si="0"/>
        <v>0.27808510638297873</v>
      </c>
      <c r="V27" s="17">
        <f t="shared" ca="1" si="0"/>
        <v>6.2343096234309617E-3</v>
      </c>
      <c r="W27" s="17">
        <f t="shared" ca="1" si="0"/>
        <v>0.01</v>
      </c>
      <c r="X27" s="17">
        <f t="shared" si="0"/>
        <v>1E-3</v>
      </c>
    </row>
    <row r="28" spans="1:24" x14ac:dyDescent="0.25">
      <c r="A28" s="19" t="s">
        <v>189</v>
      </c>
      <c r="B28">
        <f>B5*$Q19+$P19*B5*(B$24-$O$22)/1000</f>
        <v>0</v>
      </c>
      <c r="C28">
        <f t="shared" ref="C28:C29" si="2">B5*$Q19+$P19*B5*(C$24-$O$22)/1000</f>
        <v>0</v>
      </c>
      <c r="D28">
        <f ca="1">C5*$Q19+$P19*C5*(D$24-$O$22)/1000</f>
        <v>-353.01635322262371</v>
      </c>
      <c r="E28">
        <f ca="1">D5*$Q19+$P19*D5*(E$24-$O$22)/1000</f>
        <v>434.11235964866319</v>
      </c>
      <c r="F28">
        <f ca="1">E5*$Q19+$P19*E5*(F$24-$O$22)/1000</f>
        <v>440.8095425555627</v>
      </c>
      <c r="G28">
        <f t="shared" ca="1" si="1"/>
        <v>440.8095425555627</v>
      </c>
      <c r="H28">
        <f t="shared" ca="1" si="1"/>
        <v>7.1789946268202902</v>
      </c>
      <c r="I28">
        <f t="shared" ref="I28:I29" ca="1" si="3">F5*$Q19+$P19*F5*(I$24-$O$22)/1000</f>
        <v>0.10235208861689138</v>
      </c>
      <c r="J28">
        <f ca="1">G5*$Q19+$P19*G5*(J$24-$O$22)/1000</f>
        <v>6.6971829068994637</v>
      </c>
      <c r="K28">
        <f>H5*$Q19+$P19*H5*(K$24-$O$22)/1000</f>
        <v>4.1536599971855215E-2</v>
      </c>
      <c r="L28">
        <f t="shared" ref="L28" si="4">H5*$Q19+$P19*H5*(L$24-$O$22)/1000</f>
        <v>-0.39180505352122519</v>
      </c>
      <c r="N28" s="25" t="s">
        <v>235</v>
      </c>
      <c r="O28" s="25">
        <f ca="1">O27-O26</f>
        <v>0</v>
      </c>
      <c r="Q28" t="s">
        <v>165</v>
      </c>
      <c r="R28" s="17">
        <f t="shared" si="0"/>
        <v>0</v>
      </c>
      <c r="S28" s="17">
        <f t="shared" ca="1" si="0"/>
        <v>0</v>
      </c>
      <c r="T28" s="17">
        <f t="shared" ca="1" si="0"/>
        <v>0</v>
      </c>
      <c r="U28" s="17">
        <f t="shared" ca="1" si="0"/>
        <v>3.802431610942255E-2</v>
      </c>
      <c r="V28" s="17">
        <f t="shared" ca="1" si="0"/>
        <v>0.42891213389121347</v>
      </c>
      <c r="W28" s="17">
        <f t="shared" ca="1" si="0"/>
        <v>9.0000000000000011E-2</v>
      </c>
      <c r="X28" s="17">
        <f t="shared" si="0"/>
        <v>0.89999999999999991</v>
      </c>
    </row>
    <row r="29" spans="1:24" x14ac:dyDescent="0.25">
      <c r="A29" s="19" t="s">
        <v>191</v>
      </c>
      <c r="B29">
        <f>B6*$Q20+$P20*B6*(B$24-$O$22)/1000</f>
        <v>0</v>
      </c>
      <c r="C29">
        <f t="shared" si="2"/>
        <v>0</v>
      </c>
      <c r="D29">
        <f>C6*$Q20+$P20*C6*(D$24-$O$22)/1000</f>
        <v>0</v>
      </c>
      <c r="E29">
        <f ca="1">D6*$Q20+$P20*D6*(E$24-$O$22)/1000</f>
        <v>0</v>
      </c>
      <c r="F29">
        <f t="shared" ref="F29" ca="1" si="5">E6*$Q20+$P20*E6*(F$24-$O$22)/1000</f>
        <v>-39.264856107459529</v>
      </c>
      <c r="G29">
        <f t="shared" ca="1" si="1"/>
        <v>-39.264856107459529</v>
      </c>
      <c r="H29">
        <f t="shared" ca="1" si="1"/>
        <v>-321.74583529781546</v>
      </c>
      <c r="I29">
        <f t="shared" ca="1" si="3"/>
        <v>-1554.9530685211375</v>
      </c>
      <c r="J29">
        <f ca="1">G6*$Q20+$P20*G6*(J$24-$O$22)/1000</f>
        <v>-39.26485610745948</v>
      </c>
      <c r="K29">
        <f>H6*$Q20+$P20*H6*(K$24-$O$22)/1000</f>
        <v>-1286.1614943006905</v>
      </c>
      <c r="L29">
        <f>H6*$Q20+$P20*H6*(L$24-$O$22)/1000</f>
        <v>-2274.0360170470831</v>
      </c>
      <c r="Q29" s="9" t="s">
        <v>45</v>
      </c>
      <c r="R29" s="9">
        <f>SUM(R26:R28)</f>
        <v>1</v>
      </c>
      <c r="S29" s="9">
        <f t="shared" ref="S29:X29" ca="1" si="6">SUM(S26:S28)</f>
        <v>1</v>
      </c>
      <c r="T29" s="9">
        <f t="shared" ca="1" si="6"/>
        <v>1</v>
      </c>
      <c r="U29" s="9">
        <f t="shared" ca="1" si="6"/>
        <v>1</v>
      </c>
      <c r="V29" s="9">
        <f t="shared" ca="1" si="6"/>
        <v>1</v>
      </c>
      <c r="W29" s="9">
        <f t="shared" ca="1" si="6"/>
        <v>1</v>
      </c>
      <c r="X29" s="9">
        <f t="shared" si="6"/>
        <v>0.99999999999999989</v>
      </c>
    </row>
    <row r="30" spans="1:24" x14ac:dyDescent="0.25">
      <c r="A30" s="19" t="s">
        <v>288</v>
      </c>
      <c r="B30">
        <f>SUM(B27:B29)</f>
        <v>1108.0150352220096</v>
      </c>
      <c r="C30">
        <f>SUM(C27:C29)</f>
        <v>2350.3586335524305</v>
      </c>
      <c r="D30">
        <f t="shared" ref="D30:E30" ca="1" si="7">SUM(D27:D29)</f>
        <v>-353.01635322262371</v>
      </c>
      <c r="E30">
        <f t="shared" ca="1" si="7"/>
        <v>2835.8075055287973</v>
      </c>
      <c r="F30">
        <f t="shared" ref="F30:L30" ca="1" si="8">SUM(F27:F29)</f>
        <v>5810.7679879799371</v>
      </c>
      <c r="G30">
        <f t="shared" ca="1" si="8"/>
        <v>5810.7679879799371</v>
      </c>
      <c r="H30">
        <f t="shared" ca="1" si="8"/>
        <v>2930.9671402481044</v>
      </c>
      <c r="I30">
        <f t="shared" ca="1" si="8"/>
        <v>740.26404977099037</v>
      </c>
      <c r="J30">
        <f t="shared" ca="1" si="8"/>
        <v>2974.9604824511393</v>
      </c>
      <c r="K30">
        <f t="shared" si="8"/>
        <v>-1112.7241393898958</v>
      </c>
      <c r="L30">
        <f t="shared" si="8"/>
        <v>-2164.6245303218466</v>
      </c>
      <c r="N30" s="24" t="s">
        <v>205</v>
      </c>
      <c r="O30" s="24">
        <v>0.4</v>
      </c>
    </row>
    <row r="32" spans="1:24" x14ac:dyDescent="0.25">
      <c r="A32" t="s">
        <v>289</v>
      </c>
      <c r="N32" t="s">
        <v>206</v>
      </c>
      <c r="O32">
        <f>B16</f>
        <v>0.9</v>
      </c>
      <c r="Q32" s="9" t="s">
        <v>197</v>
      </c>
    </row>
    <row r="33" spans="1:22" x14ac:dyDescent="0.25">
      <c r="A33" t="s">
        <v>290</v>
      </c>
      <c r="N33" t="s">
        <v>207</v>
      </c>
      <c r="O33">
        <f>H6/H7</f>
        <v>0.89999999999999991</v>
      </c>
      <c r="Q33" t="s">
        <v>208</v>
      </c>
      <c r="T33" t="s">
        <v>209</v>
      </c>
    </row>
    <row r="34" spans="1:22" x14ac:dyDescent="0.25">
      <c r="A34" t="s">
        <v>291</v>
      </c>
      <c r="N34" t="s">
        <v>200</v>
      </c>
      <c r="O34">
        <f>O33-O32</f>
        <v>0</v>
      </c>
      <c r="Q34" t="s">
        <v>210</v>
      </c>
      <c r="R34" t="s">
        <v>199</v>
      </c>
      <c r="S34" t="s">
        <v>200</v>
      </c>
      <c r="T34" t="s">
        <v>211</v>
      </c>
      <c r="U34" t="s">
        <v>212</v>
      </c>
      <c r="V34" t="s">
        <v>200</v>
      </c>
    </row>
    <row r="35" spans="1:22" x14ac:dyDescent="0.25">
      <c r="A35" t="s">
        <v>292</v>
      </c>
      <c r="Q35">
        <f ca="1">F4</f>
        <v>43.33416534930803</v>
      </c>
      <c r="R35">
        <f ca="1">G4+H4</f>
        <v>43.33416534930803</v>
      </c>
      <c r="S35">
        <f ca="1">Q35-R35</f>
        <v>0</v>
      </c>
      <c r="T35">
        <f ca="1">E4</f>
        <v>72.223608915513381</v>
      </c>
      <c r="U35">
        <f ca="1">D4+G4</f>
        <v>72.223608915513381</v>
      </c>
      <c r="V35">
        <f ca="1">(T35-U35)</f>
        <v>0</v>
      </c>
    </row>
    <row r="36" spans="1:22" x14ac:dyDescent="0.25">
      <c r="A36" t="s">
        <v>293</v>
      </c>
      <c r="N36" t="s">
        <v>213</v>
      </c>
      <c r="O36">
        <f ca="1">E6</f>
        <v>4.0156326557025501</v>
      </c>
      <c r="Q36">
        <f ca="1">F5</f>
        <v>0.47828078792939971</v>
      </c>
      <c r="R36">
        <f ca="1">G5+H5</f>
        <v>0.47828078792939971</v>
      </c>
      <c r="S36">
        <f ca="1">Q36-R36</f>
        <v>0</v>
      </c>
      <c r="T36">
        <f ca="1">E5</f>
        <v>29.367724354134754</v>
      </c>
      <c r="U36">
        <f ca="1">D5+G5</f>
        <v>29.367724354134754</v>
      </c>
      <c r="V36">
        <f ca="1">(T36-U36)</f>
        <v>0</v>
      </c>
    </row>
    <row r="37" spans="1:22" x14ac:dyDescent="0.25">
      <c r="N37" t="s">
        <v>213</v>
      </c>
      <c r="O37">
        <f ca="1">F6-O30*E4</f>
        <v>4.0156326557025501</v>
      </c>
      <c r="Q37">
        <f ca="1">F6</f>
        <v>32.905076221907905</v>
      </c>
      <c r="R37">
        <f ca="1">G6+H6</f>
        <v>32.905076221907905</v>
      </c>
      <c r="S37">
        <f ca="1">Q37-R37</f>
        <v>0</v>
      </c>
      <c r="T37">
        <f ca="1">E6</f>
        <v>4.0156326557025501</v>
      </c>
      <c r="U37">
        <f ca="1">D6+G6</f>
        <v>4.0156326557025439</v>
      </c>
      <c r="V37">
        <f ca="1">(T37-U37)</f>
        <v>6.2172489379008766E-15</v>
      </c>
    </row>
    <row r="38" spans="1:22" x14ac:dyDescent="0.25">
      <c r="N38" t="s">
        <v>214</v>
      </c>
      <c r="O38">
        <f ca="1">O37-O36</f>
        <v>0</v>
      </c>
      <c r="Q38">
        <f ca="1">F7</f>
        <v>76.717522359145335</v>
      </c>
      <c r="R38">
        <f ca="1">G7+H7</f>
        <v>76.717522359145335</v>
      </c>
      <c r="S38">
        <f ca="1">Q38-R38</f>
        <v>0</v>
      </c>
      <c r="T38">
        <f ca="1">E7</f>
        <v>105.60696592535068</v>
      </c>
      <c r="U38">
        <f ca="1">D7+G7</f>
        <v>105.60696592535068</v>
      </c>
      <c r="V38">
        <f ca="1">(T38-U38)</f>
        <v>0</v>
      </c>
    </row>
    <row r="39" spans="1:22" x14ac:dyDescent="0.25">
      <c r="N39" t="s">
        <v>215</v>
      </c>
    </row>
    <row r="41" spans="1:22" x14ac:dyDescent="0.25">
      <c r="A41" s="17" t="s">
        <v>195</v>
      </c>
      <c r="B41" s="17"/>
      <c r="C41" s="17"/>
      <c r="D41" s="17"/>
      <c r="E41" s="17"/>
      <c r="F41" s="17"/>
      <c r="G41" s="17"/>
    </row>
    <row r="42" spans="1:22" x14ac:dyDescent="0.25">
      <c r="A42" t="s">
        <v>196</v>
      </c>
    </row>
    <row r="43" spans="1:22" x14ac:dyDescent="0.25">
      <c r="O43" t="s">
        <v>216</v>
      </c>
    </row>
    <row r="44" spans="1:22" x14ac:dyDescent="0.25">
      <c r="A44" t="s">
        <v>181</v>
      </c>
      <c r="B44" t="s">
        <v>182</v>
      </c>
    </row>
    <row r="45" spans="1:22" x14ac:dyDescent="0.25">
      <c r="B45" t="s">
        <v>156</v>
      </c>
      <c r="C45" t="s">
        <v>157</v>
      </c>
      <c r="D45" t="s">
        <v>158</v>
      </c>
      <c r="E45" t="s">
        <v>159</v>
      </c>
      <c r="F45" t="s">
        <v>160</v>
      </c>
      <c r="G45" t="s">
        <v>185</v>
      </c>
      <c r="H45" t="s">
        <v>162</v>
      </c>
    </row>
    <row r="46" spans="1:22" x14ac:dyDescent="0.25">
      <c r="A46" t="s">
        <v>186</v>
      </c>
      <c r="B46" s="4">
        <v>600</v>
      </c>
      <c r="C46" s="4">
        <v>600</v>
      </c>
      <c r="D46" s="4">
        <v>600</v>
      </c>
      <c r="E46" s="18">
        <v>600</v>
      </c>
      <c r="F46" s="18">
        <v>750</v>
      </c>
      <c r="G46" s="1">
        <v>383</v>
      </c>
      <c r="H46" s="1">
        <v>413</v>
      </c>
    </row>
    <row r="47" spans="1:22" x14ac:dyDescent="0.25">
      <c r="A47" t="s">
        <v>187</v>
      </c>
      <c r="B47" s="4">
        <v>50</v>
      </c>
      <c r="C47" s="4">
        <v>50</v>
      </c>
      <c r="D47" s="4">
        <v>50</v>
      </c>
      <c r="E47" s="4">
        <v>50</v>
      </c>
      <c r="F47" s="4">
        <v>50</v>
      </c>
      <c r="G47" s="4">
        <v>50</v>
      </c>
      <c r="H47" s="4">
        <v>50</v>
      </c>
      <c r="N47" t="s">
        <v>273</v>
      </c>
    </row>
    <row r="48" spans="1:22" x14ac:dyDescent="0.25">
      <c r="A48" t="s">
        <v>188</v>
      </c>
      <c r="B48">
        <f>B4*$Q18+$P18*B4*(B$24-$O$22)/1000</f>
        <v>1108.0150352220096</v>
      </c>
      <c r="C48">
        <f t="shared" ref="C48:D50" si="9">C4*$Q18+$P18*C4*(D$24-$O$22)/1000</f>
        <v>0</v>
      </c>
      <c r="D48">
        <f t="shared" si="9"/>
        <v>2401.6951458801341</v>
      </c>
      <c r="E48">
        <f t="shared" ref="E48:F50" ca="1" si="10">E4*$Q18+$P18*E4*(G$24-$O$22)/1000</f>
        <v>5409.2233015318334</v>
      </c>
      <c r="F48">
        <f t="shared" ca="1" si="10"/>
        <v>3245.5339809190996</v>
      </c>
      <c r="G48">
        <f t="shared" ref="G48:H50" ca="1" si="11">G4*$Q18+$P18*G4*(J$24-$O$22)/1000</f>
        <v>3007.5281556516993</v>
      </c>
      <c r="H48">
        <f t="shared" si="11"/>
        <v>173.39581831082276</v>
      </c>
    </row>
    <row r="49" spans="1:18" x14ac:dyDescent="0.25">
      <c r="A49" s="19" t="s">
        <v>189</v>
      </c>
      <c r="B49">
        <f>B5*$Q19+$P19*B5*(B$24-$O$22)/1000</f>
        <v>0</v>
      </c>
      <c r="C49">
        <f t="shared" ca="1" si="9"/>
        <v>-353.01635322262371</v>
      </c>
      <c r="D49">
        <f t="shared" ca="1" si="9"/>
        <v>434.11235964866319</v>
      </c>
      <c r="E49">
        <f t="shared" ca="1" si="10"/>
        <v>440.8095425555627</v>
      </c>
      <c r="F49">
        <f t="shared" ca="1" si="10"/>
        <v>7.1789946268202902</v>
      </c>
      <c r="G49">
        <f t="shared" ca="1" si="11"/>
        <v>6.6971829068994637</v>
      </c>
      <c r="H49">
        <f t="shared" si="11"/>
        <v>4.1536599971855215E-2</v>
      </c>
      <c r="N49" t="s">
        <v>119</v>
      </c>
      <c r="Q49" t="s">
        <v>178</v>
      </c>
    </row>
    <row r="50" spans="1:18" x14ac:dyDescent="0.25">
      <c r="A50" s="19" t="s">
        <v>191</v>
      </c>
      <c r="B50">
        <f>B6*$Q20+$P20*B6*(B$24-$O$22)/1000</f>
        <v>0</v>
      </c>
      <c r="C50">
        <f t="shared" si="9"/>
        <v>0</v>
      </c>
      <c r="D50">
        <f t="shared" ca="1" si="9"/>
        <v>0</v>
      </c>
      <c r="E50">
        <f t="shared" ca="1" si="10"/>
        <v>-39.264856107459529</v>
      </c>
      <c r="F50">
        <f t="shared" ca="1" si="10"/>
        <v>-321.74583529781546</v>
      </c>
      <c r="G50">
        <f t="shared" ca="1" si="11"/>
        <v>-39.26485610745948</v>
      </c>
      <c r="H50">
        <f t="shared" si="11"/>
        <v>-1286.1614943006905</v>
      </c>
      <c r="N50" t="s">
        <v>274</v>
      </c>
    </row>
    <row r="51" spans="1:18" x14ac:dyDescent="0.25">
      <c r="A51" s="19" t="s">
        <v>194</v>
      </c>
      <c r="B51">
        <f>SUM(B48:B50)</f>
        <v>1108.0150352220096</v>
      </c>
      <c r="C51">
        <f t="shared" ref="C51:H51" ca="1" si="12">SUM(C48:C50)</f>
        <v>-353.01635322262371</v>
      </c>
      <c r="D51">
        <f t="shared" ca="1" si="12"/>
        <v>2835.8075055287973</v>
      </c>
      <c r="E51">
        <f t="shared" ca="1" si="12"/>
        <v>5810.7679879799371</v>
      </c>
      <c r="F51">
        <f t="shared" ca="1" si="12"/>
        <v>2930.9671402481044</v>
      </c>
      <c r="G51">
        <f t="shared" ca="1" si="12"/>
        <v>2974.9604824511393</v>
      </c>
      <c r="H51">
        <f t="shared" si="12"/>
        <v>-1112.7241393898958</v>
      </c>
    </row>
    <row r="52" spans="1:18" x14ac:dyDescent="0.25">
      <c r="N52" t="s">
        <v>275</v>
      </c>
      <c r="O52">
        <v>47.41</v>
      </c>
    </row>
    <row r="53" spans="1:18" x14ac:dyDescent="0.25">
      <c r="N53" t="s">
        <v>276</v>
      </c>
      <c r="O53">
        <v>0.1231</v>
      </c>
    </row>
    <row r="54" spans="1:18" x14ac:dyDescent="0.25">
      <c r="A54" t="s">
        <v>283</v>
      </c>
      <c r="N54" t="s">
        <v>277</v>
      </c>
      <c r="O54">
        <v>0.36020000000000002</v>
      </c>
    </row>
    <row r="55" spans="1:18" x14ac:dyDescent="0.25">
      <c r="B55">
        <v>1</v>
      </c>
      <c r="C55">
        <v>2</v>
      </c>
      <c r="D55">
        <v>3</v>
      </c>
      <c r="E55">
        <v>4</v>
      </c>
      <c r="F55">
        <v>5</v>
      </c>
      <c r="G55">
        <v>6</v>
      </c>
      <c r="H55">
        <v>7</v>
      </c>
      <c r="N55" t="s">
        <v>278</v>
      </c>
      <c r="O55">
        <v>562.1</v>
      </c>
    </row>
    <row r="56" spans="1:18" x14ac:dyDescent="0.25">
      <c r="A56" t="s">
        <v>229</v>
      </c>
      <c r="B56">
        <f>3.6*B4</f>
        <v>115.4422164905566</v>
      </c>
      <c r="C56">
        <f t="shared" ref="C56:H56" si="13">3.6*C4</f>
        <v>0</v>
      </c>
      <c r="D56">
        <f t="shared" si="13"/>
        <v>115.4422164905566</v>
      </c>
      <c r="E56">
        <f t="shared" ca="1" si="13"/>
        <v>260.00499209584819</v>
      </c>
      <c r="F56">
        <f t="shared" ca="1" si="13"/>
        <v>156.0029952575089</v>
      </c>
      <c r="G56">
        <f t="shared" ca="1" si="13"/>
        <v>144.56277560529159</v>
      </c>
      <c r="H56">
        <f t="shared" si="13"/>
        <v>11.440219652217325</v>
      </c>
      <c r="N56" s="17" t="s">
        <v>281</v>
      </c>
      <c r="O56" s="17">
        <v>400</v>
      </c>
    </row>
    <row r="57" spans="1:18" x14ac:dyDescent="0.25">
      <c r="A57" t="s">
        <v>230</v>
      </c>
      <c r="B57">
        <f t="shared" ref="B57:H59" si="14">3.6*B5</f>
        <v>0</v>
      </c>
      <c r="C57">
        <f t="shared" ca="1" si="14"/>
        <v>104.1175546126041</v>
      </c>
      <c r="D57">
        <f t="shared" ca="1" si="14"/>
        <v>104.1175546126041</v>
      </c>
      <c r="E57">
        <f t="shared" ca="1" si="14"/>
        <v>105.72380767488512</v>
      </c>
      <c r="F57">
        <f t="shared" ca="1" si="14"/>
        <v>1.7218108365458389</v>
      </c>
      <c r="G57">
        <f t="shared" ca="1" si="14"/>
        <v>1.6062530622810174</v>
      </c>
      <c r="H57">
        <f t="shared" si="14"/>
        <v>0.11555777426482146</v>
      </c>
      <c r="N57" t="s">
        <v>279</v>
      </c>
      <c r="O57">
        <f>O56/O55</f>
        <v>0.71161714997331438</v>
      </c>
    </row>
    <row r="58" spans="1:18" x14ac:dyDescent="0.25">
      <c r="A58" t="s">
        <v>231</v>
      </c>
      <c r="B58">
        <f t="shared" si="14"/>
        <v>0</v>
      </c>
      <c r="C58">
        <f t="shared" si="14"/>
        <v>0</v>
      </c>
      <c r="D58">
        <f t="shared" ca="1" si="14"/>
        <v>0</v>
      </c>
      <c r="E58">
        <f t="shared" ca="1" si="14"/>
        <v>14.45627756052918</v>
      </c>
      <c r="F58">
        <f t="shared" ca="1" si="14"/>
        <v>118.45827439886845</v>
      </c>
      <c r="G58">
        <f t="shared" ca="1" si="14"/>
        <v>14.456277560529159</v>
      </c>
      <c r="H58">
        <f t="shared" si="14"/>
        <v>104.00199683833931</v>
      </c>
    </row>
    <row r="59" spans="1:18" x14ac:dyDescent="0.25">
      <c r="A59" s="9" t="s">
        <v>45</v>
      </c>
      <c r="B59">
        <f t="shared" si="14"/>
        <v>115.4422164905566</v>
      </c>
      <c r="C59">
        <f t="shared" ca="1" si="14"/>
        <v>104.1175546126041</v>
      </c>
      <c r="D59">
        <f t="shared" ca="1" si="14"/>
        <v>219.5597711031607</v>
      </c>
      <c r="E59">
        <f t="shared" ca="1" si="14"/>
        <v>380.18507733126245</v>
      </c>
      <c r="F59">
        <f t="shared" ca="1" si="14"/>
        <v>276.18308049292324</v>
      </c>
      <c r="G59">
        <f t="shared" ca="1" si="14"/>
        <v>160.62530622810175</v>
      </c>
      <c r="H59">
        <f t="shared" si="14"/>
        <v>115.55777426482146</v>
      </c>
      <c r="N59" t="s">
        <v>280</v>
      </c>
      <c r="O59">
        <f>$O$52*EXP(-$O$53*$O$57)*(1-O57)^$O$54</f>
        <v>27.752794272515498</v>
      </c>
      <c r="P59" t="s">
        <v>282</v>
      </c>
      <c r="Q59">
        <v>42</v>
      </c>
      <c r="R59" t="s">
        <v>282</v>
      </c>
    </row>
  </sheetData>
  <dataValidations count="1">
    <dataValidation type="custom" allowBlank="1" showInputMessage="1" showErrorMessage="1" sqref="R37:R38">
      <formula1>Q37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5"/>
  <sheetViews>
    <sheetView workbookViewId="0">
      <selection activeCell="B13" sqref="B13"/>
    </sheetView>
  </sheetViews>
  <sheetFormatPr defaultColWidth="11" defaultRowHeight="15.75" x14ac:dyDescent="0.25"/>
  <cols>
    <col min="1" max="1" width="16.625" bestFit="1" customWidth="1"/>
    <col min="2" max="3" width="16.625" customWidth="1"/>
    <col min="4" max="4" width="13" bestFit="1" customWidth="1"/>
    <col min="5" max="5" width="12.125" bestFit="1" customWidth="1"/>
  </cols>
  <sheetData>
    <row r="1" spans="1:6" x14ac:dyDescent="0.25">
      <c r="A1" s="9"/>
      <c r="B1" s="9"/>
      <c r="C1" s="9"/>
      <c r="D1" s="9"/>
      <c r="E1" s="9"/>
      <c r="F1" s="9"/>
    </row>
    <row r="2" spans="1:6" x14ac:dyDescent="0.25">
      <c r="D2" s="13"/>
      <c r="E2" s="13"/>
      <c r="F2" s="13"/>
    </row>
    <row r="3" spans="1:6" x14ac:dyDescent="0.25">
      <c r="D3" s="13"/>
      <c r="E3" s="13"/>
      <c r="F3" s="13"/>
    </row>
    <row r="4" spans="1:6" x14ac:dyDescent="0.25">
      <c r="D4" s="13"/>
      <c r="E4" s="13"/>
      <c r="F4" s="13"/>
    </row>
    <row r="5" spans="1:6" x14ac:dyDescent="0.25">
      <c r="D5" s="13"/>
      <c r="E5" s="13"/>
      <c r="F5" s="13"/>
    </row>
    <row r="8" spans="1:6" x14ac:dyDescent="0.25">
      <c r="A8" t="s">
        <v>217</v>
      </c>
    </row>
    <row r="9" spans="1:6" x14ac:dyDescent="0.25">
      <c r="A9" t="s">
        <v>224</v>
      </c>
    </row>
    <row r="10" spans="1:6" x14ac:dyDescent="0.25">
      <c r="A10" t="s">
        <v>225</v>
      </c>
    </row>
    <row r="11" spans="1:6" x14ac:dyDescent="0.25">
      <c r="A11" t="s">
        <v>218</v>
      </c>
      <c r="B11" t="s">
        <v>219</v>
      </c>
    </row>
    <row r="12" spans="1:6" x14ac:dyDescent="0.25">
      <c r="A12" t="s">
        <v>220</v>
      </c>
    </row>
    <row r="13" spans="1:6" x14ac:dyDescent="0.25">
      <c r="A13" t="s">
        <v>222</v>
      </c>
    </row>
    <row r="14" spans="1:6" x14ac:dyDescent="0.25">
      <c r="A14" t="s">
        <v>227</v>
      </c>
    </row>
    <row r="15" spans="1:6" x14ac:dyDescent="0.25">
      <c r="A15" t="s">
        <v>228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R75"/>
  <sheetViews>
    <sheetView zoomScale="70" zoomScaleNormal="70" workbookViewId="0">
      <selection activeCell="F31" sqref="F31"/>
    </sheetView>
  </sheetViews>
  <sheetFormatPr defaultColWidth="11" defaultRowHeight="15.75" x14ac:dyDescent="0.25"/>
  <cols>
    <col min="2" max="2" width="19.125" bestFit="1" customWidth="1"/>
    <col min="3" max="3" width="13.625" bestFit="1" customWidth="1"/>
    <col min="4" max="4" width="12.125" bestFit="1" customWidth="1"/>
    <col min="10" max="10" width="12.125" bestFit="1" customWidth="1"/>
  </cols>
  <sheetData>
    <row r="2" spans="2:18" x14ac:dyDescent="0.25">
      <c r="L2" t="s">
        <v>262</v>
      </c>
      <c r="M2" t="s">
        <v>255</v>
      </c>
      <c r="N2" t="s">
        <v>256</v>
      </c>
      <c r="O2" t="s">
        <v>257</v>
      </c>
      <c r="P2" t="s">
        <v>258</v>
      </c>
      <c r="Q2" t="s">
        <v>259</v>
      </c>
      <c r="R2" t="s">
        <v>260</v>
      </c>
    </row>
    <row r="3" spans="2:18" x14ac:dyDescent="0.25">
      <c r="C3" t="s">
        <v>241</v>
      </c>
      <c r="D3" t="s">
        <v>17</v>
      </c>
      <c r="E3" t="s">
        <v>33</v>
      </c>
      <c r="F3" t="s">
        <v>34</v>
      </c>
      <c r="L3">
        <f>M3-273</f>
        <v>80</v>
      </c>
      <c r="M3">
        <v>353</v>
      </c>
      <c r="N3">
        <f t="shared" ref="N3:N34" si="0">10^($D$4-$E$4/($M3+$F$4))</f>
        <v>1.0043425785464155</v>
      </c>
      <c r="O3">
        <f t="shared" ref="O3:O34" si="1">10^($D$5-$E$5/($M3+$F$5))</f>
        <v>9.6071970803009554E-2</v>
      </c>
      <c r="P3">
        <f>N3/$H$8</f>
        <v>1.0043425785464155</v>
      </c>
      <c r="Q3">
        <f>O3/$H$8</f>
        <v>9.6071970803009554E-2</v>
      </c>
      <c r="R3">
        <f>P3/Q3</f>
        <v>10.454064490940508</v>
      </c>
    </row>
    <row r="4" spans="2:18" x14ac:dyDescent="0.25">
      <c r="B4" t="s">
        <v>119</v>
      </c>
      <c r="C4" t="s">
        <v>242</v>
      </c>
      <c r="D4">
        <v>4.7258300000000002</v>
      </c>
      <c r="E4">
        <v>1660.652</v>
      </c>
      <c r="F4">
        <v>-1.4610000000000001</v>
      </c>
      <c r="L4">
        <f t="shared" ref="L4:L67" si="2">M4-273</f>
        <v>81</v>
      </c>
      <c r="M4">
        <f>M3+1</f>
        <v>354</v>
      </c>
      <c r="N4">
        <f t="shared" si="0"/>
        <v>1.035813730213067</v>
      </c>
      <c r="O4">
        <f t="shared" si="1"/>
        <v>0.10004680404601524</v>
      </c>
      <c r="P4">
        <f t="shared" ref="P4:Q67" si="3">N4/$H$8</f>
        <v>1.035813730213067</v>
      </c>
      <c r="Q4">
        <f t="shared" si="3"/>
        <v>0.10004680404601524</v>
      </c>
      <c r="R4">
        <f t="shared" ref="R4:R67" si="4">P4/Q4</f>
        <v>10.35329154279289</v>
      </c>
    </row>
    <row r="5" spans="2:18" x14ac:dyDescent="0.25">
      <c r="B5" t="s">
        <v>178</v>
      </c>
      <c r="C5" t="s">
        <v>243</v>
      </c>
      <c r="D5">
        <v>4.0541900000000002</v>
      </c>
      <c r="E5">
        <v>1455.8109999999999</v>
      </c>
      <c r="F5">
        <v>-65.947999999999993</v>
      </c>
      <c r="L5">
        <f t="shared" si="2"/>
        <v>82</v>
      </c>
      <c r="M5">
        <f t="shared" ref="M5:M68" si="5">M4+1</f>
        <v>355</v>
      </c>
      <c r="N5">
        <f t="shared" si="0"/>
        <v>1.0680845882082342</v>
      </c>
      <c r="O5">
        <f t="shared" si="1"/>
        <v>0.10415686923675298</v>
      </c>
      <c r="P5">
        <f t="shared" si="3"/>
        <v>1.0680845882082342</v>
      </c>
      <c r="Q5">
        <f t="shared" si="3"/>
        <v>0.10415686923675298</v>
      </c>
      <c r="R5">
        <f t="shared" si="4"/>
        <v>10.254576544350931</v>
      </c>
    </row>
    <row r="6" spans="2:18" x14ac:dyDescent="0.25">
      <c r="L6">
        <f t="shared" si="2"/>
        <v>83</v>
      </c>
      <c r="M6">
        <f t="shared" si="5"/>
        <v>356</v>
      </c>
      <c r="N6">
        <f t="shared" si="0"/>
        <v>1.1011702539150761</v>
      </c>
      <c r="O6">
        <f t="shared" si="1"/>
        <v>0.10840568357586988</v>
      </c>
      <c r="P6">
        <f t="shared" si="3"/>
        <v>1.1011702539150761</v>
      </c>
      <c r="Q6">
        <f t="shared" si="3"/>
        <v>0.10840568357586988</v>
      </c>
      <c r="R6">
        <f t="shared" si="4"/>
        <v>10.1578645841424</v>
      </c>
    </row>
    <row r="7" spans="2:18" x14ac:dyDescent="0.25">
      <c r="B7" t="s">
        <v>244</v>
      </c>
      <c r="L7">
        <f t="shared" si="2"/>
        <v>84</v>
      </c>
      <c r="M7">
        <f t="shared" si="5"/>
        <v>357</v>
      </c>
      <c r="N7">
        <f t="shared" si="0"/>
        <v>1.1350859964463944</v>
      </c>
      <c r="O7">
        <f t="shared" si="1"/>
        <v>0.11279682296991261</v>
      </c>
      <c r="P7">
        <f t="shared" si="3"/>
        <v>1.1350859964463944</v>
      </c>
      <c r="Q7">
        <f t="shared" si="3"/>
        <v>0.11279682296991261</v>
      </c>
      <c r="R7">
        <f t="shared" si="4"/>
        <v>10.063102546329402</v>
      </c>
    </row>
    <row r="8" spans="2:18" x14ac:dyDescent="0.25">
      <c r="B8" t="s">
        <v>245</v>
      </c>
      <c r="G8" t="s">
        <v>246</v>
      </c>
      <c r="H8">
        <v>1</v>
      </c>
      <c r="I8" t="s">
        <v>247</v>
      </c>
      <c r="L8">
        <f t="shared" si="2"/>
        <v>85</v>
      </c>
      <c r="M8">
        <f t="shared" si="5"/>
        <v>358</v>
      </c>
      <c r="N8">
        <f t="shared" si="0"/>
        <v>1.1698472525091186</v>
      </c>
      <c r="O8">
        <f t="shared" si="1"/>
        <v>0.11733392224609053</v>
      </c>
      <c r="P8">
        <f t="shared" si="3"/>
        <v>1.1698472525091186</v>
      </c>
      <c r="Q8">
        <f t="shared" si="3"/>
        <v>0.11733392224609053</v>
      </c>
      <c r="R8">
        <f t="shared" si="4"/>
        <v>9.9702390418308635</v>
      </c>
    </row>
    <row r="9" spans="2:18" x14ac:dyDescent="0.25">
      <c r="L9">
        <f t="shared" si="2"/>
        <v>86</v>
      </c>
      <c r="M9">
        <f t="shared" si="5"/>
        <v>359</v>
      </c>
      <c r="N9">
        <f t="shared" si="0"/>
        <v>1.2054696262418103</v>
      </c>
      <c r="O9">
        <f t="shared" si="1"/>
        <v>0.12202067535415551</v>
      </c>
      <c r="P9">
        <f t="shared" si="3"/>
        <v>1.2054696262418103</v>
      </c>
      <c r="Q9">
        <f t="shared" si="3"/>
        <v>0.12202067535415551</v>
      </c>
      <c r="R9">
        <f t="shared" si="4"/>
        <v>9.8792243424569541</v>
      </c>
    </row>
    <row r="10" spans="2:18" x14ac:dyDescent="0.25">
      <c r="B10" t="s">
        <v>248</v>
      </c>
      <c r="H10" t="s">
        <v>249</v>
      </c>
      <c r="L10">
        <f t="shared" si="2"/>
        <v>87</v>
      </c>
      <c r="M10">
        <f t="shared" si="5"/>
        <v>360</v>
      </c>
      <c r="N10">
        <f t="shared" si="0"/>
        <v>1.24196888902529</v>
      </c>
      <c r="O10">
        <f t="shared" si="1"/>
        <v>0.12686083555533897</v>
      </c>
      <c r="P10">
        <f t="shared" si="3"/>
        <v>1.24196888902529</v>
      </c>
      <c r="Q10">
        <f t="shared" si="3"/>
        <v>0.12686083555533897</v>
      </c>
      <c r="R10">
        <f t="shared" si="4"/>
        <v>9.7900103179087203</v>
      </c>
    </row>
    <row r="11" spans="2:18" x14ac:dyDescent="0.25">
      <c r="B11" t="s">
        <v>250</v>
      </c>
      <c r="C11">
        <f>353.3-273.15</f>
        <v>80.150000000000034</v>
      </c>
      <c r="D11" t="s">
        <v>34</v>
      </c>
      <c r="E11">
        <f>C11+273.15</f>
        <v>353.3</v>
      </c>
      <c r="F11" t="s">
        <v>15</v>
      </c>
      <c r="H11" t="s">
        <v>251</v>
      </c>
      <c r="L11">
        <f t="shared" si="2"/>
        <v>88</v>
      </c>
      <c r="M11">
        <f t="shared" si="5"/>
        <v>361</v>
      </c>
      <c r="N11">
        <f t="shared" si="0"/>
        <v>1.279360979266561</v>
      </c>
      <c r="O11">
        <f t="shared" si="1"/>
        <v>0.13185821559830846</v>
      </c>
      <c r="P11">
        <f t="shared" si="3"/>
        <v>1.279360979266561</v>
      </c>
      <c r="Q11">
        <f t="shared" si="3"/>
        <v>0.13185821559830846</v>
      </c>
      <c r="R11">
        <f t="shared" si="4"/>
        <v>9.7025503755032858</v>
      </c>
    </row>
    <row r="12" spans="2:18" x14ac:dyDescent="0.25">
      <c r="B12" t="s">
        <v>252</v>
      </c>
      <c r="C12">
        <f>425-273.15</f>
        <v>151.85000000000002</v>
      </c>
      <c r="D12" t="s">
        <v>34</v>
      </c>
      <c r="E12">
        <f>C12+273.15</f>
        <v>425</v>
      </c>
      <c r="F12" t="s">
        <v>15</v>
      </c>
      <c r="L12">
        <f t="shared" si="2"/>
        <v>89</v>
      </c>
      <c r="M12">
        <f t="shared" si="5"/>
        <v>362</v>
      </c>
      <c r="N12">
        <f t="shared" si="0"/>
        <v>1.3176620021561281</v>
      </c>
      <c r="O12">
        <f t="shared" si="1"/>
        <v>0.13701668788210364</v>
      </c>
      <c r="P12">
        <f t="shared" si="3"/>
        <v>1.3176620021561281</v>
      </c>
      <c r="Q12">
        <f t="shared" si="3"/>
        <v>0.13701668788210364</v>
      </c>
      <c r="R12">
        <f t="shared" si="4"/>
        <v>9.6167994024925907</v>
      </c>
    </row>
    <row r="13" spans="2:18" x14ac:dyDescent="0.25">
      <c r="G13" t="s">
        <v>253</v>
      </c>
      <c r="L13">
        <f t="shared" si="2"/>
        <v>90</v>
      </c>
      <c r="M13">
        <f t="shared" si="5"/>
        <v>363</v>
      </c>
      <c r="N13">
        <f t="shared" si="0"/>
        <v>1.3568882293989175</v>
      </c>
      <c r="O13">
        <f t="shared" si="1"/>
        <v>0.14234018460601888</v>
      </c>
      <c r="P13">
        <f t="shared" si="3"/>
        <v>1.3568882293989175</v>
      </c>
      <c r="Q13">
        <f t="shared" si="3"/>
        <v>0.14234018460601888</v>
      </c>
      <c r="R13">
        <f t="shared" si="4"/>
        <v>9.5327137108514144</v>
      </c>
    </row>
    <row r="14" spans="2:18" x14ac:dyDescent="0.25">
      <c r="I14" t="s">
        <v>254</v>
      </c>
      <c r="L14">
        <f t="shared" si="2"/>
        <v>91</v>
      </c>
      <c r="M14">
        <f t="shared" si="5"/>
        <v>364</v>
      </c>
      <c r="N14">
        <f t="shared" si="0"/>
        <v>1.3970560989189384</v>
      </c>
      <c r="O14">
        <f t="shared" si="1"/>
        <v>0.14783269790641199</v>
      </c>
      <c r="P14">
        <f t="shared" si="3"/>
        <v>1.3970560989189384</v>
      </c>
      <c r="Q14">
        <f t="shared" si="3"/>
        <v>0.14783269790641199</v>
      </c>
      <c r="R14">
        <f t="shared" si="4"/>
        <v>9.4502509844159697</v>
      </c>
    </row>
    <row r="15" spans="2:18" x14ac:dyDescent="0.25">
      <c r="I15" s="24" t="s">
        <v>261</v>
      </c>
      <c r="J15" s="24">
        <f>SQRT(R3*R75)</f>
        <v>8.1717166580862646</v>
      </c>
      <c r="L15">
        <f t="shared" si="2"/>
        <v>92</v>
      </c>
      <c r="M15">
        <f t="shared" si="5"/>
        <v>365</v>
      </c>
      <c r="N15">
        <f t="shared" si="0"/>
        <v>1.4381822145378249</v>
      </c>
      <c r="O15">
        <f t="shared" si="1"/>
        <v>0.15349827998041687</v>
      </c>
      <c r="P15">
        <f t="shared" si="3"/>
        <v>1.4381822145378249</v>
      </c>
      <c r="Q15">
        <f t="shared" si="3"/>
        <v>0.15349827998041687</v>
      </c>
      <c r="R15">
        <f t="shared" si="4"/>
        <v>9.3693702282612321</v>
      </c>
    </row>
    <row r="16" spans="2:18" x14ac:dyDescent="0.25">
      <c r="B16" t="s">
        <v>263</v>
      </c>
      <c r="C16" s="17">
        <v>8</v>
      </c>
      <c r="L16">
        <f t="shared" si="2"/>
        <v>93</v>
      </c>
      <c r="M16">
        <f t="shared" si="5"/>
        <v>366</v>
      </c>
      <c r="N16">
        <f t="shared" si="0"/>
        <v>1.4802833456274942</v>
      </c>
      <c r="O16">
        <f t="shared" si="1"/>
        <v>0.15934104319655465</v>
      </c>
      <c r="P16">
        <f>N16/$H$8</f>
        <v>1.4802833456274942</v>
      </c>
      <c r="Q16">
        <f t="shared" si="3"/>
        <v>0.15934104319655465</v>
      </c>
      <c r="R16">
        <f t="shared" si="4"/>
        <v>9.2900317202109388</v>
      </c>
    </row>
    <row r="17" spans="2:18" x14ac:dyDescent="0.25">
      <c r="L17">
        <f t="shared" si="2"/>
        <v>94</v>
      </c>
      <c r="M17">
        <f t="shared" si="5"/>
        <v>367</v>
      </c>
      <c r="N17">
        <f t="shared" si="0"/>
        <v>1.5233764267370535</v>
      </c>
      <c r="O17">
        <f t="shared" si="1"/>
        <v>0.16536516019222866</v>
      </c>
      <c r="P17">
        <f t="shared" si="3"/>
        <v>1.5233764267370535</v>
      </c>
      <c r="Q17">
        <f t="shared" si="3"/>
        <v>0.16536516019222866</v>
      </c>
      <c r="R17">
        <f t="shared" si="4"/>
        <v>9.2121969643799524</v>
      </c>
    </row>
    <row r="18" spans="2:18" x14ac:dyDescent="0.25">
      <c r="B18" t="s">
        <v>264</v>
      </c>
      <c r="C18" s="17">
        <v>2</v>
      </c>
      <c r="D18" t="s">
        <v>265</v>
      </c>
      <c r="L18">
        <f t="shared" si="2"/>
        <v>95</v>
      </c>
      <c r="M18">
        <f t="shared" si="5"/>
        <v>368</v>
      </c>
      <c r="N18">
        <f t="shared" si="0"/>
        <v>1.5674785571941567</v>
      </c>
      <c r="O18">
        <f t="shared" si="1"/>
        <v>0.17157486395811583</v>
      </c>
      <c r="P18">
        <f t="shared" si="3"/>
        <v>1.5674785571941567</v>
      </c>
      <c r="Q18">
        <f t="shared" si="3"/>
        <v>0.17157486395811583</v>
      </c>
      <c r="R18">
        <f t="shared" si="4"/>
        <v>9.1358286466530636</v>
      </c>
    </row>
    <row r="19" spans="2:18" x14ac:dyDescent="0.25">
      <c r="I19" t="s">
        <v>239</v>
      </c>
      <c r="L19">
        <f t="shared" si="2"/>
        <v>96</v>
      </c>
      <c r="M19">
        <f t="shared" si="5"/>
        <v>369</v>
      </c>
      <c r="N19">
        <f t="shared" si="0"/>
        <v>1.6126070006810398</v>
      </c>
      <c r="O19">
        <f t="shared" si="1"/>
        <v>0.17797444790945219</v>
      </c>
      <c r="P19">
        <f t="shared" si="3"/>
        <v>1.6126070006810398</v>
      </c>
      <c r="Q19">
        <f t="shared" si="3"/>
        <v>0.17797444790945219</v>
      </c>
      <c r="R19">
        <f t="shared" si="4"/>
        <v>9.0608905920106224</v>
      </c>
    </row>
    <row r="20" spans="2:18" x14ac:dyDescent="0.25">
      <c r="B20" t="s">
        <v>266</v>
      </c>
      <c r="C20">
        <f>C18*C16</f>
        <v>16</v>
      </c>
      <c r="D20" t="s">
        <v>267</v>
      </c>
      <c r="I20" t="s">
        <v>236</v>
      </c>
      <c r="J20">
        <f ca="1">Balance_With_Recycle!V26</f>
        <v>0.56485355648535562</v>
      </c>
      <c r="L20">
        <f t="shared" si="2"/>
        <v>97</v>
      </c>
      <c r="M20">
        <f t="shared" si="5"/>
        <v>370</v>
      </c>
      <c r="N20">
        <f t="shared" si="0"/>
        <v>1.6587791847853515</v>
      </c>
      <c r="O20">
        <f t="shared" si="1"/>
        <v>0.1845682659442317</v>
      </c>
      <c r="P20">
        <f t="shared" si="3"/>
        <v>1.6587791847853515</v>
      </c>
      <c r="Q20">
        <f t="shared" si="3"/>
        <v>0.1845682659442317</v>
      </c>
      <c r="R20">
        <f t="shared" si="4"/>
        <v>8.9873477236144197</v>
      </c>
    </row>
    <row r="21" spans="2:18" x14ac:dyDescent="0.25">
      <c r="C21">
        <f>C20*0.3048</f>
        <v>4.8768000000000002</v>
      </c>
      <c r="D21" t="s">
        <v>65</v>
      </c>
      <c r="I21" t="s">
        <v>237</v>
      </c>
      <c r="J21">
        <f ca="1">Balance_With_Recycle!W26</f>
        <v>0.9</v>
      </c>
      <c r="L21">
        <f t="shared" si="2"/>
        <v>98</v>
      </c>
      <c r="M21">
        <f t="shared" si="5"/>
        <v>371</v>
      </c>
      <c r="N21">
        <f t="shared" si="0"/>
        <v>1.7060127005261099</v>
      </c>
      <c r="O21">
        <f t="shared" si="1"/>
        <v>0.19136073248833146</v>
      </c>
      <c r="P21">
        <f t="shared" si="3"/>
        <v>1.7060127005261099</v>
      </c>
      <c r="Q21">
        <f t="shared" si="3"/>
        <v>0.19136073248833146</v>
      </c>
      <c r="R21">
        <f t="shared" si="4"/>
        <v>8.915166023573498</v>
      </c>
    </row>
    <row r="22" spans="2:18" x14ac:dyDescent="0.25">
      <c r="I22" t="s">
        <v>238</v>
      </c>
      <c r="J22">
        <v>9.9000000000000005E-2</v>
      </c>
      <c r="L22">
        <f t="shared" si="2"/>
        <v>99</v>
      </c>
      <c r="M22">
        <f t="shared" si="5"/>
        <v>372</v>
      </c>
      <c r="N22">
        <f t="shared" si="0"/>
        <v>1.7543253018548595</v>
      </c>
      <c r="O22">
        <f t="shared" si="1"/>
        <v>0.19835632252759705</v>
      </c>
      <c r="P22">
        <f t="shared" si="3"/>
        <v>1.7543253018548595</v>
      </c>
      <c r="Q22">
        <f t="shared" si="3"/>
        <v>0.19835632252759705</v>
      </c>
      <c r="R22">
        <f t="shared" si="4"/>
        <v>8.844312495311474</v>
      </c>
    </row>
    <row r="23" spans="2:18" x14ac:dyDescent="0.25">
      <c r="L23">
        <f t="shared" si="2"/>
        <v>100</v>
      </c>
      <c r="M23">
        <f t="shared" si="5"/>
        <v>373</v>
      </c>
      <c r="N23">
        <f t="shared" si="0"/>
        <v>1.8037349051323734</v>
      </c>
      <c r="O23">
        <f t="shared" si="1"/>
        <v>0.20555957162691096</v>
      </c>
      <c r="P23">
        <f t="shared" si="3"/>
        <v>1.8037349051323734</v>
      </c>
      <c r="Q23">
        <f t="shared" si="3"/>
        <v>0.20555957162691096</v>
      </c>
      <c r="R23">
        <f t="shared" si="4"/>
        <v>8.7747551274631874</v>
      </c>
    </row>
    <row r="24" spans="2:18" x14ac:dyDescent="0.25">
      <c r="I24" t="s">
        <v>240</v>
      </c>
      <c r="J24">
        <f ca="1">Balance_With_Recycle!F7</f>
        <v>76.717522359145335</v>
      </c>
      <c r="L24">
        <f t="shared" si="2"/>
        <v>101</v>
      </c>
      <c r="M24">
        <f t="shared" si="5"/>
        <v>374</v>
      </c>
      <c r="N24">
        <f t="shared" si="0"/>
        <v>1.8542595885810307</v>
      </c>
      <c r="O24">
        <f t="shared" si="1"/>
        <v>0.21297507593627982</v>
      </c>
      <c r="P24">
        <f t="shared" si="3"/>
        <v>1.8542595885810307</v>
      </c>
      <c r="Q24">
        <f t="shared" si="3"/>
        <v>0.21297507593627982</v>
      </c>
      <c r="R24">
        <f t="shared" si="4"/>
        <v>8.7064628592305713</v>
      </c>
    </row>
    <row r="25" spans="2:18" x14ac:dyDescent="0.25">
      <c r="I25" t="s">
        <v>74</v>
      </c>
      <c r="J25">
        <f ca="1">Balance_With_Recycle!G7</f>
        <v>44.618140618917153</v>
      </c>
      <c r="L25">
        <f t="shared" si="2"/>
        <v>102</v>
      </c>
      <c r="M25">
        <f t="shared" si="5"/>
        <v>375</v>
      </c>
      <c r="N25">
        <f t="shared" si="0"/>
        <v>1.9059175917131486</v>
      </c>
      <c r="O25">
        <f t="shared" si="1"/>
        <v>0.22060749218399267</v>
      </c>
      <c r="P25">
        <f t="shared" si="3"/>
        <v>1.9059175917131486</v>
      </c>
      <c r="Q25">
        <f t="shared" si="3"/>
        <v>0.22060749218399267</v>
      </c>
      <c r="R25">
        <f t="shared" si="4"/>
        <v>8.639405547131469</v>
      </c>
    </row>
    <row r="26" spans="2:18" x14ac:dyDescent="0.25">
      <c r="I26" t="s">
        <v>33</v>
      </c>
      <c r="J26">
        <f>Balance_With_Recycle!H7</f>
        <v>32.099381740228182</v>
      </c>
      <c r="L26">
        <f t="shared" si="2"/>
        <v>103</v>
      </c>
      <c r="M26">
        <f t="shared" si="5"/>
        <v>376</v>
      </c>
      <c r="N26">
        <f t="shared" si="0"/>
        <v>1.958727314735482</v>
      </c>
      <c r="O26">
        <f t="shared" si="1"/>
        <v>0.22846153765688032</v>
      </c>
      <c r="P26">
        <f t="shared" si="3"/>
        <v>1.958727314735482</v>
      </c>
      <c r="Q26">
        <f t="shared" si="3"/>
        <v>0.22846153765688032</v>
      </c>
      <c r="R26">
        <f t="shared" si="4"/>
        <v>8.5735539330792605</v>
      </c>
    </row>
    <row r="27" spans="2:18" x14ac:dyDescent="0.25">
      <c r="L27">
        <f t="shared" si="2"/>
        <v>104</v>
      </c>
      <c r="M27">
        <f t="shared" si="5"/>
        <v>377</v>
      </c>
      <c r="N27">
        <f t="shared" si="0"/>
        <v>2.0127073179301438</v>
      </c>
      <c r="O27">
        <f t="shared" si="1"/>
        <v>0.2365419901677466</v>
      </c>
      <c r="P27">
        <f t="shared" si="3"/>
        <v>2.0127073179301438</v>
      </c>
      <c r="Q27">
        <f t="shared" si="3"/>
        <v>0.2365419901677466</v>
      </c>
      <c r="R27">
        <f t="shared" si="4"/>
        <v>8.5088796137328853</v>
      </c>
    </row>
    <row r="28" spans="2:18" x14ac:dyDescent="0.25">
      <c r="L28">
        <f t="shared" si="2"/>
        <v>105</v>
      </c>
      <c r="M28">
        <f t="shared" si="5"/>
        <v>378</v>
      </c>
      <c r="N28">
        <f t="shared" si="0"/>
        <v>2.0678763210121804</v>
      </c>
      <c r="O28">
        <f t="shared" si="1"/>
        <v>0.24485368801001342</v>
      </c>
      <c r="P28">
        <f t="shared" si="3"/>
        <v>2.0678763210121804</v>
      </c>
      <c r="Q28">
        <f t="shared" si="3"/>
        <v>0.24485368801001342</v>
      </c>
      <c r="R28">
        <f t="shared" si="4"/>
        <v>8.4453550110611921</v>
      </c>
    </row>
    <row r="29" spans="2:18" x14ac:dyDescent="0.25">
      <c r="L29">
        <f t="shared" si="2"/>
        <v>106</v>
      </c>
      <c r="M29">
        <f t="shared" si="5"/>
        <v>379</v>
      </c>
      <c r="N29">
        <f t="shared" si="0"/>
        <v>2.124253202464025</v>
      </c>
      <c r="O29">
        <f t="shared" si="1"/>
        <v>0.25340152989965037</v>
      </c>
      <c r="P29">
        <f t="shared" si="3"/>
        <v>2.124253202464025</v>
      </c>
      <c r="Q29">
        <f t="shared" si="3"/>
        <v>0.25340152989965037</v>
      </c>
      <c r="R29">
        <f t="shared" si="4"/>
        <v>8.382953344067225</v>
      </c>
    </row>
    <row r="30" spans="2:18" x14ac:dyDescent="0.25">
      <c r="L30">
        <f t="shared" si="2"/>
        <v>107</v>
      </c>
      <c r="M30">
        <f t="shared" si="5"/>
        <v>380</v>
      </c>
      <c r="N30">
        <f t="shared" si="0"/>
        <v>2.181856998847167</v>
      </c>
      <c r="O30">
        <f t="shared" si="1"/>
        <v>0.26219047490445552</v>
      </c>
      <c r="P30">
        <f t="shared" si="3"/>
        <v>2.181856998847167</v>
      </c>
      <c r="Q30">
        <f t="shared" si="3"/>
        <v>0.26219047490445552</v>
      </c>
      <c r="R30">
        <f t="shared" si="4"/>
        <v>8.3216486016216056</v>
      </c>
    </row>
    <row r="31" spans="2:18" x14ac:dyDescent="0.25">
      <c r="L31">
        <f t="shared" si="2"/>
        <v>108</v>
      </c>
      <c r="M31">
        <f t="shared" si="5"/>
        <v>381</v>
      </c>
      <c r="N31">
        <f t="shared" si="0"/>
        <v>2.2407069040911698</v>
      </c>
      <c r="O31">
        <f t="shared" si="1"/>
        <v>0.27122554236075636</v>
      </c>
      <c r="P31">
        <f t="shared" si="3"/>
        <v>2.2407069040911698</v>
      </c>
      <c r="Q31">
        <f t="shared" si="3"/>
        <v>0.27122554236075636</v>
      </c>
      <c r="R31">
        <f t="shared" si="4"/>
        <v>8.2614155163558003</v>
      </c>
    </row>
    <row r="32" spans="2:18" x14ac:dyDescent="0.25">
      <c r="L32">
        <f t="shared" si="2"/>
        <v>109</v>
      </c>
      <c r="M32">
        <f t="shared" si="5"/>
        <v>382</v>
      </c>
      <c r="N32">
        <f t="shared" si="0"/>
        <v>2.3008222687603888</v>
      </c>
      <c r="O32">
        <f t="shared" si="1"/>
        <v>0.28051181177761042</v>
      </c>
      <c r="P32">
        <f t="shared" si="3"/>
        <v>2.3008222687603888</v>
      </c>
      <c r="Q32">
        <f t="shared" si="3"/>
        <v>0.28051181177761042</v>
      </c>
      <c r="R32">
        <f t="shared" si="4"/>
        <v>8.2022295395691902</v>
      </c>
    </row>
    <row r="33" spans="12:18" x14ac:dyDescent="0.25">
      <c r="L33">
        <f t="shared" si="2"/>
        <v>110</v>
      </c>
      <c r="M33">
        <f t="shared" si="5"/>
        <v>383</v>
      </c>
      <c r="N33">
        <f t="shared" si="0"/>
        <v>2.362222599298661</v>
      </c>
      <c r="O33">
        <f t="shared" si="1"/>
        <v>0.29005442272858356</v>
      </c>
      <c r="P33">
        <f t="shared" si="3"/>
        <v>2.362222599298661</v>
      </c>
      <c r="Q33">
        <f t="shared" si="3"/>
        <v>0.29005442272858356</v>
      </c>
      <c r="R33">
        <f t="shared" si="4"/>
        <v>8.1440668171058874</v>
      </c>
    </row>
    <row r="34" spans="12:18" x14ac:dyDescent="0.25">
      <c r="L34">
        <f t="shared" si="2"/>
        <v>111</v>
      </c>
      <c r="M34">
        <f t="shared" si="5"/>
        <v>384</v>
      </c>
      <c r="N34">
        <f t="shared" si="0"/>
        <v>2.4249275572521358</v>
      </c>
      <c r="O34">
        <f t="shared" si="1"/>
        <v>0.29985857473120009</v>
      </c>
      <c r="P34">
        <f t="shared" si="3"/>
        <v>2.4249275572521358</v>
      </c>
      <c r="Q34">
        <f t="shared" si="3"/>
        <v>0.29985857473120009</v>
      </c>
      <c r="R34">
        <f t="shared" si="4"/>
        <v>8.0869041661586465</v>
      </c>
    </row>
    <row r="35" spans="12:18" x14ac:dyDescent="0.25">
      <c r="L35">
        <f t="shared" si="2"/>
        <v>112</v>
      </c>
      <c r="M35">
        <f t="shared" si="5"/>
        <v>385</v>
      </c>
      <c r="N35">
        <f t="shared" ref="N35:N66" si="6">10^($D$4-$E$4/($M35+$F$4))</f>
        <v>2.4889569584706375</v>
      </c>
      <c r="O35">
        <f t="shared" ref="O35:O66" si="7">10^($D$5-$E$5/($M35+$F$5))</f>
        <v>0.30992952711413863</v>
      </c>
      <c r="P35">
        <f t="shared" si="3"/>
        <v>2.4889569584706375</v>
      </c>
      <c r="Q35">
        <f t="shared" si="3"/>
        <v>0.30992952711413863</v>
      </c>
      <c r="R35">
        <f t="shared" si="4"/>
        <v>8.0307190529607784</v>
      </c>
    </row>
    <row r="36" spans="12:18" x14ac:dyDescent="0.25">
      <c r="L36">
        <f t="shared" si="2"/>
        <v>113</v>
      </c>
      <c r="M36">
        <f t="shared" si="5"/>
        <v>386</v>
      </c>
      <c r="N36">
        <f t="shared" si="6"/>
        <v>2.5543307722877602</v>
      </c>
      <c r="O36">
        <f t="shared" si="7"/>
        <v>0.32027259887228643</v>
      </c>
      <c r="P36">
        <f t="shared" si="3"/>
        <v>2.5543307722877602</v>
      </c>
      <c r="Q36">
        <f t="shared" si="3"/>
        <v>0.32027259887228643</v>
      </c>
      <c r="R36">
        <f t="shared" si="4"/>
        <v>7.9754895713271381</v>
      </c>
    </row>
    <row r="37" spans="12:18" x14ac:dyDescent="0.25">
      <c r="L37">
        <f t="shared" si="2"/>
        <v>114</v>
      </c>
      <c r="M37">
        <f t="shared" si="5"/>
        <v>387</v>
      </c>
      <c r="N37">
        <f t="shared" si="6"/>
        <v>2.621069120679989</v>
      </c>
      <c r="O37">
        <f t="shared" si="7"/>
        <v>0.33089316850973588</v>
      </c>
      <c r="P37">
        <f t="shared" si="3"/>
        <v>2.621069120679989</v>
      </c>
      <c r="Q37">
        <f t="shared" si="3"/>
        <v>0.33089316850973588</v>
      </c>
      <c r="R37">
        <f t="shared" si="4"/>
        <v>7.9211944220083508</v>
      </c>
    </row>
    <row r="38" spans="12:18" x14ac:dyDescent="0.25">
      <c r="L38">
        <f t="shared" si="2"/>
        <v>115</v>
      </c>
      <c r="M38">
        <f t="shared" si="5"/>
        <v>388</v>
      </c>
      <c r="N38">
        <f t="shared" si="6"/>
        <v>2.6891922774051582</v>
      </c>
      <c r="O38">
        <f t="shared" si="7"/>
        <v>0.34179667387083262</v>
      </c>
      <c r="P38">
        <f t="shared" si="3"/>
        <v>2.6891922774051582</v>
      </c>
      <c r="Q38">
        <f t="shared" si="3"/>
        <v>0.34179667387083262</v>
      </c>
      <c r="R38">
        <f t="shared" si="4"/>
        <v>7.8678128928235944</v>
      </c>
    </row>
    <row r="39" spans="12:18" x14ac:dyDescent="0.25">
      <c r="L39">
        <f t="shared" si="2"/>
        <v>116</v>
      </c>
      <c r="M39">
        <f t="shared" si="5"/>
        <v>389</v>
      </c>
      <c r="N39">
        <f t="shared" si="6"/>
        <v>2.7587206671204991</v>
      </c>
      <c r="O39">
        <f t="shared" si="7"/>
        <v>0.35298861195938058</v>
      </c>
      <c r="P39">
        <f t="shared" si="3"/>
        <v>2.7587206671204991</v>
      </c>
      <c r="Q39">
        <f t="shared" si="3"/>
        <v>0.35298861195938058</v>
      </c>
      <c r="R39">
        <f t="shared" si="4"/>
        <v>7.8153248395388832</v>
      </c>
    </row>
    <row r="40" spans="12:18" x14ac:dyDescent="0.25">
      <c r="L40">
        <f t="shared" si="2"/>
        <v>117</v>
      </c>
      <c r="M40">
        <f t="shared" si="5"/>
        <v>390</v>
      </c>
      <c r="N40">
        <f t="shared" si="6"/>
        <v>2.829674864480539</v>
      </c>
      <c r="O40">
        <f t="shared" si="7"/>
        <v>0.36447453874610886</v>
      </c>
      <c r="P40">
        <f t="shared" si="3"/>
        <v>2.829674864480539</v>
      </c>
      <c r="Q40">
        <f t="shared" si="3"/>
        <v>0.36447453874610886</v>
      </c>
      <c r="R40">
        <f t="shared" si="4"/>
        <v>7.7637106674594802</v>
      </c>
    </row>
    <row r="41" spans="12:18" x14ac:dyDescent="0.25">
      <c r="L41">
        <f t="shared" si="2"/>
        <v>118</v>
      </c>
      <c r="M41">
        <f t="shared" si="5"/>
        <v>391</v>
      </c>
      <c r="N41">
        <f t="shared" si="6"/>
        <v>2.9020755932152444</v>
      </c>
      <c r="O41">
        <f t="shared" si="7"/>
        <v>0.37626006896451836</v>
      </c>
      <c r="P41">
        <f t="shared" si="3"/>
        <v>2.9020755932152444</v>
      </c>
      <c r="Q41">
        <f t="shared" si="3"/>
        <v>0.37626006896451836</v>
      </c>
      <c r="R41">
        <f t="shared" si="4"/>
        <v>7.7129513137066708</v>
      </c>
    </row>
    <row r="42" spans="12:18" x14ac:dyDescent="0.25">
      <c r="L42">
        <f t="shared" si="2"/>
        <v>119</v>
      </c>
      <c r="M42">
        <f t="shared" si="5"/>
        <v>392</v>
      </c>
      <c r="N42">
        <f t="shared" si="6"/>
        <v>2.9759437251885661</v>
      </c>
      <c r="O42">
        <f t="shared" si="7"/>
        <v>0.3883508758952246</v>
      </c>
      <c r="P42">
        <f t="shared" si="3"/>
        <v>2.9759437251885661</v>
      </c>
      <c r="Q42">
        <f t="shared" si="3"/>
        <v>0.3883508758952246</v>
      </c>
      <c r="R42">
        <f t="shared" si="4"/>
        <v>7.6630282301499504</v>
      </c>
    </row>
    <row r="43" spans="12:18" x14ac:dyDescent="0.25">
      <c r="L43">
        <f t="shared" si="2"/>
        <v>120</v>
      </c>
      <c r="M43">
        <f t="shared" si="5"/>
        <v>393</v>
      </c>
      <c r="N43">
        <f t="shared" si="6"/>
        <v>3.0513002794377817</v>
      </c>
      <c r="O43">
        <f t="shared" si="7"/>
        <v>0.40075269113891138</v>
      </c>
      <c r="P43">
        <f t="shared" si="3"/>
        <v>3.0513002794377817</v>
      </c>
      <c r="Q43">
        <f t="shared" si="3"/>
        <v>0.40075269113891138</v>
      </c>
      <c r="R43">
        <f t="shared" si="4"/>
        <v>7.6139233669677866</v>
      </c>
    </row>
    <row r="44" spans="12:18" x14ac:dyDescent="0.25">
      <c r="L44">
        <f t="shared" si="2"/>
        <v>121</v>
      </c>
      <c r="M44">
        <f t="shared" si="5"/>
        <v>394</v>
      </c>
      <c r="N44">
        <f t="shared" si="6"/>
        <v>3.128166421193908</v>
      </c>
      <c r="O44">
        <f t="shared" si="7"/>
        <v>0.4134713043780246</v>
      </c>
      <c r="P44">
        <f t="shared" si="3"/>
        <v>3.128166421193908</v>
      </c>
      <c r="Q44">
        <f t="shared" si="3"/>
        <v>0.4134713043780246</v>
      </c>
      <c r="R44">
        <f t="shared" si="4"/>
        <v>7.565619156810742</v>
      </c>
    </row>
    <row r="45" spans="12:18" x14ac:dyDescent="0.25">
      <c r="L45">
        <f t="shared" si="2"/>
        <v>122</v>
      </c>
      <c r="M45">
        <f t="shared" si="5"/>
        <v>395</v>
      </c>
      <c r="N45">
        <f t="shared" si="6"/>
        <v>3.2065634608834359</v>
      </c>
      <c r="O45">
        <f t="shared" si="7"/>
        <v>0.4265125631273271</v>
      </c>
      <c r="P45">
        <f t="shared" si="3"/>
        <v>3.2065634608834359</v>
      </c>
      <c r="Q45">
        <f t="shared" si="3"/>
        <v>0.4265125631273271</v>
      </c>
      <c r="R45">
        <f t="shared" si="4"/>
        <v>7.5180984995421536</v>
      </c>
    </row>
    <row r="46" spans="12:18" x14ac:dyDescent="0.25">
      <c r="L46">
        <f t="shared" si="2"/>
        <v>123</v>
      </c>
      <c r="M46">
        <f t="shared" si="5"/>
        <v>396</v>
      </c>
      <c r="N46">
        <f t="shared" si="6"/>
        <v>3.2865128531117422</v>
      </c>
      <c r="O46">
        <f t="shared" si="7"/>
        <v>0.43988237247345141</v>
      </c>
      <c r="P46">
        <f t="shared" si="3"/>
        <v>3.2865128531117422</v>
      </c>
      <c r="Q46">
        <f t="shared" si="3"/>
        <v>0.43988237247345141</v>
      </c>
      <c r="R46">
        <f t="shared" si="4"/>
        <v>7.4713447475326964</v>
      </c>
    </row>
    <row r="47" spans="12:18" x14ac:dyDescent="0.25">
      <c r="L47">
        <f t="shared" si="2"/>
        <v>124</v>
      </c>
      <c r="M47">
        <f t="shared" si="5"/>
        <v>397</v>
      </c>
      <c r="N47">
        <f t="shared" si="6"/>
        <v>3.3680361956284868</v>
      </c>
      <c r="O47">
        <f t="shared" si="7"/>
        <v>0.45358669480356412</v>
      </c>
      <c r="P47">
        <f t="shared" si="3"/>
        <v>3.3680361956284868</v>
      </c>
      <c r="Q47">
        <f t="shared" si="3"/>
        <v>0.45358669480356412</v>
      </c>
      <c r="R47">
        <f t="shared" si="4"/>
        <v>7.4253416914865422</v>
      </c>
    </row>
    <row r="48" spans="12:18" x14ac:dyDescent="0.25">
      <c r="L48">
        <f t="shared" si="2"/>
        <v>125</v>
      </c>
      <c r="M48">
        <f t="shared" si="5"/>
        <v>398</v>
      </c>
      <c r="N48">
        <f t="shared" si="6"/>
        <v>3.451155228275244</v>
      </c>
      <c r="O48">
        <f t="shared" si="7"/>
        <v>0.46763154952330488</v>
      </c>
      <c r="P48">
        <f t="shared" si="3"/>
        <v>3.451155228275244</v>
      </c>
      <c r="Q48">
        <f t="shared" si="3"/>
        <v>0.46763154952330488</v>
      </c>
      <c r="R48">
        <f t="shared" si="4"/>
        <v>7.380073546776921</v>
      </c>
    </row>
    <row r="49" spans="12:18" x14ac:dyDescent="0.25">
      <c r="L49">
        <f t="shared" si="2"/>
        <v>126</v>
      </c>
      <c r="M49">
        <f t="shared" si="5"/>
        <v>399</v>
      </c>
      <c r="N49">
        <f t="shared" si="6"/>
        <v>3.535891831915722</v>
      </c>
      <c r="O49">
        <f t="shared" si="7"/>
        <v>0.48202301276411147</v>
      </c>
      <c r="P49">
        <f t="shared" si="3"/>
        <v>3.535891831915722</v>
      </c>
      <c r="Q49">
        <f t="shared" si="3"/>
        <v>0.48202301276411147</v>
      </c>
      <c r="R49">
        <f t="shared" si="4"/>
        <v>7.335524940271033</v>
      </c>
    </row>
    <row r="50" spans="12:18" x14ac:dyDescent="0.25">
      <c r="L50">
        <f t="shared" si="2"/>
        <v>127</v>
      </c>
      <c r="M50">
        <f t="shared" si="5"/>
        <v>400</v>
      </c>
      <c r="N50">
        <f t="shared" si="6"/>
        <v>3.6222680273488534</v>
      </c>
      <c r="O50">
        <f t="shared" si="7"/>
        <v>0.49676721708007554</v>
      </c>
      <c r="P50">
        <f t="shared" si="3"/>
        <v>3.6222680273488534</v>
      </c>
      <c r="Q50">
        <f t="shared" si="3"/>
        <v>0.49676721708007554</v>
      </c>
      <c r="R50">
        <f t="shared" si="4"/>
        <v>7.2916808976244667</v>
      </c>
    </row>
    <row r="51" spans="12:18" x14ac:dyDescent="0.25">
      <c r="L51">
        <f t="shared" si="2"/>
        <v>128</v>
      </c>
      <c r="M51">
        <f t="shared" si="5"/>
        <v>401</v>
      </c>
      <c r="N51">
        <f t="shared" si="6"/>
        <v>3.7103059742050704</v>
      </c>
      <c r="O51">
        <f t="shared" si="7"/>
        <v>0.51187035113449386</v>
      </c>
      <c r="P51">
        <f t="shared" si="3"/>
        <v>3.7103059742050704</v>
      </c>
      <c r="Q51">
        <f t="shared" si="3"/>
        <v>0.51187035113449386</v>
      </c>
      <c r="R51">
        <f t="shared" si="4"/>
        <v>7.2485268310259841</v>
      </c>
    </row>
    <row r="52" spans="12:18" x14ac:dyDescent="0.25">
      <c r="L52">
        <f t="shared" si="2"/>
        <v>129</v>
      </c>
      <c r="M52">
        <f t="shared" si="5"/>
        <v>402</v>
      </c>
      <c r="N52">
        <f t="shared" si="6"/>
        <v>3.8000279698261039</v>
      </c>
      <c r="O52">
        <f t="shared" si="7"/>
        <v>0.52733865937621582</v>
      </c>
      <c r="P52">
        <f t="shared" si="3"/>
        <v>3.8000279698261039</v>
      </c>
      <c r="Q52">
        <f t="shared" si="3"/>
        <v>0.52733865937621582</v>
      </c>
      <c r="R52">
        <f t="shared" si="4"/>
        <v>7.2060485273754118</v>
      </c>
    </row>
    <row r="53" spans="12:18" x14ac:dyDescent="0.25">
      <c r="L53">
        <f t="shared" si="2"/>
        <v>130</v>
      </c>
      <c r="M53">
        <f t="shared" si="5"/>
        <v>403</v>
      </c>
      <c r="N53">
        <f t="shared" si="6"/>
        <v>3.8914564481285687</v>
      </c>
      <c r="O53">
        <f t="shared" si="7"/>
        <v>0.54317844170598273</v>
      </c>
      <c r="P53">
        <f t="shared" si="3"/>
        <v>3.8914564481285687</v>
      </c>
      <c r="Q53">
        <f t="shared" si="3"/>
        <v>0.54317844170598273</v>
      </c>
      <c r="R53">
        <f t="shared" si="4"/>
        <v>7.1642321368766266</v>
      </c>
    </row>
    <row r="54" spans="12:18" x14ac:dyDescent="0.25">
      <c r="L54">
        <f t="shared" si="2"/>
        <v>131</v>
      </c>
      <c r="M54">
        <f t="shared" si="5"/>
        <v>404</v>
      </c>
      <c r="N54">
        <f t="shared" si="6"/>
        <v>3.9846139784516597</v>
      </c>
      <c r="O54">
        <f t="shared" si="7"/>
        <v>0.55939605313286855</v>
      </c>
      <c r="P54">
        <f t="shared" si="3"/>
        <v>3.9846139784516597</v>
      </c>
      <c r="Q54">
        <f t="shared" si="3"/>
        <v>0.55939605313286855</v>
      </c>
      <c r="R54">
        <f t="shared" si="4"/>
        <v>7.1230641620298103</v>
      </c>
    </row>
    <row r="55" spans="12:18" x14ac:dyDescent="0.25">
      <c r="L55">
        <f t="shared" si="2"/>
        <v>132</v>
      </c>
      <c r="M55">
        <f t="shared" si="5"/>
        <v>405</v>
      </c>
      <c r="N55">
        <f t="shared" si="6"/>
        <v>4.0795232643892749</v>
      </c>
      <c r="O55">
        <f t="shared" si="7"/>
        <v>0.57599790342098733</v>
      </c>
      <c r="P55">
        <f t="shared" si="3"/>
        <v>4.0795232643892749</v>
      </c>
      <c r="Q55">
        <f t="shared" si="3"/>
        <v>0.57599790342098733</v>
      </c>
      <c r="R55">
        <f t="shared" si="4"/>
        <v>7.0825314470070539</v>
      </c>
    </row>
    <row r="56" spans="12:18" x14ac:dyDescent="0.25">
      <c r="L56">
        <f t="shared" si="2"/>
        <v>133</v>
      </c>
      <c r="M56">
        <f t="shared" si="5"/>
        <v>406</v>
      </c>
      <c r="N56">
        <f t="shared" si="6"/>
        <v>4.1762071426069447</v>
      </c>
      <c r="O56">
        <f t="shared" si="7"/>
        <v>0.59299045672663175</v>
      </c>
      <c r="P56">
        <f t="shared" si="3"/>
        <v>4.1762071426069447</v>
      </c>
      <c r="Q56">
        <f t="shared" si="3"/>
        <v>0.59299045672663175</v>
      </c>
      <c r="R56">
        <f t="shared" si="4"/>
        <v>7.0426211673962467</v>
      </c>
    </row>
    <row r="57" spans="12:18" x14ac:dyDescent="0.25">
      <c r="L57">
        <f t="shared" si="2"/>
        <v>134</v>
      </c>
      <c r="M57">
        <f t="shared" si="5"/>
        <v>407</v>
      </c>
      <c r="N57">
        <f t="shared" si="6"/>
        <v>4.274688581643721</v>
      </c>
      <c r="O57">
        <f t="shared" si="7"/>
        <v>0.61038023122596308</v>
      </c>
      <c r="P57">
        <f t="shared" si="3"/>
        <v>4.274688581643721</v>
      </c>
      <c r="Q57">
        <f t="shared" si="3"/>
        <v>0.61038023122596308</v>
      </c>
      <c r="R57">
        <f t="shared" si="4"/>
        <v>7.0033208202990265</v>
      </c>
    </row>
    <row r="58" spans="12:18" x14ac:dyDescent="0.25">
      <c r="L58">
        <f t="shared" si="2"/>
        <v>135</v>
      </c>
      <c r="M58">
        <f t="shared" si="5"/>
        <v>408</v>
      </c>
      <c r="N58">
        <f t="shared" si="6"/>
        <v>4.3749906806995051</v>
      </c>
      <c r="O58">
        <f t="shared" si="7"/>
        <v>0.62817379873345358</v>
      </c>
      <c r="P58">
        <f t="shared" si="3"/>
        <v>4.3749906806995051</v>
      </c>
      <c r="Q58">
        <f t="shared" si="3"/>
        <v>0.62817379873345358</v>
      </c>
      <c r="R58">
        <f t="shared" si="4"/>
        <v>6.964618214768775</v>
      </c>
    </row>
    <row r="59" spans="12:18" x14ac:dyDescent="0.25">
      <c r="L59">
        <f t="shared" si="2"/>
        <v>136</v>
      </c>
      <c r="M59">
        <f t="shared" si="5"/>
        <v>409</v>
      </c>
      <c r="N59">
        <f t="shared" si="6"/>
        <v>4.4771366684080292</v>
      </c>
      <c r="O59">
        <f t="shared" si="7"/>
        <v>0.64637778431119086</v>
      </c>
      <c r="P59">
        <f t="shared" si="3"/>
        <v>4.4771366684080292</v>
      </c>
      <c r="Q59">
        <f t="shared" si="3"/>
        <v>0.64637778431119086</v>
      </c>
      <c r="R59">
        <f t="shared" si="4"/>
        <v>6.9265014625758941</v>
      </c>
    </row>
    <row r="60" spans="12:18" x14ac:dyDescent="0.25">
      <c r="L60">
        <f t="shared" si="2"/>
        <v>137</v>
      </c>
      <c r="M60">
        <f t="shared" si="5"/>
        <v>410</v>
      </c>
      <c r="N60">
        <f t="shared" si="6"/>
        <v>4.5811499015958521</v>
      </c>
      <c r="O60">
        <f t="shared" si="7"/>
        <v>0.66499886586923762</v>
      </c>
      <c r="P60">
        <f t="shared" si="3"/>
        <v>4.5811499015958521</v>
      </c>
      <c r="Q60">
        <f t="shared" si="3"/>
        <v>0.66499886586923762</v>
      </c>
      <c r="R60">
        <f t="shared" si="4"/>
        <v>6.8889589692874287</v>
      </c>
    </row>
    <row r="61" spans="12:18" x14ac:dyDescent="0.25">
      <c r="L61">
        <f t="shared" si="2"/>
        <v>138</v>
      </c>
      <c r="M61">
        <f t="shared" si="5"/>
        <v>411</v>
      </c>
      <c r="N61">
        <f t="shared" si="6"/>
        <v>4.6870538640276731</v>
      </c>
      <c r="O61">
        <f t="shared" si="7"/>
        <v>0.68404377375719561</v>
      </c>
      <c r="P61">
        <f t="shared" si="3"/>
        <v>4.6870538640276731</v>
      </c>
      <c r="Q61">
        <f t="shared" si="3"/>
        <v>0.68404377375719561</v>
      </c>
      <c r="R61">
        <f t="shared" si="4"/>
        <v>6.8519794256491018</v>
      </c>
    </row>
    <row r="62" spans="12:18" x14ac:dyDescent="0.25">
      <c r="L62">
        <f t="shared" si="2"/>
        <v>139</v>
      </c>
      <c r="M62">
        <f t="shared" si="5"/>
        <v>412</v>
      </c>
      <c r="N62">
        <f t="shared" si="6"/>
        <v>4.7948721651382069</v>
      </c>
      <c r="O62">
        <f t="shared" si="7"/>
        <v>0.70351929034712002</v>
      </c>
      <c r="P62">
        <f t="shared" si="3"/>
        <v>4.7948721651382069</v>
      </c>
      <c r="Q62">
        <f t="shared" si="3"/>
        <v>0.70351929034712002</v>
      </c>
      <c r="R62">
        <f t="shared" si="4"/>
        <v>6.8155517992582579</v>
      </c>
    </row>
    <row r="63" spans="12:18" x14ac:dyDescent="0.25">
      <c r="L63">
        <f t="shared" si="2"/>
        <v>140</v>
      </c>
      <c r="M63">
        <f t="shared" si="5"/>
        <v>413</v>
      </c>
      <c r="N63">
        <f t="shared" si="6"/>
        <v>4.9046285387511119</v>
      </c>
      <c r="O63">
        <f t="shared" si="7"/>
        <v>0.7234322496079727</v>
      </c>
      <c r="P63">
        <f t="shared" si="3"/>
        <v>4.9046285387511119</v>
      </c>
      <c r="Q63">
        <f t="shared" si="3"/>
        <v>0.7234322496079727</v>
      </c>
      <c r="R63">
        <f t="shared" si="4"/>
        <v>6.7796653265166515</v>
      </c>
    </row>
    <row r="64" spans="12:18" x14ac:dyDescent="0.25">
      <c r="L64">
        <f t="shared" si="2"/>
        <v>141</v>
      </c>
      <c r="M64">
        <f t="shared" si="5"/>
        <v>414</v>
      </c>
      <c r="N64">
        <f t="shared" si="6"/>
        <v>5.0163468417850439</v>
      </c>
      <c r="O64">
        <f t="shared" si="7"/>
        <v>0.74378953667175696</v>
      </c>
      <c r="P64">
        <f t="shared" si="3"/>
        <v>5.0163468417850439</v>
      </c>
      <c r="Q64">
        <f t="shared" si="3"/>
        <v>0.74378953667175696</v>
      </c>
      <c r="R64">
        <f t="shared" si="4"/>
        <v>6.7443095048523336</v>
      </c>
    </row>
    <row r="65" spans="12:18" x14ac:dyDescent="0.25">
      <c r="L65">
        <f t="shared" si="2"/>
        <v>142</v>
      </c>
      <c r="M65">
        <f t="shared" si="5"/>
        <v>415</v>
      </c>
      <c r="N65">
        <f t="shared" si="6"/>
        <v>5.1300510529473726</v>
      </c>
      <c r="O65">
        <f t="shared" si="7"/>
        <v>0.76459808739150148</v>
      </c>
      <c r="P65">
        <f t="shared" si="3"/>
        <v>5.1300510529473726</v>
      </c>
      <c r="Q65">
        <f t="shared" si="3"/>
        <v>0.76459808739150148</v>
      </c>
      <c r="R65">
        <f t="shared" si="4"/>
        <v>6.7094740852007959</v>
      </c>
    </row>
    <row r="66" spans="12:18" x14ac:dyDescent="0.25">
      <c r="L66">
        <f t="shared" si="2"/>
        <v>143</v>
      </c>
      <c r="M66">
        <f t="shared" si="5"/>
        <v>416</v>
      </c>
      <c r="N66">
        <f t="shared" si="6"/>
        <v>5.245765271415733</v>
      </c>
      <c r="O66">
        <f t="shared" si="7"/>
        <v>0.78586488789126541</v>
      </c>
      <c r="P66">
        <f t="shared" si="3"/>
        <v>5.245765271415733</v>
      </c>
      <c r="Q66">
        <f t="shared" si="3"/>
        <v>0.78586488789126541</v>
      </c>
      <c r="R66">
        <f t="shared" si="4"/>
        <v>6.6751490647353524</v>
      </c>
    </row>
    <row r="67" spans="12:18" x14ac:dyDescent="0.25">
      <c r="L67">
        <f t="shared" si="2"/>
        <v>144</v>
      </c>
      <c r="M67">
        <f t="shared" si="5"/>
        <v>417</v>
      </c>
      <c r="N67">
        <f t="shared" ref="N67:N75" si="8">10^($D$4-$E$4/($M67+$F$4))</f>
        <v>5.3635137155077643</v>
      </c>
      <c r="O67">
        <f t="shared" ref="O67:O75" si="9">10^($D$5-$E$5/($M67+$F$5))</f>
        <v>0.80759697410832398</v>
      </c>
      <c r="P67">
        <f t="shared" si="3"/>
        <v>5.3635137155077643</v>
      </c>
      <c r="Q67">
        <f t="shared" si="3"/>
        <v>0.80759697410832398</v>
      </c>
      <c r="R67">
        <f t="shared" si="4"/>
        <v>6.6413246798375818</v>
      </c>
    </row>
    <row r="68" spans="12:18" x14ac:dyDescent="0.25">
      <c r="L68">
        <f t="shared" ref="L68:L75" si="10">M68-273</f>
        <v>145</v>
      </c>
      <c r="M68">
        <f t="shared" si="5"/>
        <v>418</v>
      </c>
      <c r="N68">
        <f t="shared" si="8"/>
        <v>5.4833207213393624</v>
      </c>
      <c r="O68">
        <f t="shared" si="9"/>
        <v>0.82980143132769746</v>
      </c>
      <c r="P68">
        <f t="shared" ref="P68:Q75" si="11">N68/$H$8</f>
        <v>5.4833207213393624</v>
      </c>
      <c r="Q68">
        <f t="shared" si="11"/>
        <v>0.82980143132769746</v>
      </c>
      <c r="R68">
        <f t="shared" ref="R68:R75" si="12">P68/Q68</f>
        <v>6.6079913992989248</v>
      </c>
    </row>
    <row r="69" spans="12:18" x14ac:dyDescent="0.25">
      <c r="L69">
        <f t="shared" si="10"/>
        <v>146</v>
      </c>
      <c r="M69">
        <f t="shared" ref="M69:M75" si="13">M68+1</f>
        <v>419</v>
      </c>
      <c r="N69">
        <f t="shared" si="8"/>
        <v>5.605210741471728</v>
      </c>
      <c r="O69">
        <f t="shared" si="9"/>
        <v>0.85248539370919652</v>
      </c>
      <c r="P69">
        <f t="shared" si="11"/>
        <v>5.605210741471728</v>
      </c>
      <c r="Q69">
        <f t="shared" si="11"/>
        <v>0.85248539370919652</v>
      </c>
      <c r="R69">
        <f t="shared" si="12"/>
        <v>6.5751399177447976</v>
      </c>
    </row>
    <row r="70" spans="12:18" x14ac:dyDescent="0.25">
      <c r="L70">
        <f t="shared" si="10"/>
        <v>147</v>
      </c>
      <c r="M70">
        <f t="shared" si="13"/>
        <v>420</v>
      </c>
      <c r="N70">
        <f t="shared" si="8"/>
        <v>5.7292083435475645</v>
      </c>
      <c r="O70">
        <f t="shared" si="9"/>
        <v>0.87565604380715567</v>
      </c>
      <c r="P70">
        <f t="shared" si="11"/>
        <v>5.7292083435475645</v>
      </c>
      <c r="Q70">
        <f t="shared" si="11"/>
        <v>0.87565604380715567</v>
      </c>
      <c r="R70">
        <f t="shared" si="12"/>
        <v>6.5427611492730113</v>
      </c>
    </row>
    <row r="71" spans="12:18" x14ac:dyDescent="0.25">
      <c r="L71">
        <f t="shared" si="10"/>
        <v>148</v>
      </c>
      <c r="M71">
        <f t="shared" si="13"/>
        <v>421</v>
      </c>
      <c r="N71">
        <f t="shared" si="8"/>
        <v>5.8553382089166757</v>
      </c>
      <c r="O71">
        <f t="shared" si="9"/>
        <v>0.89932061208299618</v>
      </c>
      <c r="P71">
        <f t="shared" si="11"/>
        <v>5.8553382089166757</v>
      </c>
      <c r="Q71">
        <f t="shared" si="11"/>
        <v>0.89932061208299618</v>
      </c>
      <c r="R71">
        <f t="shared" si="12"/>
        <v>6.510846221298773</v>
      </c>
    </row>
    <row r="72" spans="12:18" x14ac:dyDescent="0.25">
      <c r="L72">
        <f t="shared" si="10"/>
        <v>149</v>
      </c>
      <c r="M72">
        <f t="shared" si="13"/>
        <v>422</v>
      </c>
      <c r="N72">
        <f t="shared" si="8"/>
        <v>5.983625131251304</v>
      </c>
      <c r="O72">
        <f t="shared" si="9"/>
        <v>0.92348637641082709</v>
      </c>
      <c r="P72">
        <f t="shared" si="11"/>
        <v>5.983625131251304</v>
      </c>
      <c r="Q72">
        <f t="shared" si="11"/>
        <v>0.92348637641082709</v>
      </c>
      <c r="R72">
        <f t="shared" si="12"/>
        <v>6.4793864685984239</v>
      </c>
    </row>
    <row r="73" spans="12:18" x14ac:dyDescent="0.25">
      <c r="L73">
        <f t="shared" si="10"/>
        <v>150</v>
      </c>
      <c r="M73">
        <f t="shared" si="13"/>
        <v>423</v>
      </c>
      <c r="N73">
        <f t="shared" si="8"/>
        <v>6.1140940151515535</v>
      </c>
      <c r="O73">
        <f t="shared" si="9"/>
        <v>0.94816066157620682</v>
      </c>
      <c r="P73">
        <f t="shared" si="11"/>
        <v>6.1140940151515535</v>
      </c>
      <c r="Q73">
        <f t="shared" si="11"/>
        <v>0.94816066157620682</v>
      </c>
      <c r="R73">
        <f t="shared" si="12"/>
        <v>6.4483734275450573</v>
      </c>
    </row>
    <row r="74" spans="12:18" x14ac:dyDescent="0.25">
      <c r="L74">
        <f t="shared" si="10"/>
        <v>151</v>
      </c>
      <c r="M74">
        <f t="shared" si="13"/>
        <v>424</v>
      </c>
      <c r="N74">
        <f t="shared" si="8"/>
        <v>6.2467698747410818</v>
      </c>
      <c r="O74">
        <f t="shared" si="9"/>
        <v>0.9733508387682831</v>
      </c>
      <c r="P74">
        <f t="shared" si="11"/>
        <v>6.2467698747410818</v>
      </c>
      <c r="Q74">
        <f t="shared" si="11"/>
        <v>0.9733508387682831</v>
      </c>
      <c r="R74">
        <f t="shared" si="12"/>
        <v>6.4177988305285618</v>
      </c>
    </row>
    <row r="75" spans="12:18" x14ac:dyDescent="0.25">
      <c r="L75">
        <f t="shared" si="10"/>
        <v>152</v>
      </c>
      <c r="M75">
        <f t="shared" si="13"/>
        <v>425</v>
      </c>
      <c r="N75">
        <f t="shared" si="8"/>
        <v>6.3816778322535432</v>
      </c>
      <c r="O75">
        <f t="shared" si="9"/>
        <v>0.99906432506542264</v>
      </c>
      <c r="P75">
        <f t="shared" si="11"/>
        <v>6.3816778322535432</v>
      </c>
      <c r="Q75">
        <f t="shared" si="11"/>
        <v>0.99906432506542264</v>
      </c>
      <c r="R75">
        <f t="shared" si="12"/>
        <v>6.3876546005540193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110"/>
  <sheetViews>
    <sheetView topLeftCell="A4" zoomScale="85" zoomScaleNormal="85" workbookViewId="0">
      <selection activeCell="J9" sqref="J9"/>
    </sheetView>
  </sheetViews>
  <sheetFormatPr defaultColWidth="11" defaultRowHeight="15.75" x14ac:dyDescent="0.25"/>
  <cols>
    <col min="1" max="16384" width="11" style="29"/>
  </cols>
  <sheetData>
    <row r="1" spans="1:10" x14ac:dyDescent="0.25">
      <c r="B1" s="29" t="s">
        <v>241</v>
      </c>
      <c r="C1" s="29" t="s">
        <v>17</v>
      </c>
      <c r="D1" s="29" t="s">
        <v>33</v>
      </c>
      <c r="E1" s="29" t="s">
        <v>34</v>
      </c>
    </row>
    <row r="2" spans="1:10" x14ac:dyDescent="0.25">
      <c r="A2" s="29" t="s">
        <v>119</v>
      </c>
      <c r="B2" s="29" t="s">
        <v>294</v>
      </c>
      <c r="C2" s="29">
        <v>4.6036200000000003</v>
      </c>
      <c r="D2" s="29">
        <v>1701.0730000000001</v>
      </c>
      <c r="E2" s="29">
        <v>20.806000000000001</v>
      </c>
    </row>
    <row r="3" spans="1:10" x14ac:dyDescent="0.25">
      <c r="A3" s="29" t="s">
        <v>178</v>
      </c>
      <c r="B3" s="29" t="s">
        <v>243</v>
      </c>
      <c r="C3" s="29">
        <v>4.0541900000000002</v>
      </c>
      <c r="D3" s="29">
        <v>1455.8109999999999</v>
      </c>
      <c r="E3" s="29">
        <v>-65.947999999999993</v>
      </c>
    </row>
    <row r="5" spans="1:10" x14ac:dyDescent="0.25">
      <c r="A5" s="29" t="s">
        <v>244</v>
      </c>
    </row>
    <row r="6" spans="1:10" x14ac:dyDescent="0.25">
      <c r="A6" s="29" t="s">
        <v>245</v>
      </c>
      <c r="E6" s="29" t="s">
        <v>295</v>
      </c>
      <c r="F6" s="29">
        <v>1</v>
      </c>
      <c r="G6" s="29" t="s">
        <v>247</v>
      </c>
    </row>
    <row r="9" spans="1:10" x14ac:dyDescent="0.25">
      <c r="A9" s="29" t="s">
        <v>296</v>
      </c>
      <c r="B9" s="29" t="s">
        <v>14</v>
      </c>
      <c r="C9" s="29" t="s">
        <v>297</v>
      </c>
      <c r="D9" s="29" t="s">
        <v>298</v>
      </c>
      <c r="E9" s="29" t="s">
        <v>32</v>
      </c>
      <c r="F9" s="29" t="s">
        <v>299</v>
      </c>
      <c r="G9" s="29" t="s">
        <v>300</v>
      </c>
      <c r="I9" s="29" t="s">
        <v>301</v>
      </c>
      <c r="J9" s="29" t="s">
        <v>302</v>
      </c>
    </row>
    <row r="10" spans="1:10" x14ac:dyDescent="0.25">
      <c r="A10" s="29">
        <v>0</v>
      </c>
      <c r="B10" s="29">
        <v>425.03600528921527</v>
      </c>
      <c r="C10" s="29">
        <f>10^($C$2-$D$2/(B10+$E$2))</f>
        <v>6.1404948716152825</v>
      </c>
      <c r="D10" s="29">
        <f>10^($C$3-$D$3/(B10+$E$3))</f>
        <v>1.0000000010483092</v>
      </c>
      <c r="E10" s="29">
        <f>C10*$A10+D10*(1-$A10)</f>
        <v>1.0000000010483092</v>
      </c>
      <c r="F10" s="29">
        <f>$F$6-E10</f>
        <v>-1.0483092172108854E-9</v>
      </c>
      <c r="G10" s="29">
        <f>A10*C10/E10</f>
        <v>0</v>
      </c>
      <c r="I10" s="29">
        <f>B10-273</f>
        <v>152.03600528921527</v>
      </c>
      <c r="J10" s="29" t="e">
        <f>(G10/A10)/((1-G10)/(1-A10))</f>
        <v>#DIV/0!</v>
      </c>
    </row>
    <row r="11" spans="1:10" x14ac:dyDescent="0.25">
      <c r="A11" s="29">
        <f>A10+0.01</f>
        <v>0.01</v>
      </c>
      <c r="B11" s="29">
        <v>423.09048540221659</v>
      </c>
      <c r="C11" s="29">
        <f t="shared" ref="C11:C74" si="0">10^($C$2-$D$2/(B11+$E$2))</f>
        <v>5.9085521882323446</v>
      </c>
      <c r="D11" s="29">
        <f t="shared" ref="D11:D74" si="1">10^($C$3-$D$3/(B11+$E$3))</f>
        <v>0.95041866588915214</v>
      </c>
      <c r="E11" s="29">
        <f t="shared" ref="E11:E74" si="2">C11*$A11+D11*(1-$A11)</f>
        <v>1.000000001112584</v>
      </c>
      <c r="F11" s="29">
        <f t="shared" ref="F11:F74" si="3">$F$6-E11</f>
        <v>-1.1125840249093244E-9</v>
      </c>
      <c r="G11" s="29">
        <f t="shared" ref="G11:G74" si="4">A11*C11/E11</f>
        <v>5.9085521816585836E-2</v>
      </c>
      <c r="I11" s="29">
        <f t="shared" ref="I11:I74" si="5">B11-273</f>
        <v>150.09048540221659</v>
      </c>
      <c r="J11" s="29">
        <f t="shared" ref="J11:J74" si="6">(G11/A11)/((1-G11)/(1-A11))</f>
        <v>6.2167888745163413</v>
      </c>
    </row>
    <row r="12" spans="1:10" x14ac:dyDescent="0.25">
      <c r="A12" s="29">
        <f>A11+0.01</f>
        <v>0.02</v>
      </c>
      <c r="B12" s="29">
        <v>421.20675752206921</v>
      </c>
      <c r="C12" s="29">
        <f t="shared" si="0"/>
        <v>5.6904895625412095</v>
      </c>
      <c r="D12" s="29">
        <f t="shared" si="1"/>
        <v>0.90427572441199633</v>
      </c>
      <c r="E12" s="29">
        <f t="shared" si="2"/>
        <v>1.0000000011745807</v>
      </c>
      <c r="F12" s="29">
        <f t="shared" si="3"/>
        <v>-1.1745806549612325E-9</v>
      </c>
      <c r="G12" s="29">
        <f t="shared" si="4"/>
        <v>0.11380979111714541</v>
      </c>
      <c r="I12" s="29">
        <f t="shared" si="5"/>
        <v>148.20675752206921</v>
      </c>
      <c r="J12" s="29">
        <f t="shared" si="6"/>
        <v>6.2928699830369101</v>
      </c>
    </row>
    <row r="13" spans="1:10" x14ac:dyDescent="0.25">
      <c r="A13" s="29">
        <f t="shared" ref="A13:A76" si="7">A12+0.01</f>
        <v>0.03</v>
      </c>
      <c r="B13" s="29">
        <v>419.38208626481236</v>
      </c>
      <c r="C13" s="29">
        <f t="shared" si="0"/>
        <v>5.4852562409936381</v>
      </c>
      <c r="D13" s="29">
        <f t="shared" si="1"/>
        <v>0.86128073608684574</v>
      </c>
      <c r="E13" s="29">
        <f t="shared" si="2"/>
        <v>1.0000000012340493</v>
      </c>
      <c r="F13" s="29">
        <f t="shared" si="3"/>
        <v>-1.2340493071860692E-9</v>
      </c>
      <c r="G13" s="29">
        <f t="shared" si="4"/>
        <v>0.16455768702673682</v>
      </c>
      <c r="I13" s="29">
        <f t="shared" si="5"/>
        <v>146.38208626481236</v>
      </c>
      <c r="J13" s="29">
        <f t="shared" si="6"/>
        <v>6.3687204545122222</v>
      </c>
    </row>
    <row r="14" spans="1:10" x14ac:dyDescent="0.25">
      <c r="A14" s="29">
        <f t="shared" si="7"/>
        <v>0.04</v>
      </c>
      <c r="B14" s="29">
        <v>417.61386698845445</v>
      </c>
      <c r="C14" s="29">
        <f t="shared" si="0"/>
        <v>5.2918931631500943</v>
      </c>
      <c r="D14" s="29">
        <f t="shared" si="1"/>
        <v>0.82117111954667488</v>
      </c>
      <c r="E14" s="29">
        <f t="shared" si="2"/>
        <v>1.0000000012908117</v>
      </c>
      <c r="F14" s="29">
        <f t="shared" si="3"/>
        <v>-1.2908116797660796E-9</v>
      </c>
      <c r="G14" s="29">
        <f t="shared" si="4"/>
        <v>0.21167572625277029</v>
      </c>
      <c r="I14" s="29">
        <f t="shared" si="5"/>
        <v>144.61386698845445</v>
      </c>
      <c r="J14" s="29">
        <f t="shared" si="6"/>
        <v>6.444324498493649</v>
      </c>
    </row>
    <row r="15" spans="1:10" x14ac:dyDescent="0.25">
      <c r="A15" s="29">
        <f t="shared" si="7"/>
        <v>0.05</v>
      </c>
      <c r="B15" s="29">
        <v>415.89962080825967</v>
      </c>
      <c r="C15" s="29">
        <f t="shared" si="0"/>
        <v>5.1095242357925024</v>
      </c>
      <c r="D15" s="29">
        <f t="shared" si="1"/>
        <v>0.78370925216327658</v>
      </c>
      <c r="E15" s="29">
        <f t="shared" si="2"/>
        <v>1.0000000013447379</v>
      </c>
      <c r="F15" s="29">
        <f t="shared" si="3"/>
        <v>-1.3447378766073825E-9</v>
      </c>
      <c r="G15" s="29">
        <f t="shared" si="4"/>
        <v>0.25547621144607663</v>
      </c>
      <c r="I15" s="29">
        <f t="shared" si="5"/>
        <v>142.89962080825967</v>
      </c>
      <c r="J15" s="29">
        <f t="shared" si="6"/>
        <v>6.5196681316300111</v>
      </c>
    </row>
    <row r="16" spans="1:10" x14ac:dyDescent="0.25">
      <c r="A16" s="29">
        <f t="shared" si="7"/>
        <v>6.0000000000000005E-2</v>
      </c>
      <c r="B16" s="29">
        <v>414.23698954519665</v>
      </c>
      <c r="C16" s="29">
        <f t="shared" si="0"/>
        <v>4.9373484753713663</v>
      </c>
      <c r="D16" s="29">
        <f t="shared" si="1"/>
        <v>0.74867988603560776</v>
      </c>
      <c r="E16" s="29">
        <f t="shared" si="2"/>
        <v>1.0000000013957533</v>
      </c>
      <c r="F16" s="29">
        <f t="shared" si="3"/>
        <v>-1.3957532907227232E-9</v>
      </c>
      <c r="G16" s="29">
        <f t="shared" si="4"/>
        <v>0.29624090810880283</v>
      </c>
      <c r="I16" s="29">
        <f t="shared" si="5"/>
        <v>141.23698954519665</v>
      </c>
      <c r="J16" s="29">
        <f t="shared" si="6"/>
        <v>6.5947390432985982</v>
      </c>
    </row>
    <row r="17" spans="1:10" x14ac:dyDescent="0.25">
      <c r="A17" s="29">
        <f t="shared" si="7"/>
        <v>7.0000000000000007E-2</v>
      </c>
      <c r="B17" s="29">
        <v>412.62373065335657</v>
      </c>
      <c r="C17" s="29">
        <f t="shared" si="0"/>
        <v>4.7746329318747502</v>
      </c>
      <c r="D17" s="29">
        <f t="shared" si="1"/>
        <v>0.71588784538987971</v>
      </c>
      <c r="E17" s="29">
        <f t="shared" si="2"/>
        <v>1.0000000014438206</v>
      </c>
      <c r="F17" s="29">
        <f t="shared" si="3"/>
        <v>-1.4438206186184743E-9</v>
      </c>
      <c r="G17" s="29">
        <f t="shared" si="4"/>
        <v>0.3342243047486726</v>
      </c>
      <c r="I17" s="29">
        <f t="shared" si="5"/>
        <v>139.62373065335657</v>
      </c>
      <c r="J17" s="29">
        <f t="shared" si="6"/>
        <v>6.6695264665017975</v>
      </c>
    </row>
    <row r="18" spans="1:10" x14ac:dyDescent="0.25">
      <c r="A18" s="29">
        <f t="shared" si="7"/>
        <v>0.08</v>
      </c>
      <c r="B18" s="29">
        <v>411.0577121667618</v>
      </c>
      <c r="C18" s="29">
        <f t="shared" si="0"/>
        <v>4.6207063155971078</v>
      </c>
      <c r="D18" s="29">
        <f t="shared" si="1"/>
        <v>0.68515597417518947</v>
      </c>
      <c r="E18" s="29">
        <f t="shared" si="2"/>
        <v>1.000000001488943</v>
      </c>
      <c r="F18" s="29">
        <f t="shared" si="3"/>
        <v>-1.4889429689191047E-9</v>
      </c>
      <c r="G18" s="29">
        <f t="shared" si="4"/>
        <v>0.36965650469737116</v>
      </c>
      <c r="I18" s="29">
        <f t="shared" si="5"/>
        <v>138.0577121667618</v>
      </c>
      <c r="J18" s="29">
        <f t="shared" si="6"/>
        <v>6.7440210547089618</v>
      </c>
    </row>
    <row r="19" spans="1:10" x14ac:dyDescent="0.25">
      <c r="A19" s="29">
        <f t="shared" si="7"/>
        <v>0.09</v>
      </c>
      <c r="B19" s="29">
        <v>409.53690770049542</v>
      </c>
      <c r="C19" s="29">
        <f t="shared" si="0"/>
        <v>4.4749532559269189</v>
      </c>
      <c r="D19" s="29">
        <f t="shared" si="1"/>
        <v>0.65632330604146194</v>
      </c>
      <c r="E19" s="29">
        <f t="shared" si="2"/>
        <v>1.000000001531153</v>
      </c>
      <c r="F19" s="29">
        <f t="shared" si="3"/>
        <v>-1.5311529821815384E-9</v>
      </c>
      <c r="G19" s="29">
        <f t="shared" si="4"/>
        <v>0.40274579241675723</v>
      </c>
      <c r="I19" s="29">
        <f t="shared" si="5"/>
        <v>136.53690770049542</v>
      </c>
      <c r="J19" s="29">
        <f t="shared" si="6"/>
        <v>6.8182147650935665</v>
      </c>
    </row>
    <row r="20" spans="1:10" x14ac:dyDescent="0.25">
      <c r="A20" s="29">
        <f t="shared" si="7"/>
        <v>9.9999999999999992E-2</v>
      </c>
      <c r="B20" s="29">
        <v>408.05939153572189</v>
      </c>
      <c r="C20" s="29">
        <f t="shared" si="0"/>
        <v>4.336809128228662</v>
      </c>
      <c r="D20" s="29">
        <f t="shared" si="1"/>
        <v>0.62924343194182841</v>
      </c>
      <c r="E20" s="29">
        <f t="shared" si="2"/>
        <v>1.0000000015705117</v>
      </c>
      <c r="F20" s="29">
        <f t="shared" si="3"/>
        <v>-1.5705117206721297E-9</v>
      </c>
      <c r="G20" s="29">
        <f t="shared" si="4"/>
        <v>0.43368091214176524</v>
      </c>
      <c r="I20" s="29">
        <f t="shared" si="5"/>
        <v>135.05939153572189</v>
      </c>
      <c r="J20" s="29">
        <f t="shared" si="6"/>
        <v>6.892100748426385</v>
      </c>
    </row>
    <row r="21" spans="1:10" x14ac:dyDescent="0.25">
      <c r="A21" s="29">
        <f t="shared" si="7"/>
        <v>0.10999999999999999</v>
      </c>
      <c r="B21" s="29">
        <v>406.62333381308559</v>
      </c>
      <c r="C21" s="29">
        <f t="shared" si="0"/>
        <v>4.2057553912209373</v>
      </c>
      <c r="D21" s="29">
        <f t="shared" si="1"/>
        <v>0.60378304334021748</v>
      </c>
      <c r="E21" s="29">
        <f t="shared" si="2"/>
        <v>1.0000000016070967</v>
      </c>
      <c r="F21" s="29">
        <f t="shared" si="3"/>
        <v>-1.6070966779579976E-9</v>
      </c>
      <c r="G21" s="29">
        <f t="shared" si="4"/>
        <v>0.46263309229080696</v>
      </c>
      <c r="I21" s="29">
        <f t="shared" si="5"/>
        <v>133.62333381308559</v>
      </c>
      <c r="J21" s="29">
        <f t="shared" si="6"/>
        <v>6.9656732457309065</v>
      </c>
    </row>
    <row r="22" spans="1:10" x14ac:dyDescent="0.25">
      <c r="A22" s="29">
        <f t="shared" si="7"/>
        <v>0.11999999999999998</v>
      </c>
      <c r="B22" s="29">
        <v>405.22699585427222</v>
      </c>
      <c r="C22" s="29">
        <f t="shared" si="0"/>
        <v>4.081315382999545</v>
      </c>
      <c r="D22" s="29">
        <f t="shared" si="1"/>
        <v>0.57982063145574758</v>
      </c>
      <c r="E22" s="29">
        <f t="shared" si="2"/>
        <v>1.0000000016410033</v>
      </c>
      <c r="F22" s="29">
        <f t="shared" si="3"/>
        <v>-1.6410033332192597E-9</v>
      </c>
      <c r="G22" s="29">
        <f t="shared" si="4"/>
        <v>0.48975784515625104</v>
      </c>
      <c r="I22" s="29">
        <f t="shared" si="5"/>
        <v>132.22699585427222</v>
      </c>
      <c r="J22" s="29">
        <f t="shared" si="6"/>
        <v>7.0389274916841806</v>
      </c>
    </row>
    <row r="23" spans="1:10" x14ac:dyDescent="0.25">
      <c r="A23" s="29">
        <f t="shared" si="7"/>
        <v>0.12999999999999998</v>
      </c>
      <c r="B23" s="29">
        <v>403.86872562725387</v>
      </c>
      <c r="C23" s="29">
        <f t="shared" si="0"/>
        <v>3.9630505290669054</v>
      </c>
      <c r="D23" s="29">
        <f t="shared" si="1"/>
        <v>0.55724532516510561</v>
      </c>
      <c r="E23" s="29">
        <f t="shared" si="2"/>
        <v>1.0000000016723394</v>
      </c>
      <c r="F23" s="29">
        <f t="shared" si="3"/>
        <v>-1.6723393780893048E-9</v>
      </c>
      <c r="G23" s="29">
        <f t="shared" si="4"/>
        <v>0.5151965679171141</v>
      </c>
      <c r="I23" s="29">
        <f t="shared" si="5"/>
        <v>130.86872562725387</v>
      </c>
      <c r="J23" s="29">
        <f t="shared" si="6"/>
        <v>7.1118596246504149</v>
      </c>
    </row>
    <row r="24" spans="1:10" x14ac:dyDescent="0.25">
      <c r="A24" s="29">
        <f t="shared" si="7"/>
        <v>0.13999999999999999</v>
      </c>
      <c r="B24" s="29">
        <v>402.54695336693413</v>
      </c>
      <c r="C24" s="29">
        <f t="shared" si="0"/>
        <v>3.8505569204500998</v>
      </c>
      <c r="D24" s="29">
        <f t="shared" si="1"/>
        <v>0.53595585213744834</v>
      </c>
      <c r="E24" s="29">
        <f t="shared" si="2"/>
        <v>1.0000000017012196</v>
      </c>
      <c r="F24" s="29">
        <f t="shared" si="3"/>
        <v>-1.701219609628879E-9</v>
      </c>
      <c r="G24" s="29">
        <f t="shared" si="4"/>
        <v>0.539077967945924</v>
      </c>
      <c r="I24" s="29">
        <f t="shared" si="5"/>
        <v>129.54695336693413</v>
      </c>
      <c r="J24" s="29">
        <f t="shared" si="6"/>
        <v>7.1844666031608275</v>
      </c>
    </row>
    <row r="25" spans="1:10" x14ac:dyDescent="0.25">
      <c r="A25" s="29">
        <f t="shared" si="7"/>
        <v>0.15</v>
      </c>
      <c r="B25" s="29">
        <v>401.26018735956956</v>
      </c>
      <c r="C25" s="29">
        <f t="shared" si="0"/>
        <v>3.7434622242588786</v>
      </c>
      <c r="D25" s="29">
        <f t="shared" si="1"/>
        <v>0.51585960951639387</v>
      </c>
      <c r="E25" s="29">
        <f t="shared" si="2"/>
        <v>1.0000000017277666</v>
      </c>
      <c r="F25" s="29">
        <f t="shared" si="3"/>
        <v>-1.7277665964599009E-9</v>
      </c>
      <c r="G25" s="29">
        <f t="shared" si="4"/>
        <v>0.56151933266865739</v>
      </c>
      <c r="I25" s="29">
        <f t="shared" si="5"/>
        <v>128.26018735956956</v>
      </c>
      <c r="J25" s="29">
        <f t="shared" si="6"/>
        <v>7.2567461285993771</v>
      </c>
    </row>
    <row r="26" spans="1:10" x14ac:dyDescent="0.25">
      <c r="A26" s="29">
        <f t="shared" si="7"/>
        <v>0.16</v>
      </c>
      <c r="B26" s="29">
        <v>400.0070098964502</v>
      </c>
      <c r="C26" s="29">
        <f t="shared" si="0"/>
        <v>3.6414228928895089</v>
      </c>
      <c r="D26" s="29">
        <f t="shared" si="1"/>
        <v>0.49687183201164592</v>
      </c>
      <c r="E26" s="29">
        <f t="shared" si="2"/>
        <v>1.000000001752104</v>
      </c>
      <c r="F26" s="29">
        <f t="shared" si="3"/>
        <v>-1.7521040174273139E-9</v>
      </c>
      <c r="G26" s="29">
        <f t="shared" si="4"/>
        <v>0.58262766184149717</v>
      </c>
      <c r="I26" s="29">
        <f t="shared" si="5"/>
        <v>127.0070098964502</v>
      </c>
      <c r="J26" s="29">
        <f t="shared" si="6"/>
        <v>7.3286965738161616</v>
      </c>
    </row>
    <row r="27" spans="1:10" x14ac:dyDescent="0.25">
      <c r="A27" s="29">
        <f t="shared" si="7"/>
        <v>0.17</v>
      </c>
      <c r="B27" s="29">
        <v>398.78607339985081</v>
      </c>
      <c r="C27" s="29">
        <f t="shared" si="0"/>
        <v>3.5441216415554466</v>
      </c>
      <c r="D27" s="29">
        <f t="shared" si="1"/>
        <v>0.47891484663847406</v>
      </c>
      <c r="E27" s="29">
        <f t="shared" si="2"/>
        <v>1.0000000017743593</v>
      </c>
      <c r="F27" s="29">
        <f t="shared" si="3"/>
        <v>-1.7743593261343449E-9</v>
      </c>
      <c r="G27" s="29">
        <f t="shared" si="4"/>
        <v>0.60250067799537321</v>
      </c>
      <c r="I27" s="29">
        <f t="shared" si="5"/>
        <v>125.78607339985081</v>
      </c>
      <c r="J27" s="29">
        <f t="shared" si="6"/>
        <v>7.4003169173639192</v>
      </c>
    </row>
    <row r="28" spans="1:10" x14ac:dyDescent="0.25">
      <c r="A28" s="29">
        <f t="shared" si="7"/>
        <v>0.18000000000000002</v>
      </c>
      <c r="B28" s="29">
        <v>397.59609672217863</v>
      </c>
      <c r="C28" s="29">
        <f t="shared" si="0"/>
        <v>3.4512651669551344</v>
      </c>
      <c r="D28" s="29">
        <f t="shared" si="1"/>
        <v>0.4619174045643048</v>
      </c>
      <c r="E28" s="29">
        <f t="shared" si="2"/>
        <v>1.0000000017946542</v>
      </c>
      <c r="F28" s="29">
        <f t="shared" si="3"/>
        <v>-1.7946542030244927E-9</v>
      </c>
      <c r="G28" s="29">
        <f t="shared" si="4"/>
        <v>0.62122772893703526</v>
      </c>
      <c r="I28" s="29">
        <f t="shared" si="5"/>
        <v>124.59609672217863</v>
      </c>
      <c r="J28" s="29">
        <f t="shared" si="6"/>
        <v>7.4716066830399619</v>
      </c>
    </row>
    <row r="29" spans="1:10" x14ac:dyDescent="0.25">
      <c r="A29" s="29">
        <f t="shared" si="7"/>
        <v>0.19000000000000003</v>
      </c>
      <c r="B29" s="29">
        <v>396.43586161751421</v>
      </c>
      <c r="C29" s="29">
        <f t="shared" si="0"/>
        <v>3.3625820827012016</v>
      </c>
      <c r="D29" s="29">
        <f t="shared" si="1"/>
        <v>0.44581408160479719</v>
      </c>
      <c r="E29" s="29">
        <f t="shared" si="2"/>
        <v>1.0000000018131141</v>
      </c>
      <c r="F29" s="29">
        <f t="shared" si="3"/>
        <v>-1.8131141032995401E-9</v>
      </c>
      <c r="G29" s="29">
        <f t="shared" si="4"/>
        <v>0.63889059455484687</v>
      </c>
      <c r="I29" s="29">
        <f t="shared" si="5"/>
        <v>123.43586161751421</v>
      </c>
      <c r="J29" s="29">
        <f t="shared" si="6"/>
        <v>7.5425658844083916</v>
      </c>
    </row>
    <row r="30" spans="1:10" x14ac:dyDescent="0.25">
      <c r="A30" s="29">
        <f t="shared" si="7"/>
        <v>0.20000000000000004</v>
      </c>
      <c r="B30" s="29">
        <v>395.30420938332162</v>
      </c>
      <c r="C30" s="29">
        <f t="shared" si="0"/>
        <v>3.2778210496629687</v>
      </c>
      <c r="D30" s="29">
        <f t="shared" si="1"/>
        <v>0.4305447398715791</v>
      </c>
      <c r="E30" s="29">
        <f t="shared" si="2"/>
        <v>1.0000000018298572</v>
      </c>
      <c r="F30" s="29">
        <f t="shared" si="3"/>
        <v>-1.8298571546893072E-9</v>
      </c>
      <c r="G30" s="29">
        <f t="shared" si="4"/>
        <v>0.65556420873300503</v>
      </c>
      <c r="I30" s="29">
        <f t="shared" si="5"/>
        <v>122.30420938332162</v>
      </c>
      <c r="J30" s="29">
        <f t="shared" si="6"/>
        <v>7.6131949739779934</v>
      </c>
    </row>
    <row r="31" spans="1:10" x14ac:dyDescent="0.25">
      <c r="A31" s="29">
        <f t="shared" si="7"/>
        <v>0.21000000000000005</v>
      </c>
      <c r="B31" s="29">
        <v>394.20003766896565</v>
      </c>
      <c r="C31" s="29">
        <f t="shared" si="0"/>
        <v>3.1967490816431048</v>
      </c>
      <c r="D31" s="29">
        <f t="shared" si="1"/>
        <v>0.41605404392398709</v>
      </c>
      <c r="E31" s="29">
        <f t="shared" si="2"/>
        <v>1.0000000018450019</v>
      </c>
      <c r="F31" s="29">
        <f t="shared" si="3"/>
        <v>-1.8450019290128239E-9</v>
      </c>
      <c r="G31" s="29">
        <f t="shared" si="4"/>
        <v>0.67131730590647043</v>
      </c>
      <c r="I31" s="29">
        <f t="shared" si="5"/>
        <v>121.20003766896565</v>
      </c>
      <c r="J31" s="29">
        <f t="shared" si="6"/>
        <v>7.6834947967172011</v>
      </c>
    </row>
    <row r="32" spans="1:10" x14ac:dyDescent="0.25">
      <c r="A32" s="29">
        <f t="shared" si="7"/>
        <v>0.22000000000000006</v>
      </c>
      <c r="B32" s="29">
        <v>393.12229744677381</v>
      </c>
      <c r="C32" s="29">
        <f t="shared" si="0"/>
        <v>3.1191500088428965</v>
      </c>
      <c r="D32" s="29">
        <f t="shared" si="1"/>
        <v>0.40229102552976698</v>
      </c>
      <c r="E32" s="29">
        <f t="shared" si="2"/>
        <v>1.0000000018586557</v>
      </c>
      <c r="F32" s="29">
        <f t="shared" si="3"/>
        <v>-1.858655673814269E-9</v>
      </c>
      <c r="G32" s="29">
        <f t="shared" si="4"/>
        <v>0.68621300067000379</v>
      </c>
      <c r="I32" s="29">
        <f t="shared" si="5"/>
        <v>120.12229744677381</v>
      </c>
      <c r="J32" s="29">
        <f t="shared" si="6"/>
        <v>7.7534665475954032</v>
      </c>
    </row>
    <row r="33" spans="1:10" x14ac:dyDescent="0.25">
      <c r="A33" s="29">
        <f t="shared" si="7"/>
        <v>0.23000000000000007</v>
      </c>
      <c r="B33" s="29">
        <v>392.06999014069231</v>
      </c>
      <c r="C33" s="29">
        <f t="shared" si="0"/>
        <v>3.044823083393601</v>
      </c>
      <c r="D33" s="29">
        <f t="shared" si="1"/>
        <v>0.38920869180571405</v>
      </c>
      <c r="E33" s="29">
        <f t="shared" si="2"/>
        <v>1.0000000018709283</v>
      </c>
      <c r="F33" s="29">
        <f t="shared" si="3"/>
        <v>-1.8709283011730804E-9</v>
      </c>
      <c r="G33" s="29">
        <f t="shared" si="4"/>
        <v>0.70030930787029999</v>
      </c>
      <c r="I33" s="29">
        <f t="shared" si="5"/>
        <v>119.06999014069231</v>
      </c>
      <c r="J33" s="29">
        <f t="shared" si="6"/>
        <v>7.823111732852877</v>
      </c>
    </row>
    <row r="34" spans="1:10" x14ac:dyDescent="0.25">
      <c r="A34" s="29">
        <f t="shared" si="7"/>
        <v>0.24000000000000007</v>
      </c>
      <c r="B34" s="29">
        <v>391.04216490707222</v>
      </c>
      <c r="C34" s="29">
        <f t="shared" si="0"/>
        <v>2.9735817128628814</v>
      </c>
      <c r="D34" s="29">
        <f t="shared" si="1"/>
        <v>0.37676367209845812</v>
      </c>
      <c r="E34" s="29">
        <f t="shared" si="2"/>
        <v>1.00000000188192</v>
      </c>
      <c r="F34" s="29">
        <f t="shared" si="3"/>
        <v>-1.8819199532060793E-9</v>
      </c>
      <c r="G34" s="29">
        <f t="shared" si="4"/>
        <v>0.71365960974404152</v>
      </c>
      <c r="I34" s="29">
        <f t="shared" si="5"/>
        <v>118.04216490707222</v>
      </c>
      <c r="J34" s="29">
        <f t="shared" si="6"/>
        <v>7.8924321347144293</v>
      </c>
    </row>
    <row r="35" spans="1:10" x14ac:dyDescent="0.25">
      <c r="A35" s="29">
        <f t="shared" si="7"/>
        <v>0.25000000000000006</v>
      </c>
      <c r="B35" s="29">
        <v>390.03791606176361</v>
      </c>
      <c r="C35" s="29">
        <f t="shared" si="0"/>
        <v>2.9052523091063525</v>
      </c>
      <c r="D35" s="29">
        <f t="shared" si="1"/>
        <v>0.3649158994868526</v>
      </c>
      <c r="E35" s="29">
        <f t="shared" si="2"/>
        <v>1.0000000018917277</v>
      </c>
      <c r="F35" s="29">
        <f t="shared" si="3"/>
        <v>-1.8917276634056179E-9</v>
      </c>
      <c r="G35" s="29">
        <f t="shared" si="4"/>
        <v>0.72631307590260163</v>
      </c>
      <c r="I35" s="29">
        <f t="shared" si="5"/>
        <v>117.03791606176361</v>
      </c>
      <c r="J35" s="29">
        <f t="shared" si="6"/>
        <v>7.9614297792771946</v>
      </c>
    </row>
    <row r="36" spans="1:10" x14ac:dyDescent="0.25">
      <c r="A36" s="29">
        <f t="shared" si="7"/>
        <v>0.26000000000000006</v>
      </c>
      <c r="B36" s="29">
        <v>389.05638064746068</v>
      </c>
      <c r="C36" s="29">
        <f t="shared" si="0"/>
        <v>2.8396732411407655</v>
      </c>
      <c r="D36" s="29">
        <f t="shared" si="1"/>
        <v>0.35362832324843346</v>
      </c>
      <c r="E36" s="29">
        <f t="shared" si="2"/>
        <v>1.00000000190044</v>
      </c>
      <c r="F36" s="29">
        <f t="shared" si="3"/>
        <v>-1.9004400275690614E-9</v>
      </c>
      <c r="G36" s="29">
        <f t="shared" si="4"/>
        <v>0.73831504129347569</v>
      </c>
      <c r="I36" s="29">
        <f t="shared" si="5"/>
        <v>116.05638064746068</v>
      </c>
      <c r="J36" s="29">
        <f t="shared" si="6"/>
        <v>8.0301069073186664</v>
      </c>
    </row>
    <row r="37" spans="1:10" x14ac:dyDescent="0.25">
      <c r="A37" s="29">
        <f t="shared" si="7"/>
        <v>0.27000000000000007</v>
      </c>
      <c r="B37" s="29">
        <v>388.09673613511387</v>
      </c>
      <c r="C37" s="29">
        <f t="shared" si="0"/>
        <v>2.7766938818842584</v>
      </c>
      <c r="D37" s="29">
        <f t="shared" si="1"/>
        <v>0.34286664904026637</v>
      </c>
      <c r="E37" s="29">
        <f t="shared" si="2"/>
        <v>1.0000000019081443</v>
      </c>
      <c r="F37" s="29">
        <f t="shared" si="3"/>
        <v>-1.9081443092261452E-9</v>
      </c>
      <c r="G37" s="29">
        <f t="shared" si="4"/>
        <v>0.74970734667820016</v>
      </c>
      <c r="I37" s="29">
        <f t="shared" si="5"/>
        <v>115.09673613511387</v>
      </c>
      <c r="J37" s="29">
        <f t="shared" si="6"/>
        <v>8.098465947786492</v>
      </c>
    </row>
    <row r="38" spans="1:10" x14ac:dyDescent="0.25">
      <c r="A38" s="29">
        <f t="shared" si="7"/>
        <v>0.28000000000000008</v>
      </c>
      <c r="B38" s="29">
        <v>387.15819825318181</v>
      </c>
      <c r="C38" s="29">
        <f t="shared" si="0"/>
        <v>2.7161737396541117</v>
      </c>
      <c r="D38" s="29">
        <f t="shared" si="1"/>
        <v>0.3325991039052329</v>
      </c>
      <c r="E38" s="29">
        <f t="shared" si="2"/>
        <v>1.0000000019149191</v>
      </c>
      <c r="F38" s="29">
        <f t="shared" si="3"/>
        <v>-1.9149191121670128E-9</v>
      </c>
      <c r="G38" s="29">
        <f t="shared" si="4"/>
        <v>0.76052864564680067</v>
      </c>
      <c r="I38" s="29">
        <f t="shared" si="5"/>
        <v>114.15819825318181</v>
      </c>
      <c r="J38" s="29">
        <f t="shared" si="6"/>
        <v>8.1665094937478528</v>
      </c>
    </row>
    <row r="39" spans="1:10" x14ac:dyDescent="0.25">
      <c r="A39" s="29">
        <f t="shared" si="7"/>
        <v>0.29000000000000009</v>
      </c>
      <c r="B39" s="29">
        <v>386.24001893852676</v>
      </c>
      <c r="C39" s="29">
        <f t="shared" si="0"/>
        <v>2.6579816662470472</v>
      </c>
      <c r="D39" s="29">
        <f t="shared" si="1"/>
        <v>0.32279622353407778</v>
      </c>
      <c r="E39" s="29">
        <f t="shared" si="2"/>
        <v>1.000000001920839</v>
      </c>
      <c r="F39" s="29">
        <f t="shared" si="3"/>
        <v>-1.9208390433789191E-9</v>
      </c>
      <c r="G39" s="29">
        <f t="shared" si="4"/>
        <v>0.77081468173103296</v>
      </c>
      <c r="I39" s="29">
        <f t="shared" si="5"/>
        <v>113.24001893852676</v>
      </c>
      <c r="J39" s="29">
        <f t="shared" si="6"/>
        <v>8.2342402805912727</v>
      </c>
    </row>
    <row r="40" spans="1:10" x14ac:dyDescent="0.25">
      <c r="A40" s="29">
        <f t="shared" si="7"/>
        <v>0.3000000000000001</v>
      </c>
      <c r="B40" s="29">
        <v>385.34148440283951</v>
      </c>
      <c r="C40" s="29">
        <f t="shared" si="0"/>
        <v>2.6019951342625407</v>
      </c>
      <c r="D40" s="29">
        <f t="shared" si="1"/>
        <v>0.313430659496019</v>
      </c>
      <c r="E40" s="29">
        <f t="shared" si="2"/>
        <v>1.0000000019259758</v>
      </c>
      <c r="F40" s="29">
        <f t="shared" si="3"/>
        <v>-1.9259758232692548E-9</v>
      </c>
      <c r="G40" s="29">
        <f t="shared" si="4"/>
        <v>0.78059853877534857</v>
      </c>
      <c r="I40" s="29">
        <f t="shared" si="5"/>
        <v>112.34148440283951</v>
      </c>
      <c r="J40" s="29">
        <f t="shared" si="6"/>
        <v>8.3016611662892821</v>
      </c>
    </row>
    <row r="41" spans="1:10" x14ac:dyDescent="0.25">
      <c r="A41" s="29">
        <f t="shared" si="7"/>
        <v>0.31000000000000011</v>
      </c>
      <c r="B41" s="29">
        <v>384.46191330860984</v>
      </c>
      <c r="C41" s="29">
        <f t="shared" si="0"/>
        <v>2.548099577076675</v>
      </c>
      <c r="D41" s="29">
        <f t="shared" si="1"/>
        <v>0.30447700440090514</v>
      </c>
      <c r="E41" s="29">
        <f t="shared" si="2"/>
        <v>1.0000000019303941</v>
      </c>
      <c r="F41" s="29">
        <f t="shared" si="3"/>
        <v>-1.930394066818053E-9</v>
      </c>
      <c r="G41" s="29">
        <f t="shared" si="4"/>
        <v>0.78991086736893024</v>
      </c>
      <c r="I41" s="29">
        <f t="shared" si="5"/>
        <v>111.46191330860984</v>
      </c>
      <c r="J41" s="29">
        <f t="shared" si="6"/>
        <v>8.3687751135438422</v>
      </c>
    </row>
    <row r="42" spans="1:10" x14ac:dyDescent="0.25">
      <c r="A42" s="29">
        <f t="shared" si="7"/>
        <v>0.32000000000000012</v>
      </c>
      <c r="B42" s="29">
        <v>383.60065504882215</v>
      </c>
      <c r="C42" s="29">
        <f t="shared" si="0"/>
        <v>2.4961877855422423</v>
      </c>
      <c r="D42" s="29">
        <f t="shared" si="1"/>
        <v>0.29591163317740898</v>
      </c>
      <c r="E42" s="29">
        <f t="shared" si="2"/>
        <v>1.0000000019341559</v>
      </c>
      <c r="F42" s="29">
        <f t="shared" si="3"/>
        <v>-1.9341559465146929E-9</v>
      </c>
      <c r="G42" s="29">
        <f t="shared" si="4"/>
        <v>0.79878008982855253</v>
      </c>
      <c r="I42" s="29">
        <f t="shared" si="5"/>
        <v>110.60065504882215</v>
      </c>
      <c r="J42" s="29">
        <f t="shared" si="6"/>
        <v>8.4355851736511251</v>
      </c>
    </row>
    <row r="43" spans="1:10" x14ac:dyDescent="0.25">
      <c r="A43" s="29">
        <f t="shared" si="7"/>
        <v>0.33000000000000013</v>
      </c>
      <c r="B43" s="29">
        <v>382.75708812474278</v>
      </c>
      <c r="C43" s="29">
        <f t="shared" si="0"/>
        <v>2.446159356088224</v>
      </c>
      <c r="D43" s="29">
        <f t="shared" si="1"/>
        <v>0.28771255884806018</v>
      </c>
      <c r="E43" s="29">
        <f t="shared" si="2"/>
        <v>1.0000000019373145</v>
      </c>
      <c r="F43" s="29">
        <f t="shared" si="3"/>
        <v>-1.9373145310197515E-9</v>
      </c>
      <c r="G43" s="29">
        <f t="shared" si="4"/>
        <v>0.80723258594525082</v>
      </c>
      <c r="I43" s="29">
        <f t="shared" si="5"/>
        <v>109.75708812474278</v>
      </c>
      <c r="J43" s="29">
        <f t="shared" si="6"/>
        <v>8.5020944719345088</v>
      </c>
    </row>
    <row r="44" spans="1:10" x14ac:dyDescent="0.25">
      <c r="A44" s="29">
        <f t="shared" si="7"/>
        <v>0.34000000000000014</v>
      </c>
      <c r="B44" s="29">
        <v>381.9306186163742</v>
      </c>
      <c r="C44" s="29">
        <f t="shared" si="0"/>
        <v>2.3979201854264907</v>
      </c>
      <c r="D44" s="29">
        <f t="shared" si="1"/>
        <v>0.27985930135593728</v>
      </c>
      <c r="E44" s="29">
        <f t="shared" si="2"/>
        <v>1.0000000019399258</v>
      </c>
      <c r="F44" s="29">
        <f t="shared" si="3"/>
        <v>-1.9399257755736699E-9</v>
      </c>
      <c r="G44" s="29">
        <f t="shared" si="4"/>
        <v>0.81529286146339952</v>
      </c>
      <c r="I44" s="29">
        <f t="shared" si="5"/>
        <v>108.9306186163742</v>
      </c>
      <c r="J44" s="29">
        <f t="shared" si="6"/>
        <v>8.5683061946070929</v>
      </c>
    </row>
    <row r="45" spans="1:10" x14ac:dyDescent="0.25">
      <c r="A45" s="29">
        <f t="shared" si="7"/>
        <v>0.35000000000000014</v>
      </c>
      <c r="B45" s="29">
        <v>381.12067874036944</v>
      </c>
      <c r="C45" s="29">
        <f t="shared" si="0"/>
        <v>2.3513820075517868</v>
      </c>
      <c r="D45" s="29">
        <f t="shared" si="1"/>
        <v>0.27233276815216773</v>
      </c>
      <c r="E45" s="29">
        <f t="shared" si="2"/>
        <v>1.0000000019420348</v>
      </c>
      <c r="F45" s="29">
        <f t="shared" si="3"/>
        <v>-1.9420347552312478E-9</v>
      </c>
      <c r="G45" s="29">
        <f t="shared" si="4"/>
        <v>0.82298370104486274</v>
      </c>
      <c r="I45" s="29">
        <f t="shared" si="5"/>
        <v>108.12067874036944</v>
      </c>
      <c r="J45" s="29">
        <f t="shared" si="6"/>
        <v>8.6342235769363445</v>
      </c>
    </row>
    <row r="46" spans="1:10" x14ac:dyDescent="0.25">
      <c r="A46" s="29">
        <f t="shared" si="7"/>
        <v>0.36000000000000015</v>
      </c>
      <c r="B46" s="29">
        <v>380.32672549042775</v>
      </c>
      <c r="C46" s="29">
        <f t="shared" si="0"/>
        <v>2.3064619691495696</v>
      </c>
      <c r="D46" s="29">
        <f t="shared" si="1"/>
        <v>0.26511514539038111</v>
      </c>
      <c r="E46" s="29">
        <f t="shared" si="2"/>
        <v>1.0000000019436892</v>
      </c>
      <c r="F46" s="29">
        <f t="shared" si="3"/>
        <v>-1.9436892095825442E-9</v>
      </c>
      <c r="G46" s="29">
        <f t="shared" si="4"/>
        <v>0.83032630727994916</v>
      </c>
      <c r="I46" s="29">
        <f t="shared" si="5"/>
        <v>107.32672549042775</v>
      </c>
      <c r="J46" s="29">
        <f t="shared" si="6"/>
        <v>8.6998498925940808</v>
      </c>
    </row>
    <row r="47" spans="1:10" x14ac:dyDescent="0.25">
      <c r="A47" s="29">
        <f t="shared" si="7"/>
        <v>0.37000000000000016</v>
      </c>
      <c r="B47" s="29">
        <v>379.54823935542407</v>
      </c>
      <c r="C47" s="29">
        <f t="shared" si="0"/>
        <v>2.2630822399095525</v>
      </c>
      <c r="D47" s="29">
        <f t="shared" si="1"/>
        <v>0.25818979869586495</v>
      </c>
      <c r="E47" s="29">
        <f t="shared" si="2"/>
        <v>1.0000000019449298</v>
      </c>
      <c r="F47" s="29">
        <f t="shared" si="3"/>
        <v>-1.9449297727902604E-9</v>
      </c>
      <c r="G47" s="29">
        <f t="shared" si="4"/>
        <v>0.83734042713796653</v>
      </c>
      <c r="I47" s="29">
        <f t="shared" si="5"/>
        <v>106.54823935542407</v>
      </c>
      <c r="J47" s="29">
        <f t="shared" si="6"/>
        <v>8.765188444084707</v>
      </c>
    </row>
    <row r="48" spans="1:10" x14ac:dyDescent="0.25">
      <c r="A48" s="29">
        <f t="shared" si="7"/>
        <v>0.38000000000000017</v>
      </c>
      <c r="B48" s="29">
        <v>378.7847231107541</v>
      </c>
      <c r="C48" s="29">
        <f t="shared" si="0"/>
        <v>2.2211696545866646</v>
      </c>
      <c r="D48" s="29">
        <f t="shared" si="1"/>
        <v>0.25154118258525715</v>
      </c>
      <c r="E48" s="29">
        <f t="shared" si="2"/>
        <v>1.0000000019457924</v>
      </c>
      <c r="F48" s="29">
        <f t="shared" si="3"/>
        <v>-1.9457924160803941E-9</v>
      </c>
      <c r="G48" s="29">
        <f t="shared" si="4"/>
        <v>0.84404446710059766</v>
      </c>
      <c r="I48" s="29">
        <f t="shared" si="5"/>
        <v>105.7847231107541</v>
      </c>
      <c r="J48" s="29">
        <f t="shared" si="6"/>
        <v>8.8302425541544203</v>
      </c>
    </row>
    <row r="49" spans="1:10" x14ac:dyDescent="0.25">
      <c r="A49" s="29">
        <f t="shared" si="7"/>
        <v>0.39000000000000018</v>
      </c>
      <c r="B49" s="29">
        <v>378.03570067860909</v>
      </c>
      <c r="C49" s="29">
        <f t="shared" si="0"/>
        <v>2.1806553839589968</v>
      </c>
      <c r="D49" s="29">
        <f t="shared" si="1"/>
        <v>0.2451547577087029</v>
      </c>
      <c r="E49" s="29">
        <f t="shared" si="2"/>
        <v>1.000000001946318</v>
      </c>
      <c r="F49" s="29">
        <f t="shared" si="3"/>
        <v>-1.9463179956602517E-9</v>
      </c>
      <c r="G49" s="29">
        <f t="shared" si="4"/>
        <v>0.85045559808875215</v>
      </c>
      <c r="I49" s="29">
        <f t="shared" si="5"/>
        <v>105.03570067860909</v>
      </c>
      <c r="J49" s="29">
        <f t="shared" si="6"/>
        <v>8.895015558091222</v>
      </c>
    </row>
    <row r="50" spans="1:10" x14ac:dyDescent="0.25">
      <c r="A50" s="29">
        <f t="shared" si="7"/>
        <v>0.40000000000000019</v>
      </c>
      <c r="B50" s="29">
        <v>377.30071605311599</v>
      </c>
      <c r="C50" s="29">
        <f t="shared" si="0"/>
        <v>2.141474632108519</v>
      </c>
      <c r="D50" s="29">
        <f t="shared" si="1"/>
        <v>0.23901691517187318</v>
      </c>
      <c r="E50" s="29">
        <f t="shared" si="2"/>
        <v>1.0000000019465318</v>
      </c>
      <c r="F50" s="29">
        <f t="shared" si="3"/>
        <v>-1.9465318246147945E-9</v>
      </c>
      <c r="G50" s="29">
        <f t="shared" si="4"/>
        <v>0.85658985117602848</v>
      </c>
      <c r="I50" s="29">
        <f t="shared" si="5"/>
        <v>104.30071605311599</v>
      </c>
      <c r="J50" s="29">
        <f t="shared" si="6"/>
        <v>8.9595107968346852</v>
      </c>
    </row>
    <row r="51" spans="1:10" x14ac:dyDescent="0.25">
      <c r="A51" s="29">
        <f t="shared" si="7"/>
        <v>0.4100000000000002</v>
      </c>
      <c r="B51" s="29">
        <v>376.57933228650251</v>
      </c>
      <c r="C51" s="29">
        <f t="shared" si="0"/>
        <v>2.1035663576984192</v>
      </c>
      <c r="D51" s="29">
        <f t="shared" si="1"/>
        <v>0.23311490727138465</v>
      </c>
      <c r="E51" s="29">
        <f t="shared" si="2"/>
        <v>1.0000000019464692</v>
      </c>
      <c r="F51" s="29">
        <f t="shared" si="3"/>
        <v>-1.9464692080362056E-9</v>
      </c>
      <c r="G51" s="29">
        <f t="shared" si="4"/>
        <v>0.86246220497759618</v>
      </c>
      <c r="I51" s="29">
        <f t="shared" si="5"/>
        <v>103.57933228650251</v>
      </c>
      <c r="J51" s="29">
        <f t="shared" si="6"/>
        <v>9.0237316108210841</v>
      </c>
    </row>
    <row r="52" spans="1:10" x14ac:dyDescent="0.25">
      <c r="A52" s="29">
        <f t="shared" si="7"/>
        <v>0.42000000000000021</v>
      </c>
      <c r="B52" s="29">
        <v>375.87113053265523</v>
      </c>
      <c r="C52" s="29">
        <f t="shared" si="0"/>
        <v>2.0668730171430396</v>
      </c>
      <c r="D52" s="29">
        <f t="shared" si="1"/>
        <v>0.22743678404496448</v>
      </c>
      <c r="E52" s="29">
        <f t="shared" si="2"/>
        <v>1.0000000019461566</v>
      </c>
      <c r="F52" s="29">
        <f t="shared" si="3"/>
        <v>-1.9461565692324712E-9</v>
      </c>
      <c r="G52" s="29">
        <f t="shared" si="4"/>
        <v>0.86808666551064451</v>
      </c>
      <c r="I52" s="29">
        <f t="shared" si="5"/>
        <v>102.87113053265523</v>
      </c>
      <c r="J52" s="29">
        <f t="shared" si="6"/>
        <v>9.0876813344951923</v>
      </c>
    </row>
    <row r="53" spans="1:10" x14ac:dyDescent="0.25">
      <c r="A53" s="29">
        <f t="shared" si="7"/>
        <v>0.43000000000000022</v>
      </c>
      <c r="B53" s="29">
        <v>375.17570914464773</v>
      </c>
      <c r="C53" s="29">
        <f t="shared" si="0"/>
        <v>2.0313403277666526</v>
      </c>
      <c r="D53" s="29">
        <f t="shared" si="1"/>
        <v>0.22197133509817324</v>
      </c>
      <c r="E53" s="29">
        <f t="shared" si="2"/>
        <v>1.0000000019456199</v>
      </c>
      <c r="F53" s="29">
        <f t="shared" si="3"/>
        <v>-1.9456198874223674E-9</v>
      </c>
      <c r="G53" s="29">
        <f t="shared" si="4"/>
        <v>0.87347633924020818</v>
      </c>
      <c r="I53" s="29">
        <f t="shared" si="5"/>
        <v>102.17570914464773</v>
      </c>
      <c r="J53" s="29">
        <f t="shared" si="6"/>
        <v>9.1513632914278453</v>
      </c>
    </row>
    <row r="54" spans="1:10" x14ac:dyDescent="0.25">
      <c r="A54" s="29">
        <f t="shared" si="7"/>
        <v>0.44000000000000022</v>
      </c>
      <c r="B54" s="29">
        <v>374.49268282301028</v>
      </c>
      <c r="C54" s="29">
        <f t="shared" si="0"/>
        <v>1.9969170492266872</v>
      </c>
      <c r="D54" s="29">
        <f t="shared" si="1"/>
        <v>0.21670803622345922</v>
      </c>
      <c r="E54" s="29">
        <f t="shared" si="2"/>
        <v>1.00000000194488</v>
      </c>
      <c r="F54" s="29">
        <f t="shared" si="3"/>
        <v>-1.9448800347987572E-9</v>
      </c>
      <c r="G54" s="29">
        <f t="shared" si="4"/>
        <v>0.87864349995088664</v>
      </c>
      <c r="I54" s="29">
        <f t="shared" si="5"/>
        <v>101.49268282301028</v>
      </c>
      <c r="J54" s="29">
        <f t="shared" si="6"/>
        <v>9.214780789982143</v>
      </c>
    </row>
    <row r="55" spans="1:10" x14ac:dyDescent="0.25">
      <c r="A55" s="29">
        <f t="shared" si="7"/>
        <v>0.45000000000000023</v>
      </c>
      <c r="B55" s="29">
        <v>373.82168181170329</v>
      </c>
      <c r="C55" s="29">
        <f t="shared" si="0"/>
        <v>1.9635547816387371</v>
      </c>
      <c r="D55" s="29">
        <f t="shared" si="1"/>
        <v>0.21163700037550812</v>
      </c>
      <c r="E55" s="29">
        <f t="shared" si="2"/>
        <v>1.0000000019439617</v>
      </c>
      <c r="F55" s="29">
        <f t="shared" si="3"/>
        <v>-1.9439616583127872E-9</v>
      </c>
      <c r="G55" s="29">
        <f t="shared" si="4"/>
        <v>0.88359965001974827</v>
      </c>
      <c r="I55" s="29">
        <f t="shared" si="5"/>
        <v>100.82168181170329</v>
      </c>
      <c r="J55" s="29">
        <f t="shared" si="6"/>
        <v>9.2779371194771905</v>
      </c>
    </row>
    <row r="56" spans="1:10" x14ac:dyDescent="0.25">
      <c r="A56" s="29">
        <f t="shared" si="7"/>
        <v>0.46000000000000024</v>
      </c>
      <c r="B56" s="29">
        <v>373.16235113893435</v>
      </c>
      <c r="C56" s="29">
        <f t="shared" si="0"/>
        <v>1.9312077789859572</v>
      </c>
      <c r="D56" s="29">
        <f t="shared" si="1"/>
        <v>0.20674893260988944</v>
      </c>
      <c r="E56" s="29">
        <f t="shared" si="2"/>
        <v>1.000000001942881</v>
      </c>
      <c r="F56" s="29">
        <f t="shared" si="3"/>
        <v>-1.9428809672206171E-9</v>
      </c>
      <c r="G56" s="29">
        <f t="shared" si="4"/>
        <v>0.88835557660757158</v>
      </c>
      <c r="I56" s="29">
        <f t="shared" si="5"/>
        <v>100.16235113893435</v>
      </c>
      <c r="J56" s="29">
        <f t="shared" si="6"/>
        <v>9.3408355468026336</v>
      </c>
    </row>
    <row r="57" spans="1:10" x14ac:dyDescent="0.25">
      <c r="A57" s="29">
        <f t="shared" si="7"/>
        <v>0.47000000000000025</v>
      </c>
      <c r="B57" s="29">
        <v>372.514349900132</v>
      </c>
      <c r="C57" s="29">
        <f t="shared" si="0"/>
        <v>1.8998327765265466</v>
      </c>
      <c r="D57" s="29">
        <f t="shared" si="1"/>
        <v>0.20203508863053665</v>
      </c>
      <c r="E57" s="29">
        <f t="shared" si="2"/>
        <v>1.0000000019416617</v>
      </c>
      <c r="F57" s="29">
        <f t="shared" si="3"/>
        <v>-1.9416617202949737E-9</v>
      </c>
      <c r="G57" s="29">
        <f t="shared" si="4"/>
        <v>0.89292140323372615</v>
      </c>
      <c r="I57" s="29">
        <f t="shared" si="5"/>
        <v>99.514349900132004</v>
      </c>
      <c r="J57" s="29">
        <f t="shared" si="6"/>
        <v>9.4034793134413892</v>
      </c>
    </row>
    <row r="58" spans="1:10" x14ac:dyDescent="0.25">
      <c r="A58" s="29">
        <f t="shared" si="7"/>
        <v>0.48000000000000026</v>
      </c>
      <c r="B58" s="29">
        <v>371.87735058054909</v>
      </c>
      <c r="C58" s="29">
        <f t="shared" si="0"/>
        <v>1.8693888310307729</v>
      </c>
      <c r="D58" s="29">
        <f t="shared" si="1"/>
        <v>0.19748723662604581</v>
      </c>
      <c r="E58" s="29">
        <f t="shared" si="2"/>
        <v>1.0000000019403152</v>
      </c>
      <c r="F58" s="29">
        <f t="shared" si="3"/>
        <v>-1.9403152418107084E-9</v>
      </c>
      <c r="G58" s="29">
        <f t="shared" si="4"/>
        <v>0.89730663715371373</v>
      </c>
      <c r="I58" s="29">
        <f t="shared" si="5"/>
        <v>98.877350580549091</v>
      </c>
      <c r="J58" s="29">
        <f t="shared" si="6"/>
        <v>9.4658716328619015</v>
      </c>
    </row>
    <row r="59" spans="1:10" x14ac:dyDescent="0.25">
      <c r="A59" s="29">
        <f t="shared" si="7"/>
        <v>0.49000000000000027</v>
      </c>
      <c r="B59" s="29">
        <v>371.25103841512498</v>
      </c>
      <c r="C59" s="29">
        <f t="shared" si="0"/>
        <v>1.8398371727856364</v>
      </c>
      <c r="D59" s="29">
        <f t="shared" si="1"/>
        <v>0.19309762210567766</v>
      </c>
      <c r="E59" s="29">
        <f t="shared" si="2"/>
        <v>1.000000001938858</v>
      </c>
      <c r="F59" s="29">
        <f t="shared" si="3"/>
        <v>-1.9388579630685854E-9</v>
      </c>
      <c r="G59" s="29">
        <f t="shared" si="4"/>
        <v>0.90152021291704265</v>
      </c>
      <c r="I59" s="29">
        <f t="shared" si="5"/>
        <v>98.251038415124981</v>
      </c>
      <c r="J59" s="29">
        <f t="shared" si="6"/>
        <v>9.5280156882446541</v>
      </c>
    </row>
    <row r="60" spans="1:10" x14ac:dyDescent="0.25">
      <c r="A60" s="29">
        <f t="shared" si="7"/>
        <v>0.50000000000000022</v>
      </c>
      <c r="B60" s="29">
        <v>370.63511078337837</v>
      </c>
      <c r="C60" s="29">
        <f t="shared" si="0"/>
        <v>1.8111410684010083</v>
      </c>
      <c r="D60" s="29">
        <f t="shared" si="1"/>
        <v>0.18885893547360108</v>
      </c>
      <c r="E60" s="29">
        <f t="shared" si="2"/>
        <v>1.000000001937305</v>
      </c>
      <c r="F60" s="29">
        <f t="shared" si="3"/>
        <v>-1.9373049831017397E-9</v>
      </c>
      <c r="G60" s="29">
        <f t="shared" si="4"/>
        <v>0.90557053244613828</v>
      </c>
      <c r="I60" s="29">
        <f t="shared" si="5"/>
        <v>97.635110783378366</v>
      </c>
      <c r="J60" s="29">
        <f t="shared" si="6"/>
        <v>9.5899146305109486</v>
      </c>
    </row>
    <row r="61" spans="1:10" x14ac:dyDescent="0.25">
      <c r="A61" s="29">
        <f t="shared" si="7"/>
        <v>0.51000000000000023</v>
      </c>
      <c r="B61" s="29">
        <v>370.02927663724074</v>
      </c>
      <c r="C61" s="29">
        <f t="shared" si="0"/>
        <v>1.783265693537901</v>
      </c>
      <c r="D61" s="29">
        <f t="shared" si="1"/>
        <v>0.18476428210477239</v>
      </c>
      <c r="E61" s="29">
        <f t="shared" si="2"/>
        <v>1.0000000019356683</v>
      </c>
      <c r="F61" s="29">
        <f t="shared" si="3"/>
        <v>-1.9356682923188373E-9</v>
      </c>
      <c r="G61" s="29">
        <f t="shared" si="4"/>
        <v>0.9094655019439063</v>
      </c>
      <c r="I61" s="29">
        <f t="shared" si="5"/>
        <v>97.029276637240741</v>
      </c>
      <c r="J61" s="29">
        <f t="shared" si="6"/>
        <v>9.651571576624761</v>
      </c>
    </row>
    <row r="62" spans="1:10" x14ac:dyDescent="0.25">
      <c r="A62" s="29">
        <f t="shared" si="7"/>
        <v>0.52000000000000024</v>
      </c>
      <c r="B62" s="29">
        <v>369.43325595987005</v>
      </c>
      <c r="C62" s="29">
        <f t="shared" si="0"/>
        <v>1.7561780147577926</v>
      </c>
      <c r="D62" s="29">
        <f t="shared" si="1"/>
        <v>0.18080715470813885</v>
      </c>
      <c r="E62" s="29">
        <f t="shared" si="2"/>
        <v>1.0000000019339592</v>
      </c>
      <c r="F62" s="29">
        <f t="shared" si="3"/>
        <v>-1.9339592149947293E-9</v>
      </c>
      <c r="G62" s="29">
        <f t="shared" si="4"/>
        <v>0.91321256590793676</v>
      </c>
      <c r="I62" s="29">
        <f t="shared" si="5"/>
        <v>96.433255959870053</v>
      </c>
      <c r="J62" s="29">
        <f t="shared" si="6"/>
        <v>9.7129896081415428</v>
      </c>
    </row>
    <row r="63" spans="1:10" x14ac:dyDescent="0.25">
      <c r="A63" s="29">
        <f t="shared" si="7"/>
        <v>0.53000000000000025</v>
      </c>
      <c r="B63" s="29">
        <v>368.84677925360478</v>
      </c>
      <c r="C63" s="29">
        <f t="shared" si="0"/>
        <v>1.7298466797626977</v>
      </c>
      <c r="D63" s="29">
        <f t="shared" si="1"/>
        <v>0.17698140778288893</v>
      </c>
      <c r="E63" s="29">
        <f t="shared" si="2"/>
        <v>1.000000001932188</v>
      </c>
      <c r="F63" s="29">
        <f t="shared" si="3"/>
        <v>-1.9321879651812424E-9</v>
      </c>
      <c r="G63" s="29">
        <f t="shared" si="4"/>
        <v>0.91681873850276407</v>
      </c>
      <c r="I63" s="29">
        <f t="shared" si="5"/>
        <v>95.84677925360478</v>
      </c>
      <c r="J63" s="29">
        <f t="shared" si="6"/>
        <v>9.7741717699792421</v>
      </c>
    </row>
    <row r="64" spans="1:10" x14ac:dyDescent="0.25">
      <c r="A64" s="29">
        <f t="shared" si="7"/>
        <v>0.54000000000000026</v>
      </c>
      <c r="B64" s="29">
        <v>368.26958705533201</v>
      </c>
      <c r="C64" s="29">
        <f t="shared" si="0"/>
        <v>1.7042419153597783</v>
      </c>
      <c r="D64" s="29">
        <f t="shared" si="1"/>
        <v>0.17328123399149686</v>
      </c>
      <c r="E64" s="29">
        <f t="shared" si="2"/>
        <v>1.0000000019303692</v>
      </c>
      <c r="F64" s="29">
        <f t="shared" si="3"/>
        <v>-1.9303691978223014E-9</v>
      </c>
      <c r="G64" s="29">
        <f t="shared" si="4"/>
        <v>0.92029063251777998</v>
      </c>
      <c r="I64" s="29">
        <f t="shared" si="5"/>
        <v>95.269587055332011</v>
      </c>
      <c r="J64" s="29">
        <f t="shared" si="6"/>
        <v>9.8351210693906257</v>
      </c>
    </row>
    <row r="65" spans="1:10" x14ac:dyDescent="0.25">
      <c r="A65" s="29">
        <f t="shared" si="7"/>
        <v>0.55000000000000027</v>
      </c>
      <c r="B65" s="29">
        <v>367.70142947765345</v>
      </c>
      <c r="C65" s="29">
        <f t="shared" si="0"/>
        <v>1.6793354325422083</v>
      </c>
      <c r="D65" s="29">
        <f t="shared" si="1"/>
        <v>0.16970114228953517</v>
      </c>
      <c r="E65" s="29">
        <f t="shared" si="2"/>
        <v>1.0000000019285058</v>
      </c>
      <c r="F65" s="29">
        <f t="shared" si="3"/>
        <v>-1.9285057994977706E-9</v>
      </c>
      <c r="G65" s="29">
        <f t="shared" si="4"/>
        <v>0.92363448611698051</v>
      </c>
      <c r="I65" s="29">
        <f t="shared" si="5"/>
        <v>94.701429477653448</v>
      </c>
      <c r="J65" s="29">
        <f t="shared" si="6"/>
        <v>9.8958404751160334</v>
      </c>
    </row>
    <row r="66" spans="1:10" x14ac:dyDescent="0.25">
      <c r="A66" s="29">
        <f t="shared" si="7"/>
        <v>0.56000000000000028</v>
      </c>
      <c r="B66" s="29">
        <v>367.14206577433032</v>
      </c>
      <c r="C66" s="29">
        <f t="shared" si="0"/>
        <v>1.6551003381307063</v>
      </c>
      <c r="D66" s="29">
        <f t="shared" si="1"/>
        <v>0.16623593766683661</v>
      </c>
      <c r="E66" s="29">
        <f t="shared" si="2"/>
        <v>1.000000001926604</v>
      </c>
      <c r="F66" s="29">
        <f t="shared" si="3"/>
        <v>-1.9266039874565877E-9</v>
      </c>
      <c r="G66" s="29">
        <f t="shared" si="4"/>
        <v>0.9268561875675112</v>
      </c>
      <c r="I66" s="29">
        <f t="shared" si="5"/>
        <v>94.14206577433032</v>
      </c>
      <c r="J66" s="29">
        <f t="shared" si="6"/>
        <v>9.9563329166993633</v>
      </c>
    </row>
    <row r="67" spans="1:10" x14ac:dyDescent="0.25">
      <c r="A67" s="29">
        <f t="shared" si="7"/>
        <v>0.57000000000000028</v>
      </c>
      <c r="B67" s="29">
        <v>366.59126392858605</v>
      </c>
      <c r="C67" s="29">
        <f t="shared" si="0"/>
        <v>1.6315110524676233</v>
      </c>
      <c r="D67" s="29">
        <f t="shared" si="1"/>
        <v>0.16288070236775903</v>
      </c>
      <c r="E67" s="29">
        <f t="shared" si="2"/>
        <v>1.0000000019246822</v>
      </c>
      <c r="F67" s="29">
        <f t="shared" si="3"/>
        <v>-1.9246821914009615E-9</v>
      </c>
      <c r="G67" s="29">
        <f t="shared" si="4"/>
        <v>0.92996129811666584</v>
      </c>
      <c r="I67" s="29">
        <f t="shared" si="5"/>
        <v>93.591263928586045</v>
      </c>
      <c r="J67" s="29">
        <f t="shared" si="6"/>
        <v>10.016601283950299</v>
      </c>
    </row>
    <row r="68" spans="1:10" x14ac:dyDescent="0.25">
      <c r="A68" s="29">
        <f t="shared" si="7"/>
        <v>0.58000000000000029</v>
      </c>
      <c r="B68" s="29">
        <v>366.04880026292994</v>
      </c>
      <c r="C68" s="29">
        <f t="shared" si="0"/>
        <v>1.6085432326987192</v>
      </c>
      <c r="D68" s="29">
        <f t="shared" si="1"/>
        <v>0.15963077847018697</v>
      </c>
      <c r="E68" s="29">
        <f t="shared" si="2"/>
        <v>1.0000000019227362</v>
      </c>
      <c r="F68" s="29">
        <f t="shared" si="3"/>
        <v>-1.9227361924833986E-9</v>
      </c>
      <c r="G68" s="29">
        <f t="shared" si="4"/>
        <v>0.93295507317143112</v>
      </c>
      <c r="I68" s="29">
        <f t="shared" si="5"/>
        <v>93.048800262929944</v>
      </c>
      <c r="J68" s="29">
        <f t="shared" si="6"/>
        <v>10.076648426538446</v>
      </c>
    </row>
    <row r="69" spans="1:10" x14ac:dyDescent="0.25">
      <c r="A69" s="29">
        <f t="shared" si="7"/>
        <v>0.5900000000000003</v>
      </c>
      <c r="B69" s="29">
        <v>365.51445906925426</v>
      </c>
      <c r="C69" s="29">
        <f t="shared" si="0"/>
        <v>1.5861737012172481</v>
      </c>
      <c r="D69" s="29">
        <f t="shared" si="1"/>
        <v>0.15648175171365467</v>
      </c>
      <c r="E69" s="29">
        <f t="shared" si="2"/>
        <v>1.0000000019207753</v>
      </c>
      <c r="F69" s="29">
        <f t="shared" si="3"/>
        <v>-1.9207753165773056E-9</v>
      </c>
      <c r="G69" s="29">
        <f t="shared" si="4"/>
        <v>0.9358424819206338</v>
      </c>
      <c r="I69" s="29">
        <f t="shared" si="5"/>
        <v>92.514459069254258</v>
      </c>
      <c r="J69" s="29">
        <f t="shared" si="6"/>
        <v>10.136477153705313</v>
      </c>
    </row>
    <row r="70" spans="1:10" x14ac:dyDescent="0.25">
      <c r="A70" s="29">
        <f t="shared" si="7"/>
        <v>0.60000000000000031</v>
      </c>
      <c r="B70" s="29">
        <v>364.98803225802868</v>
      </c>
      <c r="C70" s="29">
        <f t="shared" si="0"/>
        <v>1.5643803788802484</v>
      </c>
      <c r="D70" s="29">
        <f t="shared" si="1"/>
        <v>0.15342943647664581</v>
      </c>
      <c r="E70" s="29">
        <f t="shared" si="2"/>
        <v>1.0000000019188078</v>
      </c>
      <c r="F70" s="29">
        <f t="shared" si="3"/>
        <v>-1.9188077793330649E-9</v>
      </c>
      <c r="G70" s="29">
        <f t="shared" si="4"/>
        <v>0.93862822552710246</v>
      </c>
      <c r="I70" s="29">
        <f t="shared" si="5"/>
        <v>91.988032258028682</v>
      </c>
      <c r="J70" s="29">
        <f t="shared" si="6"/>
        <v>10.196090234082117</v>
      </c>
    </row>
    <row r="71" spans="1:10" x14ac:dyDescent="0.25">
      <c r="A71" s="29">
        <f t="shared" si="7"/>
        <v>0.61000000000000032</v>
      </c>
      <c r="B71" s="29">
        <v>364.46931902549227</v>
      </c>
      <c r="C71" s="29">
        <f t="shared" si="0"/>
        <v>1.5431422226396536</v>
      </c>
      <c r="D71" s="29">
        <f t="shared" si="1"/>
        <v>0.15046986181190794</v>
      </c>
      <c r="E71" s="29">
        <f t="shared" si="2"/>
        <v>1.0000000019168334</v>
      </c>
      <c r="F71" s="29">
        <f t="shared" si="3"/>
        <v>-1.9168333587060715E-9</v>
      </c>
      <c r="G71" s="29">
        <f t="shared" si="4"/>
        <v>0.94131675400584192</v>
      </c>
      <c r="I71" s="29">
        <f t="shared" si="5"/>
        <v>91.469319025492268</v>
      </c>
      <c r="J71" s="29">
        <f t="shared" si="6"/>
        <v>10.25549039560247</v>
      </c>
    </row>
    <row r="72" spans="1:10" x14ac:dyDescent="0.25">
      <c r="A72" s="29">
        <f t="shared" si="7"/>
        <v>0.62000000000000033</v>
      </c>
      <c r="B72" s="29">
        <v>363.95812553781178</v>
      </c>
      <c r="C72" s="29">
        <f t="shared" si="0"/>
        <v>1.5224391672602724</v>
      </c>
      <c r="D72" s="29">
        <f t="shared" si="1"/>
        <v>0.14759925845656516</v>
      </c>
      <c r="E72" s="29">
        <f t="shared" si="2"/>
        <v>1.000000001914864</v>
      </c>
      <c r="F72" s="29">
        <f t="shared" si="3"/>
        <v>-1.9148640451049914E-9</v>
      </c>
      <c r="G72" s="29">
        <f t="shared" si="4"/>
        <v>0.94391228189390564</v>
      </c>
      <c r="I72" s="29">
        <f t="shared" si="5"/>
        <v>90.958125537811782</v>
      </c>
      <c r="J72" s="29">
        <f t="shared" si="6"/>
        <v>10.314680325499662</v>
      </c>
    </row>
    <row r="73" spans="1:10" x14ac:dyDescent="0.25">
      <c r="A73" s="29">
        <f t="shared" si="7"/>
        <v>0.63000000000000034</v>
      </c>
      <c r="B73" s="29">
        <v>363.45426463123619</v>
      </c>
      <c r="C73" s="29">
        <f t="shared" si="0"/>
        <v>1.5022520708233906</v>
      </c>
      <c r="D73" s="29">
        <f t="shared" si="1"/>
        <v>0.14481404674097562</v>
      </c>
      <c r="E73" s="29">
        <f t="shared" si="2"/>
        <v>1.0000000019128976</v>
      </c>
      <c r="F73" s="29">
        <f t="shared" si="3"/>
        <v>-1.9128976180837753E-9</v>
      </c>
      <c r="G73" s="29">
        <f t="shared" si="4"/>
        <v>0.94641880280833435</v>
      </c>
      <c r="I73" s="29">
        <f t="shared" si="5"/>
        <v>90.454264631236185</v>
      </c>
      <c r="J73" s="29">
        <f t="shared" si="6"/>
        <v>10.373662670379073</v>
      </c>
    </row>
    <row r="74" spans="1:10" x14ac:dyDescent="0.25">
      <c r="A74" s="29">
        <f t="shared" si="7"/>
        <v>0.64000000000000035</v>
      </c>
      <c r="B74" s="29">
        <v>362.95755552734073</v>
      </c>
      <c r="C74" s="29">
        <f t="shared" si="0"/>
        <v>1.4825626637395009</v>
      </c>
      <c r="D74" s="29">
        <f t="shared" si="1"/>
        <v>0.14211082532683067</v>
      </c>
      <c r="E74" s="29">
        <f t="shared" si="2"/>
        <v>1.0000000019109401</v>
      </c>
      <c r="F74" s="29">
        <f t="shared" si="3"/>
        <v>-1.9109400728467563E-9</v>
      </c>
      <c r="G74" s="29">
        <f t="shared" si="4"/>
        <v>0.94884010298010446</v>
      </c>
      <c r="I74" s="29">
        <f t="shared" si="5"/>
        <v>89.95755552734073</v>
      </c>
      <c r="J74" s="29">
        <f t="shared" si="6"/>
        <v>10.432440036357951</v>
      </c>
    </row>
    <row r="75" spans="1:10" x14ac:dyDescent="0.25">
      <c r="A75" s="29">
        <f t="shared" si="7"/>
        <v>0.65000000000000036</v>
      </c>
      <c r="B75" s="29">
        <v>362.46782356250554</v>
      </c>
      <c r="C75" s="29">
        <f t="shared" ref="C75:C110" si="8">10^($C$2-$D$2/(B75+$E$2))</f>
        <v>1.4633535010156793</v>
      </c>
      <c r="D75" s="29">
        <f t="shared" ref="D75:D110" si="9">10^($C$3-$D$3/(B75+$E$3))</f>
        <v>0.13948636071086626</v>
      </c>
      <c r="E75" s="29">
        <f t="shared" ref="E75:E110" si="10">C75*$A75+D75*(1-$A75)</f>
        <v>1.0000000019089952</v>
      </c>
      <c r="F75" s="29">
        <f t="shared" ref="F75:F110" si="11">$F$6-E75</f>
        <v>-1.9089951841522179E-9</v>
      </c>
      <c r="G75" s="29">
        <f t="shared" ref="G75:G110" si="12">A75*C75/E75</f>
        <v>0.95117977384439445</v>
      </c>
      <c r="I75" s="29">
        <f t="shared" ref="I75:I110" si="13">B75-273</f>
        <v>89.467823562505544</v>
      </c>
      <c r="J75" s="29">
        <f t="shared" ref="J75:J110" si="14">(G75/A75)/((1-G75)/(1-A75))</f>
        <v>10.491014989264693</v>
      </c>
    </row>
    <row r="76" spans="1:10" x14ac:dyDescent="0.25">
      <c r="A76" s="29">
        <f t="shared" si="7"/>
        <v>0.66000000000000036</v>
      </c>
      <c r="B76" s="29">
        <v>361.98489993083075</v>
      </c>
      <c r="C76" s="29">
        <f t="shared" si="8"/>
        <v>1.4446079175436974</v>
      </c>
      <c r="D76" s="29">
        <f t="shared" si="9"/>
        <v>0.13693757743595694</v>
      </c>
      <c r="E76" s="29">
        <f t="shared" si="10"/>
        <v>1.0000000019070661</v>
      </c>
      <c r="F76" s="29">
        <f t="shared" si="11"/>
        <v>-1.9070660606246292E-9</v>
      </c>
      <c r="G76" s="29">
        <f t="shared" si="12"/>
        <v>0.95344122376056539</v>
      </c>
      <c r="I76" s="29">
        <f t="shared" si="13"/>
        <v>88.98489993083075</v>
      </c>
      <c r="J76" s="29">
        <f t="shared" si="14"/>
        <v>10.549390054890623</v>
      </c>
    </row>
    <row r="77" spans="1:10" x14ac:dyDescent="0.25">
      <c r="A77" s="29">
        <f t="shared" ref="A77:A100" si="15">A76+0.01</f>
        <v>0.67000000000000037</v>
      </c>
      <c r="B77" s="29">
        <v>361.50862143973433</v>
      </c>
      <c r="C77" s="29">
        <f t="shared" si="8"/>
        <v>1.4263099861934367</v>
      </c>
      <c r="D77" s="29">
        <f t="shared" si="9"/>
        <v>0.13446154895620946</v>
      </c>
      <c r="E77" s="29">
        <f t="shared" si="10"/>
        <v>1.0000000019051523</v>
      </c>
      <c r="F77" s="29">
        <f t="shared" si="11"/>
        <v>-1.9051522581747804E-9</v>
      </c>
      <c r="G77" s="29">
        <f t="shared" si="12"/>
        <v>0.95562768892898697</v>
      </c>
      <c r="I77" s="29">
        <f t="shared" si="13"/>
        <v>88.508621439734327</v>
      </c>
      <c r="J77" s="29">
        <f t="shared" si="14"/>
        <v>10.607567719288651</v>
      </c>
    </row>
    <row r="78" spans="1:10" x14ac:dyDescent="0.25">
      <c r="A78" s="29">
        <f t="shared" si="15"/>
        <v>0.68000000000000038</v>
      </c>
      <c r="B78" s="29">
        <v>361.0388302775292</v>
      </c>
      <c r="C78" s="29">
        <f t="shared" si="8"/>
        <v>1.4084444785132046</v>
      </c>
      <c r="D78" s="29">
        <f t="shared" si="9"/>
        <v>0.13205548910712939</v>
      </c>
      <c r="E78" s="29">
        <f t="shared" si="10"/>
        <v>1.0000000019032611</v>
      </c>
      <c r="F78" s="29">
        <f t="shared" si="11"/>
        <v>-1.9032611042746339E-9</v>
      </c>
      <c r="G78" s="29">
        <f t="shared" si="12"/>
        <v>0.95774224356614612</v>
      </c>
      <c r="I78" s="29">
        <f t="shared" si="13"/>
        <v>88.0388302775292</v>
      </c>
      <c r="J78" s="29">
        <f t="shared" si="14"/>
        <v>10.66555042911248</v>
      </c>
    </row>
    <row r="79" spans="1:10" x14ac:dyDescent="0.25">
      <c r="A79" s="29">
        <f t="shared" si="15"/>
        <v>0.69000000000000039</v>
      </c>
      <c r="B79" s="29">
        <v>360.57537379231502</v>
      </c>
      <c r="C79" s="29">
        <f t="shared" si="8"/>
        <v>1.3909968278539857</v>
      </c>
      <c r="D79" s="29">
        <f t="shared" si="9"/>
        <v>0.12971674413594342</v>
      </c>
      <c r="E79" s="29">
        <f t="shared" si="10"/>
        <v>1.000000001901393</v>
      </c>
      <c r="F79" s="29">
        <f t="shared" si="11"/>
        <v>-1.9013930430133996E-9</v>
      </c>
      <c r="G79" s="29">
        <f t="shared" si="12"/>
        <v>0.95978780939431685</v>
      </c>
      <c r="I79" s="29">
        <f t="shared" si="13"/>
        <v>87.57537379231502</v>
      </c>
      <c r="J79" s="29">
        <f t="shared" si="14"/>
        <v>10.723340591991892</v>
      </c>
    </row>
    <row r="80" spans="1:10" x14ac:dyDescent="0.25">
      <c r="A80" s="29">
        <f t="shared" si="15"/>
        <v>0.7000000000000004</v>
      </c>
      <c r="B80" s="29">
        <v>360.11810428156275</v>
      </c>
      <c r="C80" s="29">
        <f t="shared" si="8"/>
        <v>1.3739530947489895</v>
      </c>
      <c r="D80" s="29">
        <f t="shared" si="9"/>
        <v>0.12744278525085057</v>
      </c>
      <c r="E80" s="29">
        <f t="shared" si="10"/>
        <v>1.0000000018995483</v>
      </c>
      <c r="F80" s="29">
        <f t="shared" si="11"/>
        <v>-1.8995482964356825E-9</v>
      </c>
      <c r="G80" s="29">
        <f t="shared" si="12"/>
        <v>0.9617671644973701</v>
      </c>
      <c r="I80" s="29">
        <f t="shared" si="13"/>
        <v>87.118104281562751</v>
      </c>
      <c r="J80" s="29">
        <f t="shared" si="14"/>
        <v>10.780940576938805</v>
      </c>
    </row>
    <row r="81" spans="1:10" x14ac:dyDescent="0.25">
      <c r="A81" s="29">
        <f t="shared" si="15"/>
        <v>0.71000000000000041</v>
      </c>
      <c r="B81" s="29">
        <v>359.66687879180745</v>
      </c>
      <c r="C81" s="29">
        <f t="shared" si="8"/>
        <v>1.3572999343927494</v>
      </c>
      <c r="D81" s="29">
        <f t="shared" si="9"/>
        <v>0.12523120165131083</v>
      </c>
      <c r="E81" s="29">
        <f t="shared" si="10"/>
        <v>1.0000000018977329</v>
      </c>
      <c r="F81" s="29">
        <f t="shared" si="11"/>
        <v>-1.8977328597458154E-9</v>
      </c>
      <c r="G81" s="29">
        <f t="shared" si="12"/>
        <v>0.96368295159003992</v>
      </c>
      <c r="I81" s="29">
        <f t="shared" si="13"/>
        <v>86.666878791807449</v>
      </c>
      <c r="J81" s="29">
        <f t="shared" si="14"/>
        <v>10.838352714780807</v>
      </c>
    </row>
    <row r="82" spans="1:10" x14ac:dyDescent="0.25">
      <c r="A82" s="29">
        <f t="shared" si="15"/>
        <v>0.72000000000000042</v>
      </c>
      <c r="B82" s="29">
        <v>359.2215589278976</v>
      </c>
      <c r="C82" s="29">
        <f t="shared" si="8"/>
        <v>1.3410245660759326</v>
      </c>
      <c r="D82" s="29">
        <f t="shared" si="9"/>
        <v>0.12307969400452468</v>
      </c>
      <c r="E82" s="29">
        <f t="shared" si="10"/>
        <v>1.0000000018959387</v>
      </c>
      <c r="F82" s="29">
        <f t="shared" si="11"/>
        <v>-1.8959387393380212E-9</v>
      </c>
      <c r="G82" s="29">
        <f t="shared" si="12"/>
        <v>0.96553768574407162</v>
      </c>
      <c r="I82" s="29">
        <f t="shared" si="13"/>
        <v>86.221558927897604</v>
      </c>
      <c r="J82" s="29">
        <f t="shared" si="14"/>
        <v>10.895579298617974</v>
      </c>
    </row>
    <row r="83" spans="1:10" x14ac:dyDescent="0.25">
      <c r="A83" s="29">
        <f t="shared" si="15"/>
        <v>0.73000000000000043</v>
      </c>
      <c r="B83" s="29">
        <v>358.78201067128612</v>
      </c>
      <c r="C83" s="29">
        <f t="shared" si="8"/>
        <v>1.3251147444430713</v>
      </c>
      <c r="D83" s="29">
        <f t="shared" si="9"/>
        <v>0.12098606833606206</v>
      </c>
      <c r="E83" s="29">
        <f t="shared" si="10"/>
        <v>1.0000000018941793</v>
      </c>
      <c r="F83" s="29">
        <f t="shared" si="11"/>
        <v>-1.8941792578885952E-9</v>
      </c>
      <c r="G83" s="29">
        <f t="shared" si="12"/>
        <v>0.96733376161113904</v>
      </c>
      <c r="I83" s="29">
        <f t="shared" si="13"/>
        <v>85.782010671286116</v>
      </c>
      <c r="J83" s="29">
        <f t="shared" si="14"/>
        <v>10.952622584298814</v>
      </c>
    </row>
    <row r="84" spans="1:10" x14ac:dyDescent="0.25">
      <c r="A84" s="29">
        <f t="shared" si="15"/>
        <v>0.74000000000000044</v>
      </c>
      <c r="B84" s="29">
        <v>358.34810420687398</v>
      </c>
      <c r="C84" s="29">
        <f t="shared" si="8"/>
        <v>1.309558732450165</v>
      </c>
      <c r="D84" s="29">
        <f t="shared" si="9"/>
        <v>0.11894823030510415</v>
      </c>
      <c r="E84" s="29">
        <f t="shared" si="10"/>
        <v>1.0000000018924495</v>
      </c>
      <c r="F84" s="29">
        <f t="shared" si="11"/>
        <v>-1.8924495304162292E-9</v>
      </c>
      <c r="G84" s="29">
        <f t="shared" si="12"/>
        <v>0.96907346017920004</v>
      </c>
      <c r="I84" s="29">
        <f t="shared" si="13"/>
        <v>85.348104206873984</v>
      </c>
      <c r="J84" s="29">
        <f t="shared" si="14"/>
        <v>11.009484790913929</v>
      </c>
    </row>
    <row r="85" spans="1:10" x14ac:dyDescent="0.25">
      <c r="A85" s="29">
        <f t="shared" si="15"/>
        <v>0.75000000000000044</v>
      </c>
      <c r="B85" s="29">
        <v>357.91971375795146</v>
      </c>
      <c r="C85" s="29">
        <f t="shared" si="8"/>
        <v>1.2943452759086251</v>
      </c>
      <c r="D85" s="29">
        <f t="shared" si="9"/>
        <v>0.11696417983712332</v>
      </c>
      <c r="E85" s="29">
        <f t="shared" si="10"/>
        <v>1.0000000018907502</v>
      </c>
      <c r="F85" s="29">
        <f t="shared" si="11"/>
        <v>-1.8907502230547379E-9</v>
      </c>
      <c r="G85" s="29">
        <f t="shared" si="12"/>
        <v>0.97075895509600674</v>
      </c>
      <c r="I85" s="29">
        <f t="shared" si="13"/>
        <v>84.919713757951456</v>
      </c>
      <c r="J85" s="29">
        <f t="shared" si="14"/>
        <v>11.066168101302861</v>
      </c>
    </row>
    <row r="86" spans="1:10" x14ac:dyDescent="0.25">
      <c r="A86" s="29">
        <f t="shared" si="15"/>
        <v>0.76000000000000045</v>
      </c>
      <c r="B86" s="29">
        <v>357.49671742880491</v>
      </c>
      <c r="C86" s="29">
        <f t="shared" si="8"/>
        <v>1.2794635795101841</v>
      </c>
      <c r="D86" s="29">
        <f t="shared" si="9"/>
        <v>0.11503200608891807</v>
      </c>
      <c r="E86" s="29">
        <f t="shared" si="10"/>
        <v>1.0000000018890807</v>
      </c>
      <c r="F86" s="29">
        <f t="shared" si="11"/>
        <v>-1.8890806696703066E-9</v>
      </c>
      <c r="G86" s="29">
        <f t="shared" si="12"/>
        <v>0.97239231859081299</v>
      </c>
      <c r="I86" s="29">
        <f t="shared" si="13"/>
        <v>84.496717428804914</v>
      </c>
      <c r="J86" s="29">
        <f t="shared" si="14"/>
        <v>11.122674662573331</v>
      </c>
    </row>
    <row r="87" spans="1:10" x14ac:dyDescent="0.25">
      <c r="A87" s="29">
        <f t="shared" si="15"/>
        <v>0.77000000000000046</v>
      </c>
      <c r="B87" s="29">
        <v>357.07899705458442</v>
      </c>
      <c r="C87" s="29">
        <f t="shared" si="8"/>
        <v>1.2649032842353072</v>
      </c>
      <c r="D87" s="29">
        <f t="shared" si="9"/>
        <v>0.11314988272288029</v>
      </c>
      <c r="E87" s="29">
        <f t="shared" si="10"/>
        <v>1.0000000018874495</v>
      </c>
      <c r="F87" s="29">
        <f t="shared" si="11"/>
        <v>-1.8874495300025274E-9</v>
      </c>
      <c r="G87" s="29">
        <f t="shared" si="12"/>
        <v>0.9739755270228575</v>
      </c>
      <c r="I87" s="29">
        <f t="shared" si="13"/>
        <v>84.07899705458442</v>
      </c>
      <c r="J87" s="29">
        <f t="shared" si="14"/>
        <v>11.179006586628391</v>
      </c>
    </row>
    <row r="88" spans="1:10" x14ac:dyDescent="0.25">
      <c r="A88" s="29">
        <f t="shared" si="15"/>
        <v>0.78000000000000047</v>
      </c>
      <c r="B88" s="29">
        <v>356.66643805804989</v>
      </c>
      <c r="C88" s="29">
        <f t="shared" si="8"/>
        <v>1.2506544460546629</v>
      </c>
      <c r="D88" s="29">
        <f t="shared" si="9"/>
        <v>0.11131606346913714</v>
      </c>
      <c r="E88" s="29">
        <f t="shared" si="10"/>
        <v>1.0000000018858477</v>
      </c>
      <c r="F88" s="29">
        <f t="shared" si="11"/>
        <v>-1.8858477002225982E-9</v>
      </c>
      <c r="G88" s="29">
        <f t="shared" si="12"/>
        <v>0.97551046608297343</v>
      </c>
      <c r="I88" s="29">
        <f t="shared" si="13"/>
        <v>83.666438058049891</v>
      </c>
      <c r="J88" s="29">
        <f t="shared" si="14"/>
        <v>11.235165950702282</v>
      </c>
    </row>
    <row r="89" spans="1:10" x14ac:dyDescent="0.25">
      <c r="A89" s="29">
        <f t="shared" si="15"/>
        <v>0.79000000000000048</v>
      </c>
      <c r="B89" s="29">
        <v>356.25892931283806</v>
      </c>
      <c r="C89" s="29">
        <f t="shared" si="8"/>
        <v>1.2367075158399357</v>
      </c>
      <c r="D89" s="29">
        <f t="shared" si="9"/>
        <v>0.1095288779558589</v>
      </c>
      <c r="E89" s="29">
        <f t="shared" si="10"/>
        <v>1.0000000018842801</v>
      </c>
      <c r="F89" s="29">
        <f t="shared" si="11"/>
        <v>-1.8842800653118275E-9</v>
      </c>
      <c r="G89" s="29">
        <f t="shared" si="12"/>
        <v>0.97699893567261009</v>
      </c>
      <c r="I89" s="29">
        <f t="shared" si="13"/>
        <v>83.258929312838063</v>
      </c>
      <c r="J89" s="29">
        <f t="shared" si="14"/>
        <v>11.291154797900308</v>
      </c>
    </row>
    <row r="90" spans="1:10" x14ac:dyDescent="0.25">
      <c r="A90" s="29">
        <f t="shared" si="15"/>
        <v>0.80000000000000049</v>
      </c>
      <c r="B90" s="29">
        <v>355.85636301290947</v>
      </c>
      <c r="C90" s="29">
        <f t="shared" si="8"/>
        <v>1.2230533204060638</v>
      </c>
      <c r="D90" s="29">
        <f t="shared" si="9"/>
        <v>0.10778672778948839</v>
      </c>
      <c r="E90" s="29">
        <f t="shared" si="10"/>
        <v>1.0000000018827493</v>
      </c>
      <c r="F90" s="29">
        <f t="shared" si="11"/>
        <v>-1.8827492898054743E-9</v>
      </c>
      <c r="G90" s="29">
        <f t="shared" si="12"/>
        <v>0.97844265448268952</v>
      </c>
      <c r="I90" s="29">
        <f t="shared" si="13"/>
        <v>82.856363012909469</v>
      </c>
      <c r="J90" s="29">
        <f t="shared" si="14"/>
        <v>11.346975137743655</v>
      </c>
    </row>
    <row r="91" spans="1:10" x14ac:dyDescent="0.25">
      <c r="A91" s="29">
        <f t="shared" si="15"/>
        <v>0.8100000000000005</v>
      </c>
      <c r="B91" s="29">
        <v>355.45863454785803</v>
      </c>
      <c r="C91" s="29">
        <f t="shared" si="8"/>
        <v>1.2096830446127416</v>
      </c>
      <c r="D91" s="29">
        <f t="shared" si="9"/>
        <v>0.10608808286805044</v>
      </c>
      <c r="E91" s="29">
        <f t="shared" si="10"/>
        <v>1.0000000018812507</v>
      </c>
      <c r="F91" s="29">
        <f t="shared" si="11"/>
        <v>-1.8812507107668353E-9</v>
      </c>
      <c r="G91" s="29">
        <f t="shared" si="12"/>
        <v>0.9798432642929904</v>
      </c>
      <c r="I91" s="29">
        <f t="shared" si="13"/>
        <v>82.458634547858026</v>
      </c>
      <c r="J91" s="29">
        <f t="shared" si="14"/>
        <v>11.402628946715126</v>
      </c>
    </row>
    <row r="92" spans="1:10" x14ac:dyDescent="0.25">
      <c r="A92" s="29">
        <f t="shared" si="15"/>
        <v>0.82000000000000051</v>
      </c>
      <c r="B92" s="29">
        <v>355.06564238378178</v>
      </c>
      <c r="C92" s="29">
        <f t="shared" si="8"/>
        <v>1.1965882144580928</v>
      </c>
      <c r="D92" s="29">
        <f t="shared" si="9"/>
        <v>0.10443147791193266</v>
      </c>
      <c r="E92" s="29">
        <f t="shared" si="10"/>
        <v>1.0000000018797846</v>
      </c>
      <c r="F92" s="29">
        <f t="shared" si="11"/>
        <v>-1.8797845502405153E-9</v>
      </c>
      <c r="G92" s="29">
        <f t="shared" si="12"/>
        <v>0.98120233401118773</v>
      </c>
      <c r="I92" s="29">
        <f t="shared" si="13"/>
        <v>82.065642383781778</v>
      </c>
      <c r="J92" s="29">
        <f t="shared" si="14"/>
        <v>11.458118168807093</v>
      </c>
    </row>
    <row r="93" spans="1:10" x14ac:dyDescent="0.25">
      <c r="A93" s="29">
        <f t="shared" si="15"/>
        <v>0.83000000000000052</v>
      </c>
      <c r="B93" s="29">
        <v>354.67728794943122</v>
      </c>
      <c r="C93" s="29">
        <f t="shared" si="8"/>
        <v>1.1837606811021106</v>
      </c>
      <c r="D93" s="29">
        <f t="shared" si="9"/>
        <v>0.10281550919769433</v>
      </c>
      <c r="E93" s="29">
        <f t="shared" si="10"/>
        <v>1.0000000018783604</v>
      </c>
      <c r="F93" s="29">
        <f t="shared" si="11"/>
        <v>-1.8783603561445261E-9</v>
      </c>
      <c r="G93" s="29">
        <f t="shared" si="12"/>
        <v>0.98252136346922325</v>
      </c>
      <c r="I93" s="29">
        <f t="shared" si="13"/>
        <v>81.677287949431218</v>
      </c>
      <c r="J93" s="29">
        <f t="shared" si="14"/>
        <v>11.513444716068777</v>
      </c>
    </row>
    <row r="94" spans="1:10" x14ac:dyDescent="0.25">
      <c r="A94" s="29">
        <f t="shared" si="15"/>
        <v>0.84000000000000052</v>
      </c>
      <c r="B94" s="29">
        <v>354.29347552736687</v>
      </c>
      <c r="C94" s="29">
        <f t="shared" si="8"/>
        <v>1.1711926057618107</v>
      </c>
      <c r="D94" s="29">
        <f t="shared" si="9"/>
        <v>0.10123883148152397</v>
      </c>
      <c r="E94" s="29">
        <f t="shared" si="10"/>
        <v>1.0000000018769655</v>
      </c>
      <c r="F94" s="29">
        <f t="shared" si="11"/>
        <v>-1.8769654719363871E-9</v>
      </c>
      <c r="G94" s="29">
        <f t="shared" si="12"/>
        <v>0.98380178699335963</v>
      </c>
      <c r="I94" s="29">
        <f t="shared" si="13"/>
        <v>81.293475527366866</v>
      </c>
      <c r="J94" s="29">
        <f t="shared" si="14"/>
        <v>11.568610469151329</v>
      </c>
    </row>
    <row r="95" spans="1:10" x14ac:dyDescent="0.25">
      <c r="A95" s="29">
        <f t="shared" si="15"/>
        <v>0.85000000000000053</v>
      </c>
      <c r="B95" s="29">
        <v>353.91411214987585</v>
      </c>
      <c r="C95" s="29">
        <f t="shared" si="8"/>
        <v>1.1588764454242564</v>
      </c>
      <c r="D95" s="29">
        <f t="shared" si="9"/>
        <v>9.97001550999395E-2</v>
      </c>
      <c r="E95" s="29">
        <f t="shared" si="10"/>
        <v>1.0000000018756094</v>
      </c>
      <c r="F95" s="29">
        <f t="shared" si="11"/>
        <v>-1.8756094455341099E-9</v>
      </c>
      <c r="G95" s="29">
        <f t="shared" si="12"/>
        <v>0.98504497676305891</v>
      </c>
      <c r="I95" s="29">
        <f t="shared" si="13"/>
        <v>80.914112149875848</v>
      </c>
      <c r="J95" s="29">
        <f t="shared" si="14"/>
        <v>11.623617277852755</v>
      </c>
    </row>
    <row r="96" spans="1:10" x14ac:dyDescent="0.25">
      <c r="A96" s="29">
        <f t="shared" si="15"/>
        <v>0.86000000000000054</v>
      </c>
      <c r="B96" s="29">
        <v>353.53910749940604</v>
      </c>
      <c r="C96" s="29">
        <f t="shared" si="8"/>
        <v>1.1468049393269966</v>
      </c>
      <c r="D96" s="29">
        <f t="shared" si="9"/>
        <v>9.8198243236222241E-2</v>
      </c>
      <c r="E96" s="29">
        <f t="shared" si="10"/>
        <v>1.0000000018742887</v>
      </c>
      <c r="F96" s="29">
        <f t="shared" si="11"/>
        <v>-1.8742887242240158E-9</v>
      </c>
      <c r="G96" s="29">
        <f t="shared" si="12"/>
        <v>0.98625224597269623</v>
      </c>
      <c r="I96" s="29">
        <f t="shared" si="13"/>
        <v>80.539107499406043</v>
      </c>
      <c r="J96" s="29">
        <f t="shared" si="14"/>
        <v>11.6784669616572</v>
      </c>
    </row>
    <row r="97" spans="1:10" x14ac:dyDescent="0.25">
      <c r="A97" s="29">
        <f t="shared" si="15"/>
        <v>0.87000000000000055</v>
      </c>
      <c r="B97" s="29">
        <v>353.16837381329532</v>
      </c>
      <c r="C97" s="29">
        <f t="shared" si="8"/>
        <v>1.1349710961592561</v>
      </c>
      <c r="D97" s="29">
        <f t="shared" si="9"/>
        <v>9.6731909341905287E-2</v>
      </c>
      <c r="E97" s="29">
        <f t="shared" si="10"/>
        <v>1.0000000018730011</v>
      </c>
      <c r="F97" s="29">
        <f t="shared" si="11"/>
        <v>-1.8730010875600556E-9</v>
      </c>
      <c r="G97" s="29">
        <f t="shared" si="12"/>
        <v>0.98742485180910555</v>
      </c>
      <c r="I97" s="29">
        <f t="shared" si="13"/>
        <v>80.168373813295318</v>
      </c>
      <c r="J97" s="29">
        <f t="shared" si="14"/>
        <v>11.733161310272694</v>
      </c>
    </row>
    <row r="98" spans="1:10" x14ac:dyDescent="0.25">
      <c r="A98" s="29">
        <f t="shared" si="15"/>
        <v>0.88000000000000056</v>
      </c>
      <c r="B98" s="29">
        <v>352.80182579258258</v>
      </c>
      <c r="C98" s="29">
        <f t="shared" si="8"/>
        <v>1.1233681819401624</v>
      </c>
      <c r="D98" s="29">
        <f t="shared" si="9"/>
        <v>9.5300014703406585E-2</v>
      </c>
      <c r="E98" s="29">
        <f t="shared" si="10"/>
        <v>1.0000000018717523</v>
      </c>
      <c r="F98" s="29">
        <f t="shared" si="11"/>
        <v>-1.8717523087019572E-9</v>
      </c>
      <c r="G98" s="29">
        <f t="shared" si="12"/>
        <v>0.98856399825699659</v>
      </c>
      <c r="I98" s="29">
        <f t="shared" si="13"/>
        <v>79.801825792582576</v>
      </c>
      <c r="J98" s="29">
        <f t="shared" si="14"/>
        <v>11.787702084163511</v>
      </c>
    </row>
    <row r="99" spans="1:10" x14ac:dyDescent="0.25">
      <c r="A99" s="29">
        <f t="shared" si="15"/>
        <v>0.89000000000000057</v>
      </c>
      <c r="B99" s="29">
        <v>352.43938051469877</v>
      </c>
      <c r="C99" s="29">
        <f t="shared" si="8"/>
        <v>1.1119897085332917</v>
      </c>
      <c r="D99" s="29">
        <f t="shared" si="9"/>
        <v>9.3901466144579407E-2</v>
      </c>
      <c r="E99" s="29">
        <f t="shared" si="10"/>
        <v>1.0000000018705339</v>
      </c>
      <c r="F99" s="29">
        <f t="shared" si="11"/>
        <v>-1.8705339499547335E-9</v>
      </c>
      <c r="G99" s="29">
        <f t="shared" si="12"/>
        <v>0.98967083874341744</v>
      </c>
      <c r="I99" s="29">
        <f t="shared" si="13"/>
        <v>79.439380514698769</v>
      </c>
      <c r="J99" s="29">
        <f t="shared" si="14"/>
        <v>11.842091015077198</v>
      </c>
    </row>
    <row r="100" spans="1:10" x14ac:dyDescent="0.25">
      <c r="A100" s="29">
        <f t="shared" si="15"/>
        <v>0.90000000000000058</v>
      </c>
      <c r="B100" s="29">
        <v>352.08095734985034</v>
      </c>
      <c r="C100" s="29">
        <f t="shared" si="8"/>
        <v>1.1008294227596567</v>
      </c>
      <c r="D100" s="29">
        <f t="shared" si="9"/>
        <v>9.2535213856632492E-2</v>
      </c>
      <c r="E100" s="29">
        <f t="shared" si="10"/>
        <v>1.0000000018693549</v>
      </c>
      <c r="F100" s="29">
        <f t="shared" si="11"/>
        <v>-1.8693548931025816E-9</v>
      </c>
      <c r="G100" s="29">
        <f t="shared" si="12"/>
        <v>0.9907464786316349</v>
      </c>
      <c r="I100" s="29">
        <f t="shared" si="13"/>
        <v>79.080957349850337</v>
      </c>
      <c r="J100" s="29">
        <f t="shared" si="14"/>
        <v>11.89632980656641</v>
      </c>
    </row>
    <row r="101" spans="1:10" x14ac:dyDescent="0.25">
      <c r="A101" s="29">
        <f>A100+0.01</f>
        <v>0.91000000000000059</v>
      </c>
      <c r="B101" s="29">
        <v>351.72647788091331</v>
      </c>
      <c r="C101" s="29">
        <f t="shared" si="8"/>
        <v>1.0898812960735569</v>
      </c>
      <c r="D101" s="29">
        <f t="shared" si="9"/>
        <v>9.1200249347435897E-2</v>
      </c>
      <c r="E101" s="29">
        <f t="shared" si="10"/>
        <v>1.0000000018682067</v>
      </c>
      <c r="F101" s="29">
        <f t="shared" si="11"/>
        <v>-1.8682067004505143E-9</v>
      </c>
      <c r="G101" s="29">
        <f t="shared" si="12"/>
        <v>0.99179197757406501</v>
      </c>
      <c r="I101" s="29">
        <f t="shared" si="13"/>
        <v>78.726477880913308</v>
      </c>
      <c r="J101" s="29">
        <f t="shared" si="14"/>
        <v>11.950420134505764</v>
      </c>
    </row>
    <row r="102" spans="1:10" x14ac:dyDescent="0.25">
      <c r="A102" s="29">
        <f t="shared" ref="A102:A110" si="16">A101+0.01</f>
        <v>0.9200000000000006</v>
      </c>
      <c r="B102" s="29">
        <v>351.37586582667035</v>
      </c>
      <c r="C102" s="29">
        <f t="shared" si="8"/>
        <v>1.079139514768336</v>
      </c>
      <c r="D102" s="29">
        <f t="shared" si="9"/>
        <v>8.9895603502813171E-2</v>
      </c>
      <c r="E102" s="29">
        <f t="shared" si="10"/>
        <v>1.0000000018670947</v>
      </c>
      <c r="F102" s="29">
        <f t="shared" si="11"/>
        <v>-1.8670947010690497E-9</v>
      </c>
      <c r="G102" s="29">
        <f t="shared" si="12"/>
        <v>0.99280835173320259</v>
      </c>
      <c r="I102" s="29">
        <f t="shared" si="13"/>
        <v>78.375865826670349</v>
      </c>
      <c r="J102" s="29">
        <f t="shared" si="14"/>
        <v>12.004363647601306</v>
      </c>
    </row>
    <row r="103" spans="1:10" x14ac:dyDescent="0.25">
      <c r="A103" s="29">
        <f t="shared" si="16"/>
        <v>0.9300000000000006</v>
      </c>
      <c r="B103" s="29">
        <v>351.02904696822935</v>
      </c>
      <c r="C103" s="29">
        <f t="shared" si="8"/>
        <v>1.0685984706809795</v>
      </c>
      <c r="D103" s="29">
        <f t="shared" si="9"/>
        <v>8.8620344752907768E-2</v>
      </c>
      <c r="E103" s="29">
        <f t="shared" si="10"/>
        <v>1.0000000018660151</v>
      </c>
      <c r="F103" s="29">
        <f t="shared" si="11"/>
        <v>-1.8660151201999042E-9</v>
      </c>
      <c r="G103" s="29">
        <f t="shared" si="12"/>
        <v>0.99379657587887205</v>
      </c>
      <c r="I103" s="29">
        <f t="shared" si="13"/>
        <v>78.029046968229352</v>
      </c>
      <c r="J103" s="29">
        <f t="shared" si="14"/>
        <v>12.058161967891598</v>
      </c>
    </row>
    <row r="104" spans="1:10" x14ac:dyDescent="0.25">
      <c r="A104" s="29">
        <f t="shared" si="16"/>
        <v>0.94000000000000061</v>
      </c>
      <c r="B104" s="29">
        <v>350.68594907847171</v>
      </c>
      <c r="C104" s="29">
        <f t="shared" si="8"/>
        <v>1.0582527523667444</v>
      </c>
      <c r="D104" s="29">
        <f t="shared" si="9"/>
        <v>8.7373577337196362E-2</v>
      </c>
      <c r="E104" s="29">
        <f t="shared" si="10"/>
        <v>1.0000000018649722</v>
      </c>
      <c r="F104" s="29">
        <f t="shared" si="11"/>
        <v>-1.8649721766905714E-9</v>
      </c>
      <c r="G104" s="29">
        <f t="shared" si="12"/>
        <v>0.99475758536954517</v>
      </c>
      <c r="I104" s="29">
        <f t="shared" si="13"/>
        <v>77.685949078471708</v>
      </c>
      <c r="J104" s="29">
        <f t="shared" si="14"/>
        <v>12.111816691248343</v>
      </c>
    </row>
    <row r="105" spans="1:10" x14ac:dyDescent="0.25">
      <c r="A105" s="29">
        <f t="shared" si="16"/>
        <v>0.95000000000000062</v>
      </c>
      <c r="B105" s="29">
        <v>350.34650185438699</v>
      </c>
      <c r="C105" s="29">
        <f t="shared" si="8"/>
        <v>1.0480971367166843</v>
      </c>
      <c r="D105" s="29">
        <f t="shared" si="9"/>
        <v>8.6154439662154469E-2</v>
      </c>
      <c r="E105" s="29">
        <f t="shared" si="10"/>
        <v>1.0000000018639583</v>
      </c>
      <c r="F105" s="29">
        <f t="shared" si="11"/>
        <v>-1.8639583210244837E-9</v>
      </c>
      <c r="G105" s="29">
        <f t="shared" si="12"/>
        <v>0.99569227802492188</v>
      </c>
      <c r="I105" s="29">
        <f t="shared" si="13"/>
        <v>77.346501854386986</v>
      </c>
      <c r="J105" s="29">
        <f t="shared" si="14"/>
        <v>12.165329387861155</v>
      </c>
    </row>
    <row r="106" spans="1:10" x14ac:dyDescent="0.25">
      <c r="A106" s="29">
        <f t="shared" si="16"/>
        <v>0.96000000000000063</v>
      </c>
      <c r="B106" s="29">
        <v>350.01063685215809</v>
      </c>
      <c r="C106" s="29">
        <f t="shared" si="8"/>
        <v>1.0381265809928564</v>
      </c>
      <c r="D106" s="29">
        <f t="shared" si="9"/>
        <v>8.4962102745988047E-2</v>
      </c>
      <c r="E106" s="29">
        <f t="shared" si="10"/>
        <v>1.0000000018629822</v>
      </c>
      <c r="F106" s="29">
        <f t="shared" si="11"/>
        <v>-1.8629822129412332E-9</v>
      </c>
      <c r="G106" s="29">
        <f t="shared" si="12"/>
        <v>0.99660151589649182</v>
      </c>
      <c r="I106" s="29">
        <f t="shared" si="13"/>
        <v>77.010636852158086</v>
      </c>
      <c r="J106" s="29">
        <f t="shared" si="14"/>
        <v>12.218701602719788</v>
      </c>
    </row>
    <row r="107" spans="1:10" x14ac:dyDescent="0.25">
      <c r="A107" s="29">
        <f t="shared" si="16"/>
        <v>0.97000000000000064</v>
      </c>
      <c r="B107" s="29">
        <v>349.67828742486671</v>
      </c>
      <c r="C107" s="29">
        <f t="shared" si="8"/>
        <v>1.0283362152573996</v>
      </c>
      <c r="D107" s="29">
        <f t="shared" si="9"/>
        <v>8.3795768745207583E-2</v>
      </c>
      <c r="E107" s="29">
        <f t="shared" si="10"/>
        <v>1.0000000018620343</v>
      </c>
      <c r="F107" s="29">
        <f t="shared" si="11"/>
        <v>-1.8620343045228083E-9</v>
      </c>
      <c r="G107" s="29">
        <f t="shared" si="12"/>
        <v>0.99748612694232486</v>
      </c>
      <c r="I107" s="29">
        <f t="shared" si="13"/>
        <v>76.67828742486671</v>
      </c>
      <c r="J107" s="29">
        <f t="shared" si="14"/>
        <v>12.271934856093296</v>
      </c>
    </row>
    <row r="108" spans="1:10" x14ac:dyDescent="0.25">
      <c r="A108" s="29">
        <f t="shared" si="16"/>
        <v>0.98000000000000065</v>
      </c>
      <c r="B108" s="29">
        <v>349.34938866269937</v>
      </c>
      <c r="C108" s="29">
        <f t="shared" si="8"/>
        <v>1.0187213351734241</v>
      </c>
      <c r="D108" s="29">
        <f t="shared" si="9"/>
        <v>8.2654669558188662E-2</v>
      </c>
      <c r="E108" s="29">
        <f t="shared" si="10"/>
        <v>1.0000000018611201</v>
      </c>
      <c r="F108" s="29">
        <f t="shared" si="11"/>
        <v>-1.8611201468843319E-9</v>
      </c>
      <c r="G108" s="29">
        <f t="shared" si="12"/>
        <v>0.99834690661191283</v>
      </c>
      <c r="I108" s="29">
        <f t="shared" si="13"/>
        <v>76.349388662699369</v>
      </c>
      <c r="J108" s="29">
        <f t="shared" si="14"/>
        <v>12.325030643988168</v>
      </c>
    </row>
    <row r="109" spans="1:10" x14ac:dyDescent="0.25">
      <c r="A109" s="29">
        <f t="shared" si="16"/>
        <v>0.99000000000000066</v>
      </c>
      <c r="B109" s="29">
        <v>349.02387733553581</v>
      </c>
      <c r="C109" s="29">
        <f t="shared" si="8"/>
        <v>1.0092773951567957</v>
      </c>
      <c r="D109" s="29">
        <f t="shared" si="9"/>
        <v>8.1538065501162271E-2</v>
      </c>
      <c r="E109" s="29">
        <f t="shared" si="10"/>
        <v>1.00000000186024</v>
      </c>
      <c r="F109" s="29">
        <f t="shared" si="11"/>
        <v>-1.8602399620704091E-9</v>
      </c>
      <c r="G109" s="29">
        <f t="shared" si="12"/>
        <v>0.99918461934650527</v>
      </c>
      <c r="I109" s="29">
        <f t="shared" si="13"/>
        <v>76.023877335535815</v>
      </c>
      <c r="J109" s="29">
        <f t="shared" si="14"/>
        <v>12.377990438618474</v>
      </c>
    </row>
    <row r="110" spans="1:10" x14ac:dyDescent="0.25">
      <c r="A110" s="29">
        <f t="shared" si="16"/>
        <v>1.0000000000000007</v>
      </c>
      <c r="B110" s="29">
        <v>348.7016918378115</v>
      </c>
      <c r="C110" s="29">
        <f t="shared" si="8"/>
        <v>1.0000000018593882</v>
      </c>
      <c r="D110" s="29">
        <f t="shared" si="9"/>
        <v>8.0445244052391146E-2</v>
      </c>
      <c r="E110" s="29">
        <f t="shared" si="10"/>
        <v>1.0000000018593889</v>
      </c>
      <c r="F110" s="29">
        <f t="shared" si="11"/>
        <v>-1.8593888650997314E-9</v>
      </c>
      <c r="G110" s="29">
        <f t="shared" si="12"/>
        <v>1</v>
      </c>
      <c r="I110" s="29">
        <f t="shared" si="13"/>
        <v>75.701691837811495</v>
      </c>
      <c r="J110" s="29" t="e">
        <f t="shared" si="14"/>
        <v>#DIV/0!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Eqbm_Data">
                <anchor moveWithCells="1" sizeWithCells="1">
                  <from>
                    <xdr:col>8</xdr:col>
                    <xdr:colOff>390525</xdr:colOff>
                    <xdr:row>2</xdr:row>
                    <xdr:rowOff>85725</xdr:rowOff>
                  </from>
                  <to>
                    <xdr:col>10</xdr:col>
                    <xdr:colOff>190500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Isothermal PFR</vt:lpstr>
      <vt:lpstr>Adiabatic PFR</vt:lpstr>
      <vt:lpstr>Results</vt:lpstr>
      <vt:lpstr>Balance_No_Recycle</vt:lpstr>
      <vt:lpstr>Balance_With_Recycle</vt:lpstr>
      <vt:lpstr>Summary</vt:lpstr>
      <vt:lpstr>Distillation Design</vt:lpstr>
      <vt:lpstr>Equilibrium</vt:lpstr>
      <vt:lpstr>cao</vt:lpstr>
      <vt:lpstr>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Markus Jonathan</cp:lastModifiedBy>
  <dcterms:created xsi:type="dcterms:W3CDTF">2018-01-10T18:39:53Z</dcterms:created>
  <dcterms:modified xsi:type="dcterms:W3CDTF">2018-03-21T12:38:28Z</dcterms:modified>
</cp:coreProperties>
</file>